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qatarlivingcsp-my.sharepoint.com/personal/salcala_qatarliving_com/Documents/Desktop/CEO - Offer Reviews/"/>
    </mc:Choice>
  </mc:AlternateContent>
  <xr:revisionPtr revIDLastSave="8793" documentId="13_ncr:1_{D5068C41-5173-4E77-BBFA-11CFD450036A}" xr6:coauthVersionLast="47" xr6:coauthVersionMax="47" xr10:uidLastSave="{6F552304-BF92-4120-ADA4-A9D44D041541}"/>
  <bookViews>
    <workbookView xWindow="-110" yWindow="-110" windowWidth="24220" windowHeight="15500" tabRatio="787" xr2:uid="{00000000-000D-0000-FFFF-FFFF00000000}"/>
  </bookViews>
  <sheets>
    <sheet name="For Review - Naira Group" sheetId="41" r:id="rId1"/>
    <sheet name="GAS - Revisions 4" sheetId="33" r:id="rId2"/>
    <sheet name="GAS - Revisions 5" sheetId="25" r:id="rId3"/>
    <sheet name="GAS - Revisions 3" sheetId="24" r:id="rId4"/>
    <sheet name="GAS - Revisions 2" sheetId="15" r:id="rId5"/>
    <sheet name="GAS - Revisions 1" sheetId="13" r:id="rId6"/>
    <sheet name="Approved - Aug 13, '26" sheetId="42" r:id="rId7"/>
    <sheet name="Approved - Jul 30, '26" sheetId="40" r:id="rId8"/>
    <sheet name="Approved - Jul 29, '26" sheetId="39" r:id="rId9"/>
    <sheet name="Approved - Jul 26, '26" sheetId="37" r:id="rId10"/>
    <sheet name="Approved - Jul 23, '26" sheetId="36" r:id="rId11"/>
    <sheet name="Approved - Jul 21, '26 (2)" sheetId="35" r:id="rId12"/>
    <sheet name="Approved - Jul 21, '26" sheetId="31" r:id="rId13"/>
    <sheet name="Approved - Jul 16, '26" sheetId="34" r:id="rId14"/>
    <sheet name="Approved - Jul 09, '26" sheetId="32" r:id="rId15"/>
    <sheet name="Approved - Jul 06, '26" sheetId="29" r:id="rId16"/>
    <sheet name="Approved - Jul 05, '26" sheetId="30" r:id="rId17"/>
    <sheet name="Approved - Jul 02, '26" sheetId="28" r:id="rId18"/>
    <sheet name="Approved - Jun 29, '26" sheetId="27" r:id="rId19"/>
    <sheet name="Approved - Jun 28, '26" sheetId="26" r:id="rId20"/>
    <sheet name="Approved - Jun 24, 26" sheetId="23" r:id="rId21"/>
    <sheet name="Approved - Jun 18, '26 (Yearly)" sheetId="22" r:id="rId22"/>
    <sheet name="Approved - Jun 04, '26" sheetId="11" r:id="rId23"/>
    <sheet name="Approved - Jun 01, '26" sheetId="20" r:id="rId24"/>
    <sheet name="Approved - May 25, '26 (2)" sheetId="19" r:id="rId25"/>
    <sheet name="Approved - May 25, '26" sheetId="18" r:id="rId26"/>
    <sheet name="Approved - May 20, '26" sheetId="17" r:id="rId27"/>
    <sheet name="Approved - May 17, '26 (Month)" sheetId="5" r:id="rId28"/>
    <sheet name="Approved - May 17, '26 (Yearly)" sheetId="8" r:id="rId29"/>
    <sheet name="Approved - May 14, '26 (Yearly)" sheetId="1" r:id="rId30"/>
    <sheet name="Approved - May 10, '26(Yearly)" sheetId="9" r:id="rId31"/>
    <sheet name="Approved  (Aura)" sheetId="6" r:id="rId32"/>
    <sheet name="Rejected" sheetId="14" r:id="rId33"/>
  </sheets>
  <definedNames>
    <definedName name="_xlnm._FilterDatabase" localSheetId="31" hidden="1">'Approved  (Aura)'!$A$1:$R$18</definedName>
    <definedName name="_xlnm._FilterDatabase" localSheetId="6" hidden="1">'Approved - Aug 13, ''26'!$A$5:$AK$18</definedName>
    <definedName name="_xlnm._FilterDatabase" localSheetId="17" hidden="1">'Approved - Jul 02, ''26'!$A$1:$T$19</definedName>
    <definedName name="_xlnm._FilterDatabase" localSheetId="16" hidden="1">'Approved - Jul 05, ''26'!$A$3:$Y$30</definedName>
    <definedName name="_xlnm._FilterDatabase" localSheetId="15" hidden="1">'Approved - Jul 06, ''26'!$A$1:$T$19</definedName>
    <definedName name="_xlnm._FilterDatabase" localSheetId="14" hidden="1">'Approved - Jul 09, ''26'!$A$1:$T$19</definedName>
    <definedName name="_xlnm._FilterDatabase" localSheetId="13" hidden="1">'Approved - Jul 16, ''26'!$A$1:$T$19</definedName>
    <definedName name="_xlnm._FilterDatabase" localSheetId="12" hidden="1">'Approved - Jul 21, ''26'!$A$1:$T$19</definedName>
    <definedName name="_xlnm._FilterDatabase" localSheetId="11" hidden="1">'Approved - Jul 21, ''26 (2)'!$A$1:$T$19</definedName>
    <definedName name="_xlnm._FilterDatabase" localSheetId="10" hidden="1">'Approved - Jul 23, ''26'!$A$1:$S$19</definedName>
    <definedName name="_xlnm._FilterDatabase" localSheetId="9" hidden="1">'Approved - Jul 26, ''26'!$A$1:$S$19</definedName>
    <definedName name="_xlnm._FilterDatabase" localSheetId="8" hidden="1">'Approved - Jul 29, ''26'!$A$1:$S$19</definedName>
    <definedName name="_xlnm._FilterDatabase" localSheetId="7" hidden="1">'Approved - Jul 30, ''26'!$A$5:$AK$30</definedName>
    <definedName name="_xlnm._FilterDatabase" localSheetId="23" hidden="1">'Approved - Jun 01, ''26'!$A$1:$T$19</definedName>
    <definedName name="_xlnm._FilterDatabase" localSheetId="22" hidden="1">'Approved - Jun 04, ''26'!$A$1:$U$19</definedName>
    <definedName name="_xlnm._FilterDatabase" localSheetId="21" hidden="1">'Approved - Jun 18, ''26 (Yearly)'!$A$1:$T$19</definedName>
    <definedName name="_xlnm._FilterDatabase" localSheetId="20" hidden="1">'Approved - Jun 24, 26'!$A$2:$Z$29</definedName>
    <definedName name="_xlnm._FilterDatabase" localSheetId="19" hidden="1">'Approved - Jun 28, ''26'!$A$3:$Y$30</definedName>
    <definedName name="_xlnm._FilterDatabase" localSheetId="18" hidden="1">'Approved - Jun 29, ''26'!$A$1:$T$19</definedName>
    <definedName name="_xlnm._FilterDatabase" localSheetId="30" hidden="1">'Approved - May 10, ''26(Yearly)'!$A$1:$R$13</definedName>
    <definedName name="_xlnm._FilterDatabase" localSheetId="29" hidden="1">'Approved - May 14, ''26 (Yearly)'!$A$1:$R$9</definedName>
    <definedName name="_xlnm._FilterDatabase" localSheetId="27" hidden="1">'Approved - May 17, ''26 (Month)'!$A$1:$O$14</definedName>
    <definedName name="_xlnm._FilterDatabase" localSheetId="28" hidden="1">'Approved - May 17, ''26 (Yearly)'!$A$1:$R$17</definedName>
    <definedName name="_xlnm._FilterDatabase" localSheetId="26" hidden="1">'Approved - May 20, ''26'!$A$1:$S$18</definedName>
    <definedName name="_xlnm._FilterDatabase" localSheetId="25" hidden="1">'Approved - May 25, ''26'!$C$4:$C$29</definedName>
    <definedName name="_xlnm._FilterDatabase" localSheetId="24" hidden="1">'Approved - May 25, ''26 (2)'!$A$1:$T$18</definedName>
    <definedName name="_xlnm._FilterDatabase" localSheetId="0" hidden="1">'For Review - Naira Group'!$A$5:$AK$16</definedName>
    <definedName name="_xlnm._FilterDatabase" localSheetId="5" hidden="1">'GAS - Revisions 1'!$A$1:$P$13</definedName>
    <definedName name="_xlnm._FilterDatabase" localSheetId="4" hidden="1">'GAS - Revisions 2'!$A$1:$T$19</definedName>
    <definedName name="_xlnm._FilterDatabase" localSheetId="3" hidden="1">'GAS - Revisions 3'!$A$1:$T$19</definedName>
    <definedName name="_xlnm._FilterDatabase" localSheetId="1" hidden="1">'GAS - Revisions 4'!$A$1:$T$19</definedName>
    <definedName name="_xlnm._FilterDatabase" localSheetId="2" hidden="1">'GAS - Revisions 5'!$A$3:$Y$30</definedName>
    <definedName name="_xlnm._FilterDatabase" localSheetId="32" hidden="1">Rejected!$A$1:$T$19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41" l="1"/>
  <c r="M8" i="41"/>
  <c r="M17" i="41"/>
  <c r="M16" i="41"/>
  <c r="M15" i="41"/>
  <c r="M14" i="41"/>
  <c r="M13" i="41"/>
  <c r="M12" i="41"/>
  <c r="M11" i="41"/>
  <c r="M10" i="41"/>
  <c r="M9" i="41"/>
  <c r="M7" i="41"/>
  <c r="M6" i="41"/>
  <c r="AK9" i="41"/>
  <c r="M14" i="42"/>
  <c r="M13" i="42"/>
  <c r="M18" i="42"/>
  <c r="M17" i="42"/>
  <c r="M16" i="42"/>
  <c r="M15" i="42"/>
  <c r="M12" i="42"/>
  <c r="M11" i="42"/>
  <c r="M10" i="42"/>
  <c r="M9" i="42"/>
  <c r="M8" i="42"/>
  <c r="M7" i="42"/>
  <c r="M6" i="42"/>
  <c r="B38" i="42"/>
  <c r="B38" i="41"/>
  <c r="M8" i="40" l="1"/>
  <c r="M10" i="40"/>
  <c r="M27" i="40"/>
  <c r="B52" i="40"/>
  <c r="M12" i="40"/>
  <c r="M7" i="40"/>
  <c r="M6" i="40"/>
  <c r="AA17" i="40"/>
  <c r="M17" i="40" s="1"/>
  <c r="AA16" i="40"/>
  <c r="M16" i="40" s="1"/>
  <c r="AA15" i="40"/>
  <c r="M15" i="40" s="1"/>
  <c r="AA14" i="40"/>
  <c r="M14" i="40" s="1"/>
  <c r="AA13" i="40"/>
  <c r="M13" i="40" s="1"/>
  <c r="Z17" i="40"/>
  <c r="Z16" i="40"/>
  <c r="Z15" i="40"/>
  <c r="Z14" i="40"/>
  <c r="Z13" i="40"/>
  <c r="AA11" i="40"/>
  <c r="M11" i="40" s="1"/>
  <c r="AA9" i="40"/>
  <c r="M9" i="40" s="1"/>
  <c r="Z8" i="40"/>
  <c r="AA30" i="40"/>
  <c r="M30" i="40" s="1"/>
  <c r="Z30" i="40"/>
  <c r="I29" i="40"/>
  <c r="M29" i="40" s="1"/>
  <c r="I28" i="40"/>
  <c r="M28" i="40" s="1"/>
  <c r="M26" i="40"/>
  <c r="M25" i="40"/>
  <c r="M24" i="40"/>
  <c r="M23" i="40"/>
  <c r="M22" i="40"/>
  <c r="M21" i="40"/>
  <c r="X26" i="40"/>
  <c r="X25" i="40"/>
  <c r="X24" i="40"/>
  <c r="X23" i="40"/>
  <c r="X22" i="40"/>
  <c r="X21" i="40"/>
  <c r="I20" i="40"/>
  <c r="I18" i="40"/>
  <c r="AA19" i="40"/>
  <c r="Z19" i="40"/>
  <c r="M20" i="40"/>
  <c r="M18" i="40"/>
  <c r="AA31" i="40"/>
  <c r="AA26" i="39"/>
  <c r="AA25" i="39"/>
  <c r="AA24" i="39"/>
  <c r="AA23" i="39"/>
  <c r="AA20" i="39"/>
  <c r="AA19" i="39"/>
  <c r="AA16" i="39"/>
  <c r="AA9" i="39"/>
  <c r="M8" i="39"/>
  <c r="M7" i="39"/>
  <c r="I7" i="39"/>
  <c r="M6" i="39"/>
  <c r="I6" i="39"/>
  <c r="AA23" i="37"/>
  <c r="M23" i="37"/>
  <c r="M26" i="37"/>
  <c r="M25" i="37"/>
  <c r="M24" i="37"/>
  <c r="M22" i="37"/>
  <c r="M21" i="37"/>
  <c r="M20" i="37"/>
  <c r="M19" i="37"/>
  <c r="M18" i="37"/>
  <c r="M17" i="37"/>
  <c r="M16" i="37"/>
  <c r="M15" i="37"/>
  <c r="M14" i="37"/>
  <c r="M13" i="37"/>
  <c r="M12" i="37"/>
  <c r="M11" i="37"/>
  <c r="M10" i="37"/>
  <c r="M9" i="37"/>
  <c r="M8" i="37"/>
  <c r="M7" i="37"/>
  <c r="M6" i="37"/>
  <c r="AA26" i="37"/>
  <c r="AA25" i="37"/>
  <c r="AA24" i="37"/>
  <c r="AA20" i="37"/>
  <c r="AA19" i="37"/>
  <c r="AA16" i="37"/>
  <c r="AA9" i="37"/>
  <c r="AA8" i="37"/>
  <c r="M19" i="4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R6" authorId="0" shapeId="0" xr:uid="{45B0012F-5833-4986-B02D-B8F22FCAC8B0}">
      <text>
        <r>
          <rPr>
            <b/>
            <sz val="9"/>
            <color indexed="81"/>
            <rFont val="Tahoma"/>
            <family val="2"/>
          </rPr>
          <t xml:space="preserve">CEO Decision
</t>
        </r>
        <r>
          <rPr>
            <sz val="9"/>
            <color indexed="81"/>
            <rFont val="Tahoma"/>
            <family val="2"/>
          </rPr>
          <t xml:space="preserve">Select Approved, Revisions Needed, or Rejected
</t>
        </r>
      </text>
    </comment>
    <comment ref="AB6" authorId="0" shapeId="0" xr:uid="{5A1AF3BF-77D0-4052-83A5-C4E2273C0DC4}">
      <text>
        <r>
          <rPr>
            <b/>
            <sz val="9"/>
            <color indexed="81"/>
            <rFont val="Tahoma"/>
            <family val="2"/>
          </rPr>
          <t>Source: Merchant application description (Deal #1) — no separate "Other Rules" field was submitted.</t>
        </r>
      </text>
    </comment>
    <comment ref="AK6" authorId="0" shapeId="0" xr:uid="{629761CE-36AD-4351-B0A5-63279D2982B0}">
      <text>
        <r>
          <rPr>
            <b/>
            <sz val="9"/>
            <color indexed="81"/>
            <rFont val="Tahoma"/>
            <family val="2"/>
          </rPr>
          <t>Source: QL_Deals_Offers_Naira group_Summary.md.pdf — Quick Comparison Table, Sushi Minto: Boat + Appetiser + 2 Drinks, Savings QR 77</t>
        </r>
      </text>
    </comment>
    <comment ref="R7" authorId="0" shapeId="0" xr:uid="{611EF836-AEAA-4C2A-AD69-B04BB5C730DA}">
      <text>
        <r>
          <rPr>
            <b/>
            <sz val="9"/>
            <color indexed="81"/>
            <rFont val="Tahoma"/>
            <family val="2"/>
          </rPr>
          <t xml:space="preserve">CEO Decision
</t>
        </r>
        <r>
          <rPr>
            <sz val="9"/>
            <color indexed="81"/>
            <rFont val="Tahoma"/>
            <family val="2"/>
          </rPr>
          <t xml:space="preserve">Select Approved, Revisions Needed, or Rejected
</t>
        </r>
      </text>
    </comment>
    <comment ref="AB7" authorId="0" shapeId="0" xr:uid="{47628E9C-E88F-47F4-8523-7C6E962D12C6}">
      <text>
        <r>
          <rPr>
            <b/>
            <sz val="9"/>
            <color indexed="81"/>
            <rFont val="Tahoma"/>
            <family val="2"/>
          </rPr>
          <t>Source: Merchant application description (Deal #3), reconciled to match confirmed offer title.</t>
        </r>
      </text>
    </comment>
    <comment ref="AK7" authorId="0" shapeId="0" xr:uid="{95B584E7-CB22-4414-8B8C-5EA57B4E5082}">
      <text>
        <r>
          <rPr>
            <b/>
            <sz val="9"/>
            <color indexed="81"/>
            <rFont val="Tahoma"/>
            <family val="2"/>
          </rPr>
          <t>Source: QL_Deals_Offers_Naira group_Summary.md.pdf — Quick Comparison Table, Sushi Minto: 8pcs Sushi + Appetiser, Savings QR 33</t>
        </r>
      </text>
    </comment>
    <comment ref="R8" authorId="0" shapeId="0" xr:uid="{79F6B89E-6EEF-42FE-BC4E-4899BD900538}">
      <text>
        <r>
          <rPr>
            <b/>
            <sz val="9"/>
            <color indexed="81"/>
            <rFont val="Tahoma"/>
            <family val="2"/>
          </rPr>
          <t xml:space="preserve">CEO Decision
</t>
        </r>
        <r>
          <rPr>
            <sz val="9"/>
            <color indexed="81"/>
            <rFont val="Tahoma"/>
            <family val="2"/>
          </rPr>
          <t xml:space="preserve">Select Approved, Revisions Needed, or Rejected
</t>
        </r>
      </text>
    </comment>
    <comment ref="AA8" authorId="0" shapeId="0" xr:uid="{91176B67-EE1D-45AE-B513-5C43FCE423E3}">
      <text>
        <r>
          <rPr>
            <b/>
            <sz val="9"/>
            <color indexed="81"/>
            <rFont val="Tahoma"/>
            <family val="2"/>
          </rPr>
          <t>Sarah Alcala:</t>
        </r>
        <r>
          <rPr>
            <sz val="9"/>
            <color indexed="81"/>
            <rFont val="Tahoma"/>
            <family val="2"/>
          </rPr>
          <t xml:space="preserve">
Starting price of Main Course menu: 190 QAR (per user)</t>
        </r>
      </text>
    </comment>
    <comment ref="AB8" authorId="0" shapeId="0" xr:uid="{C688D4DE-BEA2-4C68-AC05-B6B7902C156D}">
      <text>
        <r>
          <rPr>
            <b/>
            <sz val="9"/>
            <color indexed="81"/>
            <rFont val="Tahoma"/>
            <family val="2"/>
          </rPr>
          <t>Source: Merchant application description (Deal #4) — no separate "Other Rules" field was submitted.</t>
        </r>
      </text>
    </comment>
    <comment ref="AK8" authorId="0" shapeId="0" xr:uid="{D6EDAD8E-52F9-4800-BF96-2D55E4223D31}">
      <text>
        <r>
          <rPr>
            <b/>
            <sz val="9"/>
            <color indexed="81"/>
            <rFont val="Tahoma"/>
            <family val="2"/>
          </rPr>
          <t>Source: QL_Deals_Offers_Naira group_Summary.md.pdf — Quick Comparison Table, Sushi Minto: 8pcs Sushi + Drink, Savings QR 22</t>
        </r>
      </text>
    </comment>
    <comment ref="H9" authorId="0" shapeId="0" xr:uid="{8F4DB6E4-A761-44DD-8747-DF4846D124FE}">
      <text>
        <r>
          <rPr>
            <b/>
            <sz val="9"/>
            <color indexed="81"/>
            <rFont val="Tahoma"/>
            <family val="2"/>
          </rPr>
          <t>Sarah Alcala:</t>
        </r>
        <r>
          <rPr>
            <sz val="9"/>
            <color indexed="81"/>
            <rFont val="Tahoma"/>
            <family val="2"/>
          </rPr>
          <t xml:space="preserve">
Source: Merchant application (Deal #1) — Original Price field = 139 QAR.</t>
        </r>
      </text>
    </comment>
    <comment ref="R9" authorId="0" shapeId="0" xr:uid="{A7880908-4BA7-4835-91BA-8416CD2EF0FF}">
      <text>
        <r>
          <rPr>
            <b/>
            <sz val="9"/>
            <color indexed="81"/>
            <rFont val="Tahoma"/>
            <family val="2"/>
          </rPr>
          <t>CEO Decision</t>
        </r>
        <r>
          <rPr>
            <sz val="9"/>
            <color indexed="81"/>
            <rFont val="Tahoma"/>
            <family val="2"/>
          </rPr>
          <t xml:space="preserve">
Select Approved, Revisions Needed, or Rejected</t>
        </r>
      </text>
    </comment>
    <comment ref="AB9" authorId="0" shapeId="0" xr:uid="{36B1BCEB-003D-4824-BEF3-130BD4035DA4}">
      <text>
        <r>
          <rPr>
            <b/>
            <sz val="9"/>
            <color indexed="81"/>
            <rFont val="Tahoma"/>
            <family val="2"/>
          </rPr>
          <t>Source: Merchant application description (Deal #1) — no separate "Other Rules" field was submitted. Valid-day restriction added from Deal #1 "Valid Days" field (Sun/Mon/Tue/Wed).</t>
        </r>
      </text>
    </comment>
    <comment ref="AK9" authorId="0" shapeId="0" xr:uid="{9824762B-6E3B-417C-BDC9-7D4A7921A1D5}">
      <text>
        <r>
          <rPr>
            <b/>
            <sz val="9"/>
            <color indexed="81"/>
            <rFont val="Tahoma"/>
            <family val="2"/>
          </rPr>
          <t>BOGO of an identical item (2nd Endless Rolls Buffet free) — savings equal the full Original Price of one buffet, since H9 = 139 QAR.</t>
        </r>
      </text>
    </comment>
    <comment ref="H10" authorId="0" shapeId="0" xr:uid="{3C21DFBF-D576-45FF-86F7-AA80AF65A779}">
      <text>
        <r>
          <rPr>
            <b/>
            <sz val="9"/>
            <color indexed="81"/>
            <rFont val="Tahoma"/>
            <family val="2"/>
          </rPr>
          <t>No Original Price submitted in merchant application (Deal #2). Needed to calculate Est. Savings.</t>
        </r>
      </text>
    </comment>
    <comment ref="R10" authorId="0" shapeId="0" xr:uid="{B9FA37A6-1F19-4164-BDA1-2F0ED056C7DC}">
      <text>
        <r>
          <rPr>
            <b/>
            <sz val="9"/>
            <color indexed="81"/>
            <rFont val="Tahoma"/>
            <family val="2"/>
          </rPr>
          <t xml:space="preserve">CEO Decision
</t>
        </r>
        <r>
          <rPr>
            <sz val="9"/>
            <color indexed="81"/>
            <rFont val="Tahoma"/>
            <family val="2"/>
          </rPr>
          <t xml:space="preserve">
Select Approved, Revisions Needed, or Rejected
</t>
        </r>
      </text>
    </comment>
    <comment ref="AB10" authorId="0" shapeId="0" xr:uid="{9CD348E9-D609-40EE-B628-A396C0FC8A23}">
      <text>
        <r>
          <rPr>
            <b/>
            <sz val="9"/>
            <color indexed="81"/>
            <rFont val="Tahoma"/>
            <family val="2"/>
          </rPr>
          <t>Source: Merchant application description (Deal #13) — no separate "Other Rules" field was submitted.</t>
        </r>
      </text>
    </comment>
    <comment ref="AK10" authorId="0" shapeId="0" xr:uid="{9C75A558-F6EC-485D-9CEE-AB0B03245BB4}">
      <text>
        <r>
          <rPr>
            <b/>
            <sz val="9"/>
            <color indexed="81"/>
            <rFont val="Tahoma"/>
            <family val="2"/>
          </rPr>
          <t>No savings override applicable for this row (no price submitted for this Main Course BOGO deal).</t>
        </r>
      </text>
    </comment>
    <comment ref="R11" authorId="0" shapeId="0" xr:uid="{ECA6CE3B-A727-478B-A862-4101DF42F1BC}">
      <text>
        <r>
          <rPr>
            <b/>
            <sz val="9"/>
            <color indexed="81"/>
            <rFont val="Tahoma"/>
            <family val="2"/>
          </rPr>
          <t xml:space="preserve">CEO Decision
</t>
        </r>
        <r>
          <rPr>
            <sz val="9"/>
            <color indexed="81"/>
            <rFont val="Tahoma"/>
            <family val="2"/>
          </rPr>
          <t xml:space="preserve">
Select Approved, Revisions Needed, or Rejected
</t>
        </r>
      </text>
    </comment>
    <comment ref="AB11" authorId="0" shapeId="0" xr:uid="{B6061A48-8CC0-4C01-A3A0-5B62ADBC12DF}">
      <text>
        <r>
          <rPr>
            <b/>
            <sz val="9"/>
            <color indexed="81"/>
            <rFont val="Tahoma"/>
            <family val="2"/>
          </rPr>
          <t>Source: Merchant application description (Deal #2) — no separate "Other Rules" field was submitted.</t>
        </r>
      </text>
    </comment>
    <comment ref="AK11" authorId="0" shapeId="0" xr:uid="{0299BAB9-44AB-464D-A0E4-397ACF174406}">
      <text>
        <r>
          <rPr>
            <b/>
            <sz val="9"/>
            <color indexed="81"/>
            <rFont val="Tahoma"/>
            <family val="2"/>
          </rPr>
          <t>Source: QL_Deals_Offers_Naira group_Summary.md.pdf — Quick Comparison Table, Shiraz Garden: Main + Appetiser, Savings QR 20</t>
        </r>
      </text>
    </comment>
    <comment ref="H12" authorId="0" shapeId="0" xr:uid="{2FD046F9-74C4-466E-9EE7-2A7AE0DBF025}">
      <text>
        <r>
          <rPr>
            <b/>
            <sz val="9"/>
            <color indexed="81"/>
            <rFont val="Tahoma"/>
            <family val="2"/>
          </rPr>
          <t>No Original Price submitted in merchant application (Deal #2). Needed to calculate Est. Savings.</t>
        </r>
      </text>
    </comment>
    <comment ref="R12" authorId="0" shapeId="0" xr:uid="{8BD47393-66F8-4BD5-BCB0-7A8EB71CFCE0}">
      <text>
        <r>
          <rPr>
            <b/>
            <sz val="9"/>
            <color indexed="81"/>
            <rFont val="Tahoma"/>
            <family val="2"/>
          </rPr>
          <t xml:space="preserve">CEO Decision
</t>
        </r>
        <r>
          <rPr>
            <sz val="9"/>
            <color indexed="81"/>
            <rFont val="Tahoma"/>
            <family val="2"/>
          </rPr>
          <t xml:space="preserve">
Select Approved, Revisions Needed, or Rejected
</t>
        </r>
      </text>
    </comment>
    <comment ref="AB12" authorId="0" shapeId="0" xr:uid="{5827018C-99AD-4B4A-966D-AE6EA2DA76A6}">
      <text>
        <r>
          <rPr>
            <b/>
            <sz val="9"/>
            <color indexed="81"/>
            <rFont val="Tahoma"/>
            <family val="2"/>
          </rPr>
          <t>Source: Merchant application description (Deal #5) — no separate "Other Rules" field was submitted.</t>
        </r>
      </text>
    </comment>
    <comment ref="AK12" authorId="0" shapeId="0" xr:uid="{8F3148FD-AA99-4AE7-A202-8611CAAFEAD6}">
      <text>
        <r>
          <rPr>
            <b/>
            <sz val="9"/>
            <color indexed="81"/>
            <rFont val="Tahoma"/>
            <family val="2"/>
          </rPr>
          <t>No savings override applicable for this row (no price submitted for this Main Course BOGO deal).</t>
        </r>
      </text>
    </comment>
    <comment ref="H13" authorId="0" shapeId="0" xr:uid="{6BE9F6CE-9EDB-4DA2-BA85-8DDE011FE38D}">
      <text>
        <r>
          <rPr>
            <b/>
            <sz val="9"/>
            <color indexed="81"/>
            <rFont val="Tahoma"/>
            <family val="2"/>
          </rPr>
          <t xml:space="preserve"> </t>
        </r>
      </text>
    </comment>
    <comment ref="R13" authorId="0" shapeId="0" xr:uid="{0AF3E791-C9A2-4CBF-AC0B-F8B3B461F6BC}">
      <text>
        <r>
          <rPr>
            <b/>
            <sz val="9"/>
            <color indexed="81"/>
            <rFont val="Tahoma"/>
            <family val="2"/>
          </rPr>
          <t xml:space="preserve">CEO Decision
</t>
        </r>
        <r>
          <rPr>
            <sz val="9"/>
            <color indexed="81"/>
            <rFont val="Tahoma"/>
            <family val="2"/>
          </rPr>
          <t xml:space="preserve">Select Approved, Revisions Needed, or Rejected
</t>
        </r>
      </text>
    </comment>
    <comment ref="AB13" authorId="0" shapeId="0" xr:uid="{EFADF67C-F818-4845-A6F5-74933C56513A}">
      <text>
        <r>
          <rPr>
            <b/>
            <sz val="9"/>
            <color indexed="81"/>
            <rFont val="Tahoma"/>
            <family val="2"/>
          </rPr>
          <t>Source: Merchant application description (Deal #5) — no separate "Other Rules" field was submitted.</t>
        </r>
      </text>
    </comment>
    <comment ref="AK13" authorId="0" shapeId="0" xr:uid="{623D049C-F890-48F2-BF5A-6D52435931B9}">
      <text>
        <r>
          <rPr>
            <b/>
            <sz val="9"/>
            <color indexed="81"/>
            <rFont val="Tahoma"/>
            <family val="2"/>
          </rPr>
          <t>Source: QL_Deals_Offers_Naira group_Summary.md.pdf — Quick Comparison Table, Barrio Fiesta: Main + Appetiser, Savings QR 30</t>
        </r>
      </text>
    </comment>
    <comment ref="H14" authorId="0" shapeId="0" xr:uid="{E95E4F1F-49DC-48E8-B08F-26D7C6291C68}">
      <text>
        <r>
          <rPr>
            <b/>
            <sz val="9"/>
            <color indexed="81"/>
            <rFont val="Tahoma"/>
            <family val="2"/>
          </rPr>
          <t>No Original Price submitted in merchant application (Deal #2). Needed to calculate Est. Savings.</t>
        </r>
      </text>
    </comment>
    <comment ref="R14" authorId="0" shapeId="0" xr:uid="{B6FDBD86-7247-4253-B34F-89047AE4842C}">
      <text>
        <r>
          <rPr>
            <b/>
            <sz val="9"/>
            <color indexed="81"/>
            <rFont val="Tahoma"/>
            <family val="2"/>
          </rPr>
          <t>CEO Decision</t>
        </r>
        <r>
          <rPr>
            <sz val="9"/>
            <color indexed="81"/>
            <rFont val="Tahoma"/>
            <family val="2"/>
          </rPr>
          <t xml:space="preserve">
Select Approved, Revisions Needed, or Rejected
</t>
        </r>
      </text>
    </comment>
    <comment ref="AB14" authorId="0" shapeId="0" xr:uid="{8B720BBF-0B30-4DEA-A515-AB11DFE05ACD}">
      <text>
        <r>
          <rPr>
            <b/>
            <sz val="9"/>
            <color indexed="81"/>
            <rFont val="Tahoma"/>
            <family val="2"/>
          </rPr>
          <t>Source: Merchant application description (Deal #3) — no separate "Other Rules" field was submitted.</t>
        </r>
      </text>
    </comment>
    <comment ref="H15" authorId="0" shapeId="0" xr:uid="{0C792384-037C-4F1A-9A16-A1714AF96D97}">
      <text>
        <r>
          <rPr>
            <b/>
            <sz val="9"/>
            <color indexed="81"/>
            <rFont val="Tahoma"/>
            <family val="2"/>
          </rPr>
          <t xml:space="preserve"> </t>
        </r>
      </text>
    </comment>
    <comment ref="R15" authorId="0" shapeId="0" xr:uid="{0FE6BFEB-CACA-4DCA-B82B-406D09C21A53}">
      <text>
        <r>
          <rPr>
            <b/>
            <sz val="9"/>
            <color indexed="81"/>
            <rFont val="Tahoma"/>
            <family val="2"/>
          </rPr>
          <t>CEO Decision</t>
        </r>
        <r>
          <rPr>
            <sz val="9"/>
            <color indexed="81"/>
            <rFont val="Tahoma"/>
            <family val="2"/>
          </rPr>
          <t xml:space="preserve">
Select Approved, Revisions Needed, or Rejected
</t>
        </r>
      </text>
    </comment>
    <comment ref="AB15" authorId="0" shapeId="0" xr:uid="{8B824295-71E4-49FD-B145-8F5BD2E6C3FD}">
      <text>
        <r>
          <rPr>
            <b/>
            <sz val="9"/>
            <color indexed="81"/>
            <rFont val="Tahoma"/>
            <family val="2"/>
          </rPr>
          <t>Source: Merchant application description (Deal #6) — no separate "Other Rules" field was submitted.</t>
        </r>
      </text>
    </comment>
    <comment ref="AK15" authorId="0" shapeId="0" xr:uid="{D8CED3FA-43BE-4BE8-8770-8FC86B6A2D96}">
      <text>
        <r>
          <rPr>
            <b/>
            <sz val="9"/>
            <color indexed="81"/>
            <rFont val="Tahoma"/>
            <family val="2"/>
          </rPr>
          <t>Sarah Alcala:</t>
        </r>
        <r>
          <rPr>
            <sz val="9"/>
            <color indexed="81"/>
            <rFont val="Tahoma"/>
            <family val="2"/>
          </rPr>
          <t xml:space="preserve">
Source: QL_Deals_Offers_Naira group_Summary.md.pdf — Quick Comparison Table, Amara: Main + Appetiser, Savings QR 27</t>
        </r>
      </text>
    </comment>
    <comment ref="H16" authorId="0" shapeId="0" xr:uid="{AFFAEFF5-1B5F-4D07-BF8A-7BA4CA2571C1}">
      <text>
        <r>
          <rPr>
            <b/>
            <sz val="9"/>
            <color indexed="81"/>
            <rFont val="Tahoma"/>
            <family val="2"/>
          </rPr>
          <t>No Original Price submitted in merchant application (Deal #2). Needed to calculate Est. Savings.</t>
        </r>
      </text>
    </comment>
    <comment ref="R16" authorId="0" shapeId="0" xr:uid="{86D0898E-68DA-49E7-92AF-277113CBD9EF}">
      <text>
        <r>
          <rPr>
            <b/>
            <sz val="9"/>
            <color indexed="81"/>
            <rFont val="Tahoma"/>
            <family val="2"/>
          </rPr>
          <t>CEO Decision</t>
        </r>
        <r>
          <rPr>
            <sz val="9"/>
            <color indexed="81"/>
            <rFont val="Tahoma"/>
            <family val="2"/>
          </rPr>
          <t xml:space="preserve">
Select Approved, Revisions Needed, or Rejected
</t>
        </r>
      </text>
    </comment>
    <comment ref="AB16" authorId="0" shapeId="0" xr:uid="{5DB87570-1515-4F9F-B100-9D3B4CBBE1BD}">
      <text>
        <r>
          <rPr>
            <b/>
            <sz val="9"/>
            <color indexed="81"/>
            <rFont val="Tahoma"/>
            <family val="2"/>
          </rPr>
          <t>Source: Merchant application description (Deal #4) — no separate "Other Rules" field was submitted.</t>
        </r>
      </text>
    </comment>
    <comment ref="H17" authorId="0" shapeId="0" xr:uid="{841D7722-C8AA-463D-BA5B-7E9DB229199D}">
      <text>
        <r>
          <rPr>
            <b/>
            <sz val="9"/>
            <color indexed="81"/>
            <rFont val="Tahoma"/>
            <family val="2"/>
          </rPr>
          <t xml:space="preserve"> </t>
        </r>
      </text>
    </comment>
    <comment ref="R17" authorId="0" shapeId="0" xr:uid="{C79CC6F0-E0FA-4C05-81B4-F6ED2E720CF5}">
      <text>
        <r>
          <rPr>
            <b/>
            <sz val="9"/>
            <color indexed="81"/>
            <rFont val="Tahoma"/>
            <family val="2"/>
          </rPr>
          <t xml:space="preserve">CEO Decision
</t>
        </r>
        <r>
          <rPr>
            <sz val="9"/>
            <color indexed="81"/>
            <rFont val="Tahoma"/>
            <family val="2"/>
          </rPr>
          <t xml:space="preserve">Select Approved, Revisions Needed, or Rejected
</t>
        </r>
      </text>
    </comment>
    <comment ref="AB17" authorId="0" shapeId="0" xr:uid="{BAEEB8FB-11E0-4308-9955-97B0E4DF6CB2}">
      <text>
        <r>
          <rPr>
            <b/>
            <sz val="9"/>
            <color indexed="81"/>
            <rFont val="Tahoma"/>
            <family val="2"/>
          </rPr>
          <t>Source: Merchant application description (Deal #7) — no separate "Other Rules" field was submitted.</t>
        </r>
      </text>
    </comment>
    <comment ref="AK17" authorId="0" shapeId="0" xr:uid="{75E9C762-97B8-4BEA-8269-39825157615F}">
      <text>
        <r>
          <rPr>
            <b/>
            <sz val="9"/>
            <color indexed="81"/>
            <rFont val="Tahoma"/>
            <family val="2"/>
          </rPr>
          <t>Sarah Alcala:</t>
        </r>
        <r>
          <rPr>
            <sz val="9"/>
            <color indexed="81"/>
            <rFont val="Tahoma"/>
            <family val="2"/>
          </rPr>
          <t xml:space="preserve">
Source: QL_Deals_Offers_Naira group_Summary.md.pdf — Quick Comparison Table, Crepaway: Main + Appetiser, Savings QR 28</t>
        </r>
      </text>
    </comment>
    <comment ref="H18" authorId="0" shapeId="0" xr:uid="{58B4CC66-EDEC-48FA-9973-0719F2242A28}">
      <text>
        <r>
          <rPr>
            <b/>
            <sz val="9"/>
            <color indexed="81"/>
            <rFont val="Tahoma"/>
            <family val="2"/>
          </rPr>
          <t>No Original Price submitted in merchant application (Deal #2). Needed to calculate Est. Savings.</t>
        </r>
      </text>
    </comment>
    <comment ref="R18" authorId="0" shapeId="0" xr:uid="{CDF9215A-E569-4F96-B866-5A8FAB82BD16}">
      <text>
        <r>
          <rPr>
            <b/>
            <sz val="9"/>
            <color indexed="81"/>
            <rFont val="Tahoma"/>
            <family val="2"/>
          </rPr>
          <t xml:space="preserve">CEO Decision
</t>
        </r>
        <r>
          <rPr>
            <sz val="9"/>
            <color indexed="81"/>
            <rFont val="Tahoma"/>
            <family val="2"/>
          </rPr>
          <t xml:space="preserve">Select Approved, Revisions Needed, or Rejected
</t>
        </r>
      </text>
    </comment>
    <comment ref="AB18" authorId="0" shapeId="0" xr:uid="{60D6C4B1-CA12-4EE0-83D6-CAAC67675D75}">
      <text>
        <r>
          <rPr>
            <b/>
            <sz val="9"/>
            <color indexed="81"/>
            <rFont val="Tahoma"/>
            <family val="2"/>
          </rPr>
          <t>Source: Merchant application description (Deal #2) — no separate "Other Rules" field was submitted.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S6" authorId="0" shapeId="0" xr:uid="{D8D662C4-0022-4376-ACBD-AFEE79D75FDB}">
      <text>
        <r>
          <rPr>
            <b/>
            <sz val="9"/>
            <color indexed="81"/>
            <rFont val="Tahoma"/>
            <family val="2"/>
          </rPr>
          <t xml:space="preserve">CEO Decision
</t>
        </r>
        <r>
          <rPr>
            <sz val="9"/>
            <color indexed="81"/>
            <rFont val="Tahoma"/>
            <family val="2"/>
          </rPr>
          <t>Select Approved, Revisions Needed, or Rejected</t>
        </r>
        <r>
          <rPr>
            <sz val="9"/>
            <color indexed="81"/>
            <rFont val="Tahoma"/>
            <family val="2"/>
          </rPr>
          <t xml:space="preserve">
</t>
        </r>
      </text>
    </comment>
    <comment ref="S7" authorId="0" shapeId="0" xr:uid="{636064CA-F1BA-43F2-8AAF-75E00DC289A0}">
      <text>
        <r>
          <rPr>
            <b/>
            <sz val="9"/>
            <color indexed="81"/>
            <rFont val="Tahoma"/>
            <family val="2"/>
          </rPr>
          <t xml:space="preserve">CEO Decision
</t>
        </r>
        <r>
          <rPr>
            <sz val="9"/>
            <color indexed="81"/>
            <rFont val="Tahoma"/>
            <family val="2"/>
          </rPr>
          <t xml:space="preserve">Select Approved, Revisions Needed, or Rejected
</t>
        </r>
      </text>
    </comment>
    <comment ref="S8" authorId="0" shapeId="0" xr:uid="{01D4A286-F82B-47BA-B7B5-A8995DBB43A4}">
      <text>
        <r>
          <rPr>
            <b/>
            <sz val="9"/>
            <color indexed="81"/>
            <rFont val="Tahoma"/>
            <family val="2"/>
          </rPr>
          <t xml:space="preserve">CEO Decision
</t>
        </r>
        <r>
          <rPr>
            <sz val="9"/>
            <color indexed="81"/>
            <rFont val="Tahoma"/>
            <family val="2"/>
          </rPr>
          <t>Select Approved, Revisions Needed, or Rejected</t>
        </r>
      </text>
    </comment>
    <comment ref="S9" authorId="0" shapeId="0" xr:uid="{363C32F3-8912-45C6-98AA-CB3FD0C3E867}">
      <text>
        <r>
          <rPr>
            <b/>
            <sz val="9"/>
            <color indexed="81"/>
            <rFont val="Tahoma"/>
            <family val="2"/>
          </rPr>
          <t>CEO Decision</t>
        </r>
        <r>
          <rPr>
            <sz val="9"/>
            <color indexed="81"/>
            <rFont val="Tahoma"/>
            <family val="2"/>
          </rPr>
          <t xml:space="preserve">
Select Approved, Revisions Needed, or Rejected
</t>
        </r>
      </text>
    </comment>
    <comment ref="S11" authorId="0" shapeId="0" xr:uid="{DA4889AF-55C2-4053-AB83-26A30A88E83E}">
      <text>
        <r>
          <rPr>
            <b/>
            <sz val="9"/>
            <color indexed="81"/>
            <rFont val="Tahoma"/>
            <family val="2"/>
          </rPr>
          <t xml:space="preserve">CEO Decision
</t>
        </r>
        <r>
          <rPr>
            <sz val="9"/>
            <color indexed="81"/>
            <rFont val="Tahoma"/>
            <family val="2"/>
          </rPr>
          <t xml:space="preserve">Select Approved, Revisions Needed, or Rejected
</t>
        </r>
      </text>
    </comment>
    <comment ref="S12" authorId="0" shapeId="0" xr:uid="{1DC9F247-7E35-47E6-853A-7541303DE70A}">
      <text>
        <r>
          <rPr>
            <b/>
            <sz val="9"/>
            <color indexed="81"/>
            <rFont val="Tahoma"/>
            <family val="2"/>
          </rPr>
          <t xml:space="preserve">CEO Decision
</t>
        </r>
        <r>
          <rPr>
            <sz val="9"/>
            <color indexed="81"/>
            <rFont val="Tahoma"/>
            <family val="2"/>
          </rPr>
          <t xml:space="preserve">Select Approved, Revisions Needed, or Rejected
</t>
        </r>
      </text>
    </comment>
    <comment ref="S13" authorId="0" shapeId="0" xr:uid="{D7EACEA0-DB50-4047-B7CB-10C5187F4168}">
      <text>
        <r>
          <rPr>
            <b/>
            <sz val="9"/>
            <color indexed="81"/>
            <rFont val="Tahoma"/>
            <family val="2"/>
          </rPr>
          <t>CEO Decision</t>
        </r>
        <r>
          <rPr>
            <sz val="9"/>
            <color indexed="81"/>
            <rFont val="Tahoma"/>
            <family val="2"/>
          </rPr>
          <t xml:space="preserve">
Select Approved, Revisions Needed, or Rejected
</t>
        </r>
      </text>
    </comment>
    <comment ref="S14" authorId="0" shapeId="0" xr:uid="{81E7B150-7335-45F1-80B1-1881E0C5DBA5}">
      <text>
        <r>
          <rPr>
            <b/>
            <sz val="9"/>
            <color indexed="81"/>
            <rFont val="Tahoma"/>
            <family val="2"/>
          </rPr>
          <t xml:space="preserve">CEO Decision
</t>
        </r>
        <r>
          <rPr>
            <sz val="9"/>
            <color indexed="81"/>
            <rFont val="Tahoma"/>
            <family val="2"/>
          </rPr>
          <t xml:space="preserve">Select Approved, Revisions Needed, or Rejected
</t>
        </r>
      </text>
    </comment>
    <comment ref="S15" authorId="0" shapeId="0" xr:uid="{FC723211-583D-45AF-96A1-34A5AE805B19}">
      <text>
        <r>
          <rPr>
            <b/>
            <sz val="9"/>
            <color indexed="81"/>
            <rFont val="Tahoma"/>
            <family val="2"/>
          </rPr>
          <t>CEO Decision</t>
        </r>
        <r>
          <rPr>
            <sz val="9"/>
            <color indexed="81"/>
            <rFont val="Tahoma"/>
            <family val="2"/>
          </rPr>
          <t xml:space="preserve">
Select Approved, Revisions Needed, or Rejected
</t>
        </r>
      </text>
    </comment>
    <comment ref="S18" authorId="0" shapeId="0" xr:uid="{B6A51D47-9088-49FF-9B0E-F2C08D945B68}">
      <text>
        <r>
          <rPr>
            <b/>
            <sz val="9"/>
            <color indexed="81"/>
            <rFont val="Tahoma"/>
            <family val="2"/>
          </rPr>
          <t xml:space="preserve">CEO Decision
</t>
        </r>
        <r>
          <rPr>
            <sz val="9"/>
            <color indexed="81"/>
            <rFont val="Tahoma"/>
            <family val="2"/>
          </rPr>
          <t xml:space="preserve">Select Approved, Revisions Needed, or Rejected
</t>
        </r>
      </text>
    </comment>
    <comment ref="S19" authorId="0" shapeId="0" xr:uid="{6203E557-2864-45A0-87B3-C068EEFF1BE5}">
      <text>
        <r>
          <rPr>
            <b/>
            <sz val="9"/>
            <color indexed="81"/>
            <rFont val="Tahoma"/>
            <family val="2"/>
          </rPr>
          <t xml:space="preserve">CEO Decision
</t>
        </r>
        <r>
          <rPr>
            <sz val="9"/>
            <color indexed="81"/>
            <rFont val="Tahoma"/>
            <family val="2"/>
          </rPr>
          <t xml:space="preserve">Select Approved, Revisions Needed, or Rejected
</t>
        </r>
      </text>
    </comment>
    <comment ref="S20" authorId="0" shapeId="0" xr:uid="{B2241FFC-7E40-4A28-89B8-7B517189C0A4}">
      <text>
        <r>
          <rPr>
            <b/>
            <sz val="9"/>
            <color indexed="81"/>
            <rFont val="Tahoma"/>
            <family val="2"/>
          </rPr>
          <t>CEO Decision</t>
        </r>
        <r>
          <rPr>
            <sz val="9"/>
            <color indexed="81"/>
            <rFont val="Tahoma"/>
            <family val="2"/>
          </rPr>
          <t xml:space="preserve">
Select Approved, Revisions Needed, or Rejected
</t>
        </r>
      </text>
    </comment>
    <comment ref="S21" authorId="0" shapeId="0" xr:uid="{63E05748-D180-497F-92FD-1F687E8F1F3B}">
      <text>
        <r>
          <rPr>
            <b/>
            <sz val="9"/>
            <color indexed="81"/>
            <rFont val="Tahoma"/>
            <family val="2"/>
          </rPr>
          <t xml:space="preserve">CEO Decision
</t>
        </r>
        <r>
          <rPr>
            <sz val="9"/>
            <color indexed="81"/>
            <rFont val="Tahoma"/>
            <family val="2"/>
          </rPr>
          <t xml:space="preserve">Select Approved, Revisions Needed, or Rejected
</t>
        </r>
      </text>
    </comment>
    <comment ref="S22" authorId="0" shapeId="0" xr:uid="{F1572041-2F63-47BB-97DE-A8AC782463B9}">
      <text>
        <r>
          <rPr>
            <b/>
            <sz val="9"/>
            <color indexed="81"/>
            <rFont val="Tahoma"/>
            <family val="2"/>
          </rPr>
          <t>CEO Decision</t>
        </r>
        <r>
          <rPr>
            <sz val="9"/>
            <color indexed="81"/>
            <rFont val="Tahoma"/>
            <family val="2"/>
          </rPr>
          <t xml:space="preserve">
Select Approved, Revisions Needed, or Rejected
</t>
        </r>
      </text>
    </comment>
    <comment ref="S23" authorId="0" shapeId="0" xr:uid="{9B7BABED-C388-407C-9C41-0FBAC4C71AD9}">
      <text>
        <r>
          <rPr>
            <b/>
            <sz val="9"/>
            <color indexed="81"/>
            <rFont val="Tahoma"/>
            <family val="2"/>
          </rPr>
          <t>CEO Decision</t>
        </r>
        <r>
          <rPr>
            <sz val="9"/>
            <color indexed="81"/>
            <rFont val="Tahoma"/>
            <family val="2"/>
          </rPr>
          <t xml:space="preserve">
Select Approved, Revisions Needed, or Rejected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R6" authorId="0" shapeId="0" xr:uid="{0A33AB27-DCB7-4487-AD35-AF04A8A03B6E}">
      <text>
        <r>
          <rPr>
            <b/>
            <sz val="9"/>
            <color indexed="81"/>
            <rFont val="Tahoma"/>
            <family val="2"/>
          </rPr>
          <t xml:space="preserve">CEO Decision
</t>
        </r>
        <r>
          <rPr>
            <sz val="9"/>
            <color indexed="81"/>
            <rFont val="Tahoma"/>
            <family val="2"/>
          </rPr>
          <t xml:space="preserve">Select Approved, Revisions Needed, or Rejected
</t>
        </r>
      </text>
    </comment>
    <comment ref="AB6" authorId="0" shapeId="0" xr:uid="{FC7C827C-8476-4658-98D6-75158D22D275}">
      <text>
        <r>
          <rPr>
            <b/>
            <sz val="9"/>
            <color indexed="81"/>
            <rFont val="Tahoma"/>
            <family val="2"/>
          </rPr>
          <t>Sarah Alcala:</t>
        </r>
        <r>
          <rPr>
            <sz val="9"/>
            <color indexed="81"/>
            <rFont val="Tahoma"/>
            <family val="2"/>
          </rPr>
          <t xml:space="preserve">
Source: Merchant application description (Deal #1) — no separate "Other Rules" field was submitted.</t>
        </r>
      </text>
    </comment>
    <comment ref="AK6" authorId="0" shapeId="0" xr:uid="{4FC78DD0-11E0-42AB-86D1-7C4E9E8DE690}">
      <text>
        <r>
          <rPr>
            <b/>
            <sz val="9"/>
            <color indexed="81"/>
            <rFont val="Tahoma"/>
            <family val="2"/>
          </rPr>
          <t>Sarah Alcala:</t>
        </r>
        <r>
          <rPr>
            <sz val="9"/>
            <color indexed="81"/>
            <rFont val="Tahoma"/>
            <family val="2"/>
          </rPr>
          <t xml:space="preserve">
Source: QL_Deals_Offers_Naira group_Summary.md.pdf — Quick Comparison Table, Sushi Minto: Boat + Appetiser + 2 Drinks, Savings QR 77</t>
        </r>
      </text>
    </comment>
    <comment ref="R7" authorId="0" shapeId="0" xr:uid="{2A4B21AC-1002-417D-81F6-D7BA9CDC2EEA}">
      <text>
        <r>
          <rPr>
            <b/>
            <sz val="9"/>
            <color indexed="81"/>
            <rFont val="Tahoma"/>
            <family val="2"/>
          </rPr>
          <t xml:space="preserve">CEO Decision
</t>
        </r>
        <r>
          <rPr>
            <sz val="9"/>
            <color indexed="81"/>
            <rFont val="Tahoma"/>
            <family val="2"/>
          </rPr>
          <t xml:space="preserve">Select Approved, Revisions Needed, or Rejected
</t>
        </r>
      </text>
    </comment>
    <comment ref="AB7" authorId="0" shapeId="0" xr:uid="{841E2A98-D72C-4925-9FEF-C115C74F76B3}">
      <text>
        <r>
          <rPr>
            <b/>
            <sz val="9"/>
            <color indexed="81"/>
            <rFont val="Tahoma"/>
            <family val="2"/>
          </rPr>
          <t>Source: Merchant application description (Deal #3), reconciled to match confirmed offer title.</t>
        </r>
      </text>
    </comment>
    <comment ref="AK7" authorId="0" shapeId="0" xr:uid="{60EE31D9-9441-4C09-B70A-B26C3E225C65}">
      <text>
        <r>
          <rPr>
            <b/>
            <sz val="9"/>
            <color indexed="81"/>
            <rFont val="Tahoma"/>
            <family val="2"/>
          </rPr>
          <t>Sarah Alcala:</t>
        </r>
        <r>
          <rPr>
            <sz val="9"/>
            <color indexed="81"/>
            <rFont val="Tahoma"/>
            <family val="2"/>
          </rPr>
          <t xml:space="preserve">
Source: QL_Deals_Offers_Naira group_Summary.md.pdf — Quick Comparison Table, Sushi Minto: 8pcs Sushi + Appetiser, Savings QR 33</t>
        </r>
      </text>
    </comment>
    <comment ref="R8" authorId="0" shapeId="0" xr:uid="{7F1C3088-19B6-421C-839C-88F8C26C7945}">
      <text>
        <r>
          <rPr>
            <b/>
            <sz val="9"/>
            <color indexed="81"/>
            <rFont val="Tahoma"/>
            <family val="2"/>
          </rPr>
          <t xml:space="preserve">CEO Decision
</t>
        </r>
        <r>
          <rPr>
            <sz val="9"/>
            <color indexed="81"/>
            <rFont val="Tahoma"/>
            <family val="2"/>
          </rPr>
          <t xml:space="preserve">Select Approved, Revisions Needed, or Rejected
</t>
        </r>
      </text>
    </comment>
    <comment ref="AA8" authorId="0" shapeId="0" xr:uid="{BB8231BE-65AA-4461-B0A4-19ECADDF77BF}">
      <text>
        <r>
          <rPr>
            <b/>
            <sz val="9"/>
            <color indexed="81"/>
            <rFont val="Tahoma"/>
            <family val="2"/>
          </rPr>
          <t>Sarah Alcala:</t>
        </r>
        <r>
          <rPr>
            <sz val="9"/>
            <color indexed="81"/>
            <rFont val="Tahoma"/>
            <family val="2"/>
          </rPr>
          <t xml:space="preserve">
Starting price of Main Course menu: 190 QAR (per user)</t>
        </r>
      </text>
    </comment>
    <comment ref="AB8" authorId="0" shapeId="0" xr:uid="{47A4C403-4015-4777-81C9-DC1AA601DD97}">
      <text>
        <r>
          <rPr>
            <b/>
            <sz val="9"/>
            <color indexed="81"/>
            <rFont val="Tahoma"/>
            <family val="2"/>
          </rPr>
          <t>Source: Merchant application description (Deal #4) — no separate "Other Rules" field was submitted.</t>
        </r>
      </text>
    </comment>
    <comment ref="AK8" authorId="0" shapeId="0" xr:uid="{B327E5A1-E9A6-405B-837D-EF70974D7E14}">
      <text>
        <r>
          <rPr>
            <b/>
            <sz val="9"/>
            <color indexed="81"/>
            <rFont val="Tahoma"/>
            <family val="2"/>
          </rPr>
          <t>Sarah Alcala:</t>
        </r>
        <r>
          <rPr>
            <sz val="9"/>
            <color indexed="81"/>
            <rFont val="Tahoma"/>
            <family val="2"/>
          </rPr>
          <t xml:space="preserve">
Source: QL_Deals_Offers_Naira group_Summary.md.pdf — Quick Comparison Table, Sushi Minto: 8pcs Sushi + Drink, Savings QR 22</t>
        </r>
      </text>
    </comment>
    <comment ref="R9" authorId="0" shapeId="0" xr:uid="{4600A7E7-6188-4CB2-A255-4F571F64BF3C}">
      <text>
        <r>
          <rPr>
            <b/>
            <sz val="9"/>
            <color indexed="81"/>
            <rFont val="Tahoma"/>
            <family val="2"/>
          </rPr>
          <t>CEO Decision</t>
        </r>
        <r>
          <rPr>
            <sz val="9"/>
            <color indexed="81"/>
            <rFont val="Tahoma"/>
            <family val="2"/>
          </rPr>
          <t xml:space="preserve">
Select Approved, Revisions Needed, or Rejected</t>
        </r>
      </text>
    </comment>
    <comment ref="AB9" authorId="0" shapeId="0" xr:uid="{0507660C-01A9-4A08-971D-7D5FE2A2690A}">
      <text>
        <r>
          <rPr>
            <b/>
            <sz val="9"/>
            <color indexed="81"/>
            <rFont val="Tahoma"/>
            <family val="2"/>
          </rPr>
          <t>Source: Merchant application description (Deal #2) — no separate "Other Rules" field was submitted.</t>
        </r>
      </text>
    </comment>
    <comment ref="AK9" authorId="0" shapeId="0" xr:uid="{C96A83B4-897B-4C27-A524-9526D029ECE6}">
      <text>
        <r>
          <rPr>
            <b/>
            <sz val="9"/>
            <color indexed="81"/>
            <rFont val="Tahoma"/>
            <family val="2"/>
          </rPr>
          <t>Sarah Alcala:</t>
        </r>
        <r>
          <rPr>
            <sz val="9"/>
            <color indexed="81"/>
            <rFont val="Tahoma"/>
            <family val="2"/>
          </rPr>
          <t xml:space="preserve">
Source: QL_Deals_Offers_Naira group_Summary.md.pdf — Quick Comparison Table, Shiraz Garden: Main + Appetiser, Savings QR 20</t>
        </r>
      </text>
    </comment>
    <comment ref="R10" authorId="0" shapeId="0" xr:uid="{389728D4-ECE9-494E-9A55-D3173ED6D72B}">
      <text>
        <r>
          <rPr>
            <b/>
            <sz val="9"/>
            <color indexed="81"/>
            <rFont val="Tahoma"/>
            <family val="2"/>
          </rPr>
          <t xml:space="preserve">CEO Decision
</t>
        </r>
        <r>
          <rPr>
            <sz val="9"/>
            <color indexed="81"/>
            <rFont val="Tahoma"/>
            <family val="2"/>
          </rPr>
          <t xml:space="preserve">Select Approved, Revisions Needed, or Rejected
</t>
        </r>
      </text>
    </comment>
    <comment ref="R11" authorId="0" shapeId="0" xr:uid="{DEDD4298-A087-441C-815E-6AA0FE273FE8}">
      <text>
        <r>
          <rPr>
            <b/>
            <sz val="9"/>
            <color indexed="81"/>
            <rFont val="Tahoma"/>
            <family val="2"/>
          </rPr>
          <t>CEO Decision</t>
        </r>
        <r>
          <rPr>
            <sz val="9"/>
            <color indexed="81"/>
            <rFont val="Tahoma"/>
            <family val="2"/>
          </rPr>
          <t xml:space="preserve">
Select Approved, Revisions Needed, or Rejected
</t>
        </r>
      </text>
    </comment>
    <comment ref="R12" authorId="0" shapeId="0" xr:uid="{5761588E-6B59-44F3-94AC-8816D88623E8}">
      <text>
        <r>
          <rPr>
            <b/>
            <sz val="9"/>
            <color indexed="81"/>
            <rFont val="Tahoma"/>
            <family val="2"/>
          </rPr>
          <t>CEO Decision</t>
        </r>
        <r>
          <rPr>
            <sz val="9"/>
            <color indexed="81"/>
            <rFont val="Tahoma"/>
            <family val="2"/>
          </rPr>
          <t xml:space="preserve">
Select Approved, Revisions Needed, or Rejected
</t>
        </r>
      </text>
    </comment>
    <comment ref="R13" authorId="0" shapeId="0" xr:uid="{F9C66B24-F295-4D37-B40D-58815D4183E9}">
      <text>
        <r>
          <rPr>
            <b/>
            <sz val="9"/>
            <color indexed="81"/>
            <rFont val="Tahoma"/>
            <family val="2"/>
          </rPr>
          <t>CEO Decision</t>
        </r>
        <r>
          <rPr>
            <sz val="9"/>
            <color indexed="81"/>
            <rFont val="Tahoma"/>
            <family val="2"/>
          </rPr>
          <t xml:space="preserve">
Select Approved, Revisions Needed, or Rejected
</t>
        </r>
      </text>
    </comment>
    <comment ref="R14" authorId="0" shapeId="0" xr:uid="{8BD0323D-6634-4CB9-A2F1-A59015F2C694}">
      <text>
        <r>
          <rPr>
            <b/>
            <sz val="9"/>
            <color indexed="81"/>
            <rFont val="Tahoma"/>
            <family val="2"/>
          </rPr>
          <t xml:space="preserve">CEO Decision
</t>
        </r>
        <r>
          <rPr>
            <sz val="9"/>
            <color indexed="81"/>
            <rFont val="Tahoma"/>
            <family val="2"/>
          </rPr>
          <t xml:space="preserve">Select Approved, Revisions Needed, or Rejected
</t>
        </r>
      </text>
    </comment>
    <comment ref="R15" authorId="0" shapeId="0" xr:uid="{D1809F26-77B4-4C0A-A17F-06C2AC80DDD9}">
      <text>
        <r>
          <rPr>
            <b/>
            <sz val="9"/>
            <color indexed="81"/>
            <rFont val="Tahoma"/>
            <family val="2"/>
          </rPr>
          <t xml:space="preserve">CEO Decision
</t>
        </r>
        <r>
          <rPr>
            <sz val="9"/>
            <color indexed="81"/>
            <rFont val="Tahoma"/>
            <family val="2"/>
          </rPr>
          <t xml:space="preserve">
Select Approved, Revisions Needed, or Rejected
</t>
        </r>
      </text>
    </comment>
    <comment ref="R16" authorId="0" shapeId="0" xr:uid="{E9B49023-9FA9-4FF8-B48D-1A3AEB78BD4E}">
      <text>
        <r>
          <rPr>
            <b/>
            <sz val="9"/>
            <color indexed="81"/>
            <rFont val="Tahoma"/>
            <family val="2"/>
          </rPr>
          <t xml:space="preserve">CEO Decision
Select Approved, Revisions Needed, or Rejected
</t>
        </r>
      </text>
    </comment>
    <comment ref="R17" authorId="0" shapeId="0" xr:uid="{485BF205-48A6-4B35-9A61-7F94EF63C658}">
      <text>
        <r>
          <rPr>
            <b/>
            <sz val="9"/>
            <color indexed="81"/>
            <rFont val="Tahoma"/>
            <family val="2"/>
          </rPr>
          <t xml:space="preserve">CEO Decision
Select Approved, Revisions Needed, or Rejected
</t>
        </r>
      </text>
    </comment>
    <comment ref="R18" authorId="0" shapeId="0" xr:uid="{AE25E12E-6616-4073-844E-AA2C3D56261E}">
      <text>
        <r>
          <rPr>
            <b/>
            <sz val="9"/>
            <color indexed="81"/>
            <rFont val="Tahoma"/>
            <family val="2"/>
          </rPr>
          <t xml:space="preserve">CEO Decision
Select Approved, Revisions Needed, or Rejected
</t>
        </r>
      </text>
    </comment>
    <comment ref="R42" authorId="0" shapeId="0" xr:uid="{C4007421-D159-4A05-B258-5D734D6AF3E9}">
      <text>
        <r>
          <rPr>
            <b/>
            <sz val="9"/>
            <color indexed="81"/>
            <rFont val="Tahoma"/>
            <family val="2"/>
          </rPr>
          <t xml:space="preserve">CEO Decision
Select Approved, Revisions Needed, or Rejected
</t>
        </r>
      </text>
    </comment>
    <comment ref="R43" authorId="0" shapeId="0" xr:uid="{0C2C7432-D7E8-4659-A7A3-E50E47FF728F}">
      <text>
        <r>
          <rPr>
            <b/>
            <sz val="9"/>
            <color indexed="81"/>
            <rFont val="Tahoma"/>
            <family val="2"/>
          </rPr>
          <t xml:space="preserve">CEO Decision
Select Approved, Revisions Needed, or Rejected
</t>
        </r>
      </text>
    </comment>
    <comment ref="R44" authorId="0" shapeId="0" xr:uid="{DD152835-FF4E-4995-B0EB-F90A79021A19}">
      <text>
        <r>
          <rPr>
            <b/>
            <sz val="9"/>
            <color indexed="81"/>
            <rFont val="Tahoma"/>
            <family val="2"/>
          </rPr>
          <t xml:space="preserve">CEO Decision
Select Approved, Revisions Needed, or Rejected
</t>
        </r>
      </text>
    </comment>
    <comment ref="R45" authorId="0" shapeId="0" xr:uid="{ED36FCE5-752B-4DC1-B83D-1BC50E6CB72B}">
      <text>
        <r>
          <rPr>
            <b/>
            <sz val="9"/>
            <color indexed="81"/>
            <rFont val="Tahoma"/>
            <family val="2"/>
          </rPr>
          <t xml:space="preserve">CEO Decision
Select Approved, Revisions Needed, or Rejected
</t>
        </r>
      </text>
    </comment>
    <comment ref="R46" authorId="0" shapeId="0" xr:uid="{9E99F811-D3D3-4EF2-9D3F-3E7759BC96DC}">
      <text>
        <r>
          <rPr>
            <b/>
            <sz val="9"/>
            <color indexed="81"/>
            <rFont val="Tahoma"/>
            <family val="2"/>
          </rPr>
          <t>CEO Decision</t>
        </r>
        <r>
          <rPr>
            <sz val="9"/>
            <color indexed="81"/>
            <rFont val="Tahoma"/>
            <family val="2"/>
          </rPr>
          <t xml:space="preserve">
Select Approved, Revisions Needed, or Rejected
</t>
        </r>
      </text>
    </comment>
    <comment ref="R47" authorId="0" shapeId="0" xr:uid="{BCED4D47-B765-4CCF-ACA0-E92366111015}">
      <text>
        <r>
          <rPr>
            <b/>
            <sz val="9"/>
            <color indexed="81"/>
            <rFont val="Tahoma"/>
            <family val="2"/>
          </rPr>
          <t xml:space="preserve">CEO Decision
</t>
        </r>
        <r>
          <rPr>
            <sz val="9"/>
            <color indexed="81"/>
            <rFont val="Tahoma"/>
            <family val="2"/>
          </rPr>
          <t xml:space="preserve">Select Approved, Revisions Needed, or Rejected
</t>
        </r>
      </text>
    </comment>
    <comment ref="R48" authorId="0" shapeId="0" xr:uid="{8EE34399-F287-48D9-9B23-B2C67BD0F704}">
      <text>
        <r>
          <rPr>
            <b/>
            <sz val="9"/>
            <color indexed="81"/>
            <rFont val="Tahoma"/>
            <family val="2"/>
          </rPr>
          <t>CEO Decision</t>
        </r>
        <r>
          <rPr>
            <sz val="9"/>
            <color indexed="81"/>
            <rFont val="Tahoma"/>
            <family val="2"/>
          </rPr>
          <t xml:space="preserve">
Select Approved, Revisions Needed, or Rejected
</t>
        </r>
      </text>
    </comment>
    <comment ref="R49" authorId="0" shapeId="0" xr:uid="{886FDA4B-132E-4913-93AF-49E6AF3F41C9}">
      <text>
        <r>
          <rPr>
            <b/>
            <sz val="9"/>
            <color indexed="81"/>
            <rFont val="Tahoma"/>
            <family val="2"/>
          </rPr>
          <t xml:space="preserve">CEO Decision
</t>
        </r>
        <r>
          <rPr>
            <sz val="9"/>
            <color indexed="81"/>
            <rFont val="Tahoma"/>
            <family val="2"/>
          </rPr>
          <t xml:space="preserve">Select Approved, Revisions Needed, or Rejected
</t>
        </r>
      </text>
    </comment>
    <comment ref="R50" authorId="0" shapeId="0" xr:uid="{DF7C450D-8B0F-44E6-963D-857B37A01A6D}">
      <text>
        <r>
          <rPr>
            <b/>
            <sz val="9"/>
            <color indexed="81"/>
            <rFont val="Tahoma"/>
            <family val="2"/>
          </rPr>
          <t xml:space="preserve">CEO Decision
</t>
        </r>
        <r>
          <rPr>
            <sz val="9"/>
            <color indexed="81"/>
            <rFont val="Tahoma"/>
            <family val="2"/>
          </rPr>
          <t xml:space="preserve">Select Approved, Revisions Needed, or Rejected
</t>
        </r>
      </text>
    </comment>
    <comment ref="R51" authorId="0" shapeId="0" xr:uid="{F3B69E5B-7900-49DC-B0E0-B8AF69CE3490}">
      <text>
        <r>
          <rPr>
            <b/>
            <sz val="9"/>
            <color indexed="81"/>
            <rFont val="Tahoma"/>
            <family val="2"/>
          </rPr>
          <t xml:space="preserve">CEO Decision
</t>
        </r>
        <r>
          <rPr>
            <sz val="9"/>
            <color indexed="81"/>
            <rFont val="Tahoma"/>
            <family val="2"/>
          </rPr>
          <t xml:space="preserve">Select Approved, Revisions Needed, or Rejected
</t>
        </r>
      </text>
    </comment>
    <comment ref="R52" authorId="0" shapeId="0" xr:uid="{5940A782-D92B-4A4A-B4BB-08D1EEA4EEA8}">
      <text>
        <r>
          <rPr>
            <b/>
            <sz val="9"/>
            <color indexed="81"/>
            <rFont val="Tahoma"/>
            <family val="2"/>
          </rPr>
          <t xml:space="preserve">CEO Decision
</t>
        </r>
        <r>
          <rPr>
            <sz val="9"/>
            <color indexed="81"/>
            <rFont val="Tahoma"/>
            <family val="2"/>
          </rPr>
          <t xml:space="preserve">Select Approved, Revisions Needed, or Rejected
</t>
        </r>
      </text>
    </comment>
    <comment ref="R53" authorId="0" shapeId="0" xr:uid="{5251DCC2-3ECD-49E8-8F0E-5F30F3F9F2F6}">
      <text>
        <r>
          <rPr>
            <b/>
            <sz val="9"/>
            <color indexed="81"/>
            <rFont val="Tahoma"/>
            <family val="2"/>
          </rPr>
          <t>CEO Decision</t>
        </r>
        <r>
          <rPr>
            <sz val="9"/>
            <color indexed="81"/>
            <rFont val="Tahoma"/>
            <family val="2"/>
          </rPr>
          <t xml:space="preserve">
Select Approved, Revisions Needed, or Rejected
</t>
        </r>
      </text>
    </comment>
    <comment ref="R54" authorId="0" shapeId="0" xr:uid="{5DC2CE25-15B2-416D-9984-144109EA9646}">
      <text>
        <r>
          <rPr>
            <b/>
            <sz val="9"/>
            <color indexed="81"/>
            <rFont val="Tahoma"/>
            <family val="2"/>
          </rPr>
          <t>CEO Decision</t>
        </r>
        <r>
          <rPr>
            <sz val="9"/>
            <color indexed="81"/>
            <rFont val="Tahoma"/>
            <family val="2"/>
          </rPr>
          <t xml:space="preserve">
Select Approved, Revisions Needed, or Rejected
</t>
        </r>
      </text>
    </comment>
    <comment ref="R55" authorId="0" shapeId="0" xr:uid="{2D85FD29-9389-45D2-B5E8-F16D8BF16490}">
      <text>
        <r>
          <rPr>
            <b/>
            <sz val="9"/>
            <color indexed="81"/>
            <rFont val="Tahoma"/>
            <family val="2"/>
          </rPr>
          <t>CEO Decision</t>
        </r>
        <r>
          <rPr>
            <sz val="9"/>
            <color indexed="81"/>
            <rFont val="Tahoma"/>
            <family val="2"/>
          </rPr>
          <t xml:space="preserve">
Select Approved, Revisions Needed, or Rejected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R6" authorId="0" shapeId="0" xr:uid="{8A858E5D-3C8C-4B00-9B42-4F14592474FF}">
      <text>
        <r>
          <rPr>
            <b/>
            <sz val="9"/>
            <color indexed="81"/>
            <rFont val="Tahoma"/>
            <family val="2"/>
          </rPr>
          <t xml:space="preserve">CEO Decision
</t>
        </r>
        <r>
          <rPr>
            <sz val="9"/>
            <color indexed="81"/>
            <rFont val="Tahoma"/>
            <family val="2"/>
          </rPr>
          <t xml:space="preserve">Select Approved, Revisions Needed, or Rejected
</t>
        </r>
      </text>
    </comment>
    <comment ref="R7" authorId="0" shapeId="0" xr:uid="{0B116D58-D99F-4949-9E18-CC832F1BB058}">
      <text>
        <r>
          <rPr>
            <b/>
            <sz val="9"/>
            <color indexed="81"/>
            <rFont val="Tahoma"/>
            <family val="2"/>
          </rPr>
          <t xml:space="preserve">CEO Decision
</t>
        </r>
        <r>
          <rPr>
            <sz val="9"/>
            <color indexed="81"/>
            <rFont val="Tahoma"/>
            <family val="2"/>
          </rPr>
          <t xml:space="preserve">Select Approved, Revisions Needed, or Rejected
</t>
        </r>
      </text>
    </comment>
    <comment ref="S7" authorId="0" shapeId="0" xr:uid="{1DF5DAFC-84F4-43DB-97B1-FB5CBDAA454D}">
      <text>
        <r>
          <rPr>
            <b/>
            <sz val="9"/>
            <color indexed="81"/>
            <rFont val="Tahoma"/>
            <family val="2"/>
          </rPr>
          <t>Sarah Alcala:</t>
        </r>
        <r>
          <rPr>
            <sz val="9"/>
            <color indexed="81"/>
            <rFont val="Tahoma"/>
            <family val="2"/>
          </rPr>
          <t xml:space="preserve">
CEO Decision
Select Approved, Revisions Needed, or Rejected
</t>
        </r>
      </text>
    </comment>
    <comment ref="R8" authorId="0" shapeId="0" xr:uid="{667FD110-ECB0-41B7-8CF0-8E4000DE01DC}">
      <text>
        <r>
          <rPr>
            <b/>
            <sz val="9"/>
            <color indexed="81"/>
            <rFont val="Tahoma"/>
            <family val="2"/>
          </rPr>
          <t xml:space="preserve">CEO Decision
</t>
        </r>
        <r>
          <rPr>
            <sz val="9"/>
            <color indexed="81"/>
            <rFont val="Tahoma"/>
            <family val="2"/>
          </rPr>
          <t xml:space="preserve">Select Approved, Revisions Needed, or Rejected
</t>
        </r>
      </text>
    </comment>
    <comment ref="AA8" authorId="0" shapeId="0" xr:uid="{4C2E9C22-640C-4ED6-91FA-ABD4BFFFD7EF}">
      <text>
        <r>
          <rPr>
            <b/>
            <sz val="9"/>
            <color indexed="81"/>
            <rFont val="Tahoma"/>
            <family val="2"/>
          </rPr>
          <t>Sarah Alcala:</t>
        </r>
        <r>
          <rPr>
            <sz val="9"/>
            <color indexed="81"/>
            <rFont val="Tahoma"/>
            <family val="2"/>
          </rPr>
          <t xml:space="preserve">
Starting price of Main Course menu: 190 QAR (per user)</t>
        </r>
      </text>
    </comment>
    <comment ref="R9" authorId="0" shapeId="0" xr:uid="{2C41C4EA-CD2A-4401-BB9C-84289DE5FC99}">
      <text>
        <r>
          <rPr>
            <b/>
            <sz val="9"/>
            <color indexed="81"/>
            <rFont val="Tahoma"/>
            <family val="2"/>
          </rPr>
          <t>CEO Decision</t>
        </r>
        <r>
          <rPr>
            <sz val="9"/>
            <color indexed="81"/>
            <rFont val="Tahoma"/>
            <family val="2"/>
          </rPr>
          <t xml:space="preserve">
Select Approved, Revisions Needed, or Rejected</t>
        </r>
      </text>
    </comment>
    <comment ref="R10" authorId="0" shapeId="0" xr:uid="{B67FE8B3-34A3-41DB-A44C-20BFC66F013E}">
      <text>
        <r>
          <rPr>
            <b/>
            <sz val="9"/>
            <color indexed="81"/>
            <rFont val="Tahoma"/>
            <family val="2"/>
          </rPr>
          <t xml:space="preserve">CEO Decision
</t>
        </r>
        <r>
          <rPr>
            <sz val="9"/>
            <color indexed="81"/>
            <rFont val="Tahoma"/>
            <family val="2"/>
          </rPr>
          <t xml:space="preserve">
Select Approved, Revisions Needed, or Rejected
</t>
        </r>
      </text>
    </comment>
    <comment ref="R11" authorId="0" shapeId="0" xr:uid="{0CCD9A59-1B90-4183-ADB4-63A78DB1AE96}">
      <text>
        <r>
          <rPr>
            <b/>
            <sz val="9"/>
            <color indexed="81"/>
            <rFont val="Tahoma"/>
            <family val="2"/>
          </rPr>
          <t>CEO Decision</t>
        </r>
        <r>
          <rPr>
            <sz val="9"/>
            <color indexed="81"/>
            <rFont val="Tahoma"/>
            <family val="2"/>
          </rPr>
          <t xml:space="preserve">
Select Approved, Revisions Needed, or Rejected
</t>
        </r>
      </text>
    </comment>
    <comment ref="R12" authorId="0" shapeId="0" xr:uid="{5E697547-7C4E-4224-9EC1-C21F2CAD5882}">
      <text>
        <r>
          <rPr>
            <b/>
            <sz val="9"/>
            <color indexed="81"/>
            <rFont val="Tahoma"/>
            <family val="2"/>
          </rPr>
          <t>CEO Decision</t>
        </r>
        <r>
          <rPr>
            <sz val="9"/>
            <color indexed="81"/>
            <rFont val="Tahoma"/>
            <family val="2"/>
          </rPr>
          <t xml:space="preserve">
Select Approved, Revisions Needed, or Rejected
</t>
        </r>
      </text>
    </comment>
    <comment ref="R13" authorId="0" shapeId="0" xr:uid="{EB189D5C-F00C-4DC9-843D-C8E1790178B0}">
      <text>
        <r>
          <rPr>
            <b/>
            <sz val="9"/>
            <color indexed="81"/>
            <rFont val="Tahoma"/>
            <family val="2"/>
          </rPr>
          <t xml:space="preserve">CEO Decision
</t>
        </r>
        <r>
          <rPr>
            <sz val="9"/>
            <color indexed="81"/>
            <rFont val="Tahoma"/>
            <family val="2"/>
          </rPr>
          <t xml:space="preserve">Select Approved, Revisions Needed, or Rejected
</t>
        </r>
      </text>
    </comment>
    <comment ref="R14" authorId="0" shapeId="0" xr:uid="{490598AA-8BF4-42F1-AD6F-5C4772AA254A}">
      <text>
        <r>
          <rPr>
            <b/>
            <sz val="9"/>
            <color indexed="81"/>
            <rFont val="Tahoma"/>
            <family val="2"/>
          </rPr>
          <t>CEO Decision</t>
        </r>
        <r>
          <rPr>
            <sz val="9"/>
            <color indexed="81"/>
            <rFont val="Tahoma"/>
            <family val="2"/>
          </rPr>
          <t xml:space="preserve">
Select Approved, Revisions Needed, or Rejected
</t>
        </r>
      </text>
    </comment>
    <comment ref="R15" authorId="0" shapeId="0" xr:uid="{72F758DC-608B-4279-855E-ADC5E86C5A31}">
      <text>
        <r>
          <rPr>
            <b/>
            <sz val="9"/>
            <color indexed="81"/>
            <rFont val="Tahoma"/>
            <family val="2"/>
          </rPr>
          <t>CEO Decision</t>
        </r>
        <r>
          <rPr>
            <sz val="9"/>
            <color indexed="81"/>
            <rFont val="Tahoma"/>
            <family val="2"/>
          </rPr>
          <t xml:space="preserve">
Select Approved, Revisions Needed, or Rejected
</t>
        </r>
      </text>
    </comment>
    <comment ref="R16" authorId="0" shapeId="0" xr:uid="{A5F5E059-70E8-4F29-985C-E802421A5D69}">
      <text>
        <r>
          <rPr>
            <b/>
            <sz val="9"/>
            <color indexed="81"/>
            <rFont val="Tahoma"/>
            <family val="2"/>
          </rPr>
          <t>CEO Decision</t>
        </r>
        <r>
          <rPr>
            <sz val="9"/>
            <color indexed="81"/>
            <rFont val="Tahoma"/>
            <family val="2"/>
          </rPr>
          <t xml:space="preserve">
Select Approved, Revisions Needed, or Rejected
</t>
        </r>
      </text>
    </comment>
    <comment ref="R17" authorId="0" shapeId="0" xr:uid="{18BC473F-47E3-4293-8A77-A1962B14677F}">
      <text>
        <r>
          <rPr>
            <b/>
            <sz val="9"/>
            <color indexed="81"/>
            <rFont val="Tahoma"/>
            <family val="2"/>
          </rPr>
          <t>CEO Decision</t>
        </r>
        <r>
          <rPr>
            <sz val="9"/>
            <color indexed="81"/>
            <rFont val="Tahoma"/>
            <family val="2"/>
          </rPr>
          <t xml:space="preserve">
Select Approved, Revisions Needed, or Rejected
</t>
        </r>
      </text>
    </comment>
    <comment ref="R18" authorId="0" shapeId="0" xr:uid="{B2665468-194D-495E-8E85-39CBDECB1EAA}">
      <text>
        <r>
          <rPr>
            <b/>
            <sz val="9"/>
            <color indexed="81"/>
            <rFont val="Tahoma"/>
            <family val="2"/>
          </rPr>
          <t>CEO Decision</t>
        </r>
        <r>
          <rPr>
            <sz val="9"/>
            <color indexed="81"/>
            <rFont val="Tahoma"/>
            <family val="2"/>
          </rPr>
          <t xml:space="preserve">
Select Approved, Revisions Needed, or Rejected
</t>
        </r>
      </text>
    </comment>
    <comment ref="R19" authorId="0" shapeId="0" xr:uid="{A2BE291D-C979-4CA3-A6E1-65D3EB218423}">
      <text>
        <r>
          <rPr>
            <b/>
            <sz val="9"/>
            <color indexed="81"/>
            <rFont val="Tahoma"/>
            <family val="2"/>
          </rPr>
          <t>CEO Decision</t>
        </r>
        <r>
          <rPr>
            <sz val="9"/>
            <color indexed="81"/>
            <rFont val="Tahoma"/>
            <family val="2"/>
          </rPr>
          <t xml:space="preserve">
Select Approved, Revisions Needed, or Rejected
</t>
        </r>
      </text>
    </comment>
    <comment ref="AA19" authorId="0" shapeId="0" xr:uid="{503A49ED-CC3C-4135-8568-CB2F63D17B60}">
      <text>
        <r>
          <rPr>
            <b/>
            <sz val="9"/>
            <color indexed="81"/>
            <rFont val="Tahoma"/>
            <family val="2"/>
          </rPr>
          <t>Sarah Alcala:</t>
        </r>
        <r>
          <rPr>
            <sz val="9"/>
            <color indexed="81"/>
            <rFont val="Tahoma"/>
            <family val="2"/>
          </rPr>
          <t xml:space="preserve">
Source: Offer Title text ("Get 25 QAR Free")</t>
        </r>
      </text>
    </comment>
    <comment ref="R20" authorId="0" shapeId="0" xr:uid="{861DE87B-C358-4C73-B8D2-50F779F63942}">
      <text>
        <r>
          <rPr>
            <b/>
            <sz val="9"/>
            <color indexed="81"/>
            <rFont val="Tahoma"/>
            <family val="2"/>
          </rPr>
          <t>CEO Decision</t>
        </r>
        <r>
          <rPr>
            <sz val="9"/>
            <color indexed="81"/>
            <rFont val="Tahoma"/>
            <family val="2"/>
          </rPr>
          <t xml:space="preserve">
Select Approved, Revisions Needed, or Rejected
</t>
        </r>
      </text>
    </comment>
    <comment ref="R21" authorId="0" shapeId="0" xr:uid="{192EA598-8C7F-4D47-BE4E-11082903C90F}">
      <text>
        <r>
          <rPr>
            <b/>
            <sz val="9"/>
            <color indexed="81"/>
            <rFont val="Tahoma"/>
            <family val="2"/>
          </rPr>
          <t xml:space="preserve">CEO Decision
</t>
        </r>
        <r>
          <rPr>
            <sz val="9"/>
            <color indexed="81"/>
            <rFont val="Tahoma"/>
            <family val="2"/>
          </rPr>
          <t xml:space="preserve">Select Approved, Revisions Needed, or Rejected
</t>
        </r>
      </text>
    </comment>
    <comment ref="AA21" authorId="0" shapeId="0" xr:uid="{1AFDB8C7-8F76-427C-BA68-B978CD42D35F}">
      <text>
        <r>
          <rPr>
            <b/>
            <sz val="9"/>
            <color indexed="81"/>
            <rFont val="Tahoma"/>
            <family val="2"/>
          </rPr>
          <t>Sarah Alcala:</t>
        </r>
        <r>
          <rPr>
            <sz val="9"/>
            <color indexed="81"/>
            <rFont val="Tahoma"/>
            <family val="2"/>
          </rPr>
          <t xml:space="preserve">
Source: Offer Title text ("Get 100 QAR Free")</t>
        </r>
      </text>
    </comment>
    <comment ref="R22" authorId="0" shapeId="0" xr:uid="{FF888C34-54E5-4640-ACF9-237173241450}">
      <text>
        <r>
          <rPr>
            <b/>
            <sz val="9"/>
            <color indexed="81"/>
            <rFont val="Tahoma"/>
            <family val="2"/>
          </rPr>
          <t xml:space="preserve">CEO Decision
</t>
        </r>
        <r>
          <rPr>
            <sz val="9"/>
            <color indexed="81"/>
            <rFont val="Tahoma"/>
            <family val="2"/>
          </rPr>
          <t xml:space="preserve">Select Approved, Revisions Needed, or Rejected
</t>
        </r>
      </text>
    </comment>
    <comment ref="AA22" authorId="0" shapeId="0" xr:uid="{D71FC777-A77B-495A-8656-3AB95616DAF1}">
      <text>
        <r>
          <rPr>
            <b/>
            <sz val="9"/>
            <color indexed="81"/>
            <rFont val="Tahoma"/>
            <family val="2"/>
          </rPr>
          <t>Sarah Alcala:</t>
        </r>
        <r>
          <rPr>
            <sz val="9"/>
            <color indexed="81"/>
            <rFont val="Tahoma"/>
            <family val="2"/>
          </rPr>
          <t xml:space="preserve">
Source: Offer Title text ("Get 300 QAR Free")</t>
        </r>
      </text>
    </comment>
    <comment ref="R23" authorId="0" shapeId="0" xr:uid="{FB85E7D9-9E3B-4405-9A31-6EB34292187E}">
      <text>
        <r>
          <rPr>
            <b/>
            <sz val="9"/>
            <color indexed="81"/>
            <rFont val="Tahoma"/>
            <family val="2"/>
          </rPr>
          <t xml:space="preserve">CEO Decision
</t>
        </r>
        <r>
          <rPr>
            <sz val="9"/>
            <color indexed="81"/>
            <rFont val="Tahoma"/>
            <family val="2"/>
          </rPr>
          <t xml:space="preserve">Select Approved, Revisions Needed, or Rejected
</t>
        </r>
      </text>
    </comment>
    <comment ref="R24" authorId="0" shapeId="0" xr:uid="{78AD36F4-62E5-46EA-B29B-A8489F2AC2FC}">
      <text>
        <r>
          <rPr>
            <b/>
            <sz val="9"/>
            <color indexed="81"/>
            <rFont val="Tahoma"/>
            <family val="2"/>
          </rPr>
          <t xml:space="preserve">CEO Decision
</t>
        </r>
        <r>
          <rPr>
            <sz val="9"/>
            <color indexed="81"/>
            <rFont val="Tahoma"/>
            <family val="2"/>
          </rPr>
          <t xml:space="preserve">Select Approved, Revisions Needed, or Rejected
</t>
        </r>
      </text>
    </comment>
    <comment ref="R25" authorId="0" shapeId="0" xr:uid="{EF89B019-51C6-4E54-BB55-758BAFE717B7}">
      <text>
        <r>
          <rPr>
            <b/>
            <sz val="9"/>
            <color indexed="81"/>
            <rFont val="Tahoma"/>
            <family val="2"/>
          </rPr>
          <t xml:space="preserve">CEO Decision
</t>
        </r>
        <r>
          <rPr>
            <sz val="9"/>
            <color indexed="81"/>
            <rFont val="Tahoma"/>
            <family val="2"/>
          </rPr>
          <t xml:space="preserve">Select Approved, Revisions Needed, or Rejected
</t>
        </r>
      </text>
    </comment>
    <comment ref="R26" authorId="0" shapeId="0" xr:uid="{28ECF633-C2AF-44E5-9151-45B88DBD4561}">
      <text>
        <r>
          <rPr>
            <b/>
            <sz val="9"/>
            <color indexed="81"/>
            <rFont val="Tahoma"/>
            <family val="2"/>
          </rPr>
          <t xml:space="preserve">CEO Decision
</t>
        </r>
        <r>
          <rPr>
            <sz val="9"/>
            <color indexed="81"/>
            <rFont val="Tahoma"/>
            <family val="2"/>
          </rPr>
          <t>Select Approved, Revisions Needed, or Rejected</t>
        </r>
      </text>
    </comment>
    <comment ref="R27" authorId="0" shapeId="0" xr:uid="{07AABADA-73C6-4FEF-A092-33F3945E11AC}">
      <text>
        <r>
          <rPr>
            <b/>
            <sz val="9"/>
            <color indexed="81"/>
            <rFont val="Tahoma"/>
            <family val="2"/>
          </rPr>
          <t xml:space="preserve">CEO Decision
</t>
        </r>
        <r>
          <rPr>
            <sz val="9"/>
            <color indexed="81"/>
            <rFont val="Tahoma"/>
            <family val="2"/>
          </rPr>
          <t xml:space="preserve">Select Approved, Revisions Needed, or Rejected
</t>
        </r>
      </text>
    </comment>
    <comment ref="R28" authorId="0" shapeId="0" xr:uid="{2F16FF98-15E7-4D02-9D7E-121031BC3F8E}">
      <text>
        <r>
          <rPr>
            <b/>
            <sz val="9"/>
            <color indexed="81"/>
            <rFont val="Tahoma"/>
            <family val="2"/>
          </rPr>
          <t>CEO Decision</t>
        </r>
        <r>
          <rPr>
            <sz val="9"/>
            <color indexed="81"/>
            <rFont val="Tahoma"/>
            <family val="2"/>
          </rPr>
          <t xml:space="preserve">
Select Approved, Revisions Needed, or Rejected
</t>
        </r>
      </text>
    </comment>
    <comment ref="R29" authorId="0" shapeId="0" xr:uid="{26126E58-4B6B-4F7B-9856-F9BFD8C52EDA}">
      <text>
        <r>
          <rPr>
            <b/>
            <sz val="9"/>
            <color indexed="81"/>
            <rFont val="Tahoma"/>
            <family val="2"/>
          </rPr>
          <t>CEO Decision</t>
        </r>
        <r>
          <rPr>
            <sz val="9"/>
            <color indexed="81"/>
            <rFont val="Tahoma"/>
            <family val="2"/>
          </rPr>
          <t xml:space="preserve">
Select Approved, Revisions Needed, or Rejected
</t>
        </r>
      </text>
    </comment>
    <comment ref="R30" authorId="0" shapeId="0" xr:uid="{9B9839C3-CFE9-4B75-B335-9F958DF670CE}">
      <text>
        <r>
          <rPr>
            <b/>
            <sz val="9"/>
            <color indexed="81"/>
            <rFont val="Tahoma"/>
            <family val="2"/>
          </rPr>
          <t xml:space="preserve">CEO Decision
</t>
        </r>
        <r>
          <rPr>
            <sz val="9"/>
            <color indexed="81"/>
            <rFont val="Tahoma"/>
            <family val="2"/>
          </rPr>
          <t xml:space="preserve">Select Approved, Revisions Needed, or Rejected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R6" authorId="0" shapeId="0" xr:uid="{72D2CBA3-E610-423D-B9CA-01567D886D76}">
      <text>
        <r>
          <rPr>
            <b/>
            <sz val="9"/>
            <color indexed="81"/>
            <rFont val="Tahoma"/>
            <family val="2"/>
          </rPr>
          <t xml:space="preserve">CEO Decision
</t>
        </r>
        <r>
          <rPr>
            <sz val="9"/>
            <color indexed="81"/>
            <rFont val="Tahoma"/>
            <family val="2"/>
          </rPr>
          <t xml:space="preserve">Select Approved, Revisions Needed, or Rejected
</t>
        </r>
      </text>
    </comment>
    <comment ref="R7" authorId="0" shapeId="0" xr:uid="{80E2ACFC-D9C2-4D3A-8F5F-619D58F54A51}">
      <text>
        <r>
          <rPr>
            <b/>
            <sz val="9"/>
            <color indexed="81"/>
            <rFont val="Tahoma"/>
            <family val="2"/>
          </rPr>
          <t xml:space="preserve">CEO Decision
</t>
        </r>
        <r>
          <rPr>
            <sz val="9"/>
            <color indexed="81"/>
            <rFont val="Tahoma"/>
            <family val="2"/>
          </rPr>
          <t xml:space="preserve">Select Approved, Revisions Needed, or Rejected
</t>
        </r>
      </text>
    </comment>
    <comment ref="R8" authorId="0" shapeId="0" xr:uid="{C750AAEA-D5BC-44E1-8A22-92AA53B626A5}">
      <text>
        <r>
          <rPr>
            <b/>
            <sz val="9"/>
            <color indexed="81"/>
            <rFont val="Tahoma"/>
            <family val="2"/>
          </rPr>
          <t xml:space="preserve">CEO Decision
</t>
        </r>
        <r>
          <rPr>
            <sz val="9"/>
            <color indexed="81"/>
            <rFont val="Tahoma"/>
            <family val="2"/>
          </rPr>
          <t xml:space="preserve">Select Approved, Revisions Needed, or Rejected
</t>
        </r>
      </text>
    </comment>
    <comment ref="R9" authorId="0" shapeId="0" xr:uid="{0EE9516D-D5A6-4155-8EF3-53A9E6546A5D}">
      <text>
        <r>
          <rPr>
            <b/>
            <sz val="9"/>
            <color indexed="81"/>
            <rFont val="Tahoma"/>
            <family val="2"/>
          </rPr>
          <t xml:space="preserve">CEO Decision
</t>
        </r>
        <r>
          <rPr>
            <sz val="9"/>
            <color indexed="81"/>
            <rFont val="Tahoma"/>
            <family val="2"/>
          </rPr>
          <t xml:space="preserve">Select Approved, Revisions Needed, or Rejected
</t>
        </r>
      </text>
    </comment>
    <comment ref="R10" authorId="0" shapeId="0" xr:uid="{3632238D-CEB7-47A9-89DE-6DF43581425D}">
      <text>
        <r>
          <rPr>
            <b/>
            <sz val="9"/>
            <color indexed="81"/>
            <rFont val="Tahoma"/>
            <family val="2"/>
          </rPr>
          <t xml:space="preserve">CEO Decision
</t>
        </r>
        <r>
          <rPr>
            <sz val="9"/>
            <color indexed="81"/>
            <rFont val="Tahoma"/>
            <family val="2"/>
          </rPr>
          <t xml:space="preserve">Select Approved, Revisions Needed, or Rejected
</t>
        </r>
      </text>
    </comment>
    <comment ref="AA10" authorId="0" shapeId="0" xr:uid="{61397C7D-CB02-4C44-85D6-67DE93456FC7}">
      <text>
        <r>
          <rPr>
            <b/>
            <sz val="9"/>
            <color indexed="81"/>
            <rFont val="Tahoma"/>
            <family val="2"/>
          </rPr>
          <t>Sarah Alcala:</t>
        </r>
        <r>
          <rPr>
            <sz val="9"/>
            <color indexed="81"/>
            <rFont val="Tahoma"/>
            <family val="2"/>
          </rPr>
          <t xml:space="preserve">
Source: Offer Title text ("Get 25 QAR Free")</t>
        </r>
      </text>
    </comment>
    <comment ref="R11" authorId="0" shapeId="0" xr:uid="{D8B4C0C5-A9CB-4325-8769-715527A0003C}">
      <text>
        <r>
          <rPr>
            <b/>
            <sz val="9"/>
            <color indexed="81"/>
            <rFont val="Tahoma"/>
            <family val="2"/>
          </rPr>
          <t xml:space="preserve">CEO Decision
</t>
        </r>
        <r>
          <rPr>
            <sz val="9"/>
            <color indexed="81"/>
            <rFont val="Tahoma"/>
            <family val="2"/>
          </rPr>
          <t xml:space="preserve">Select Approved, Revisions Needed, or Rejected
</t>
        </r>
      </text>
    </comment>
    <comment ref="AA11" authorId="0" shapeId="0" xr:uid="{5CD48B60-77D9-49A3-8D29-2BA2BA212DA7}">
      <text>
        <r>
          <rPr>
            <b/>
            <sz val="9"/>
            <color indexed="81"/>
            <rFont val="Tahoma"/>
            <family val="2"/>
          </rPr>
          <t>Sarah Alcala:</t>
        </r>
        <r>
          <rPr>
            <sz val="9"/>
            <color indexed="81"/>
            <rFont val="Tahoma"/>
            <family val="2"/>
          </rPr>
          <t xml:space="preserve">
Source: Offer Title text ("Get 75 QAR Free")</t>
        </r>
      </text>
    </comment>
    <comment ref="R12" authorId="0" shapeId="0" xr:uid="{3C6540C5-9811-47DB-9D23-6F3B977FE5F2}">
      <text>
        <r>
          <rPr>
            <b/>
            <sz val="9"/>
            <color indexed="81"/>
            <rFont val="Tahoma"/>
            <family val="2"/>
          </rPr>
          <t xml:space="preserve">CEO Decision
</t>
        </r>
        <r>
          <rPr>
            <sz val="9"/>
            <color indexed="81"/>
            <rFont val="Tahoma"/>
            <family val="2"/>
          </rPr>
          <t xml:space="preserve">Select Approved, Revisions Needed, or Rejected
</t>
        </r>
      </text>
    </comment>
    <comment ref="AA12" authorId="0" shapeId="0" xr:uid="{7866B317-3B85-4695-93F6-AE8DA444CEDE}">
      <text>
        <r>
          <rPr>
            <b/>
            <sz val="9"/>
            <color indexed="81"/>
            <rFont val="Tahoma"/>
            <family val="2"/>
          </rPr>
          <t>Sarah Alcala:</t>
        </r>
        <r>
          <rPr>
            <sz val="9"/>
            <color indexed="81"/>
            <rFont val="Tahoma"/>
            <family val="2"/>
          </rPr>
          <t xml:space="preserve">
Source: Offer Title text ("Get 100 QAR Free")</t>
        </r>
      </text>
    </comment>
    <comment ref="R13" authorId="0" shapeId="0" xr:uid="{7F53822D-83F5-4AC2-89D2-414BAB0220F3}">
      <text>
        <r>
          <rPr>
            <b/>
            <sz val="9"/>
            <color indexed="81"/>
            <rFont val="Tahoma"/>
            <family val="2"/>
          </rPr>
          <t xml:space="preserve">CEO Decision
</t>
        </r>
        <r>
          <rPr>
            <sz val="9"/>
            <color indexed="81"/>
            <rFont val="Tahoma"/>
            <family val="2"/>
          </rPr>
          <t xml:space="preserve">Select Approved, Revisions Needed, or Rejected
</t>
        </r>
      </text>
    </comment>
    <comment ref="AA13" authorId="0" shapeId="0" xr:uid="{456E353D-6005-4820-985B-BD3E2884748F}">
      <text>
        <r>
          <rPr>
            <b/>
            <sz val="9"/>
            <color indexed="81"/>
            <rFont val="Tahoma"/>
            <family val="2"/>
          </rPr>
          <t>Sarah Alcala:</t>
        </r>
        <r>
          <rPr>
            <sz val="9"/>
            <color indexed="81"/>
            <rFont val="Tahoma"/>
            <family val="2"/>
          </rPr>
          <t xml:space="preserve">
Source: Offer Title text ("Get 300 QAR Free")</t>
        </r>
      </text>
    </comment>
    <comment ref="R14" authorId="0" shapeId="0" xr:uid="{3322F32A-8F2A-470F-A854-FCE06EB6BE06}">
      <text>
        <r>
          <rPr>
            <b/>
            <sz val="9"/>
            <color indexed="81"/>
            <rFont val="Tahoma"/>
            <family val="2"/>
          </rPr>
          <t xml:space="preserve">CEO Decision
</t>
        </r>
        <r>
          <rPr>
            <sz val="9"/>
            <color indexed="81"/>
            <rFont val="Tahoma"/>
            <family val="2"/>
          </rPr>
          <t xml:space="preserve">Select Approved, Revisions Needed, or Rejected
</t>
        </r>
      </text>
    </comment>
    <comment ref="R15" authorId="0" shapeId="0" xr:uid="{8A8AB0D1-8277-48B1-B627-BEB382E062D7}">
      <text>
        <r>
          <rPr>
            <b/>
            <sz val="9"/>
            <color indexed="81"/>
            <rFont val="Tahoma"/>
            <family val="2"/>
          </rPr>
          <t xml:space="preserve">CEO Decision
</t>
        </r>
        <r>
          <rPr>
            <sz val="9"/>
            <color indexed="81"/>
            <rFont val="Tahoma"/>
            <family val="2"/>
          </rPr>
          <t xml:space="preserve">Select Approved, Revisions Needed, or Rejected
</t>
        </r>
      </text>
    </comment>
    <comment ref="R16" authorId="0" shapeId="0" xr:uid="{82C6E592-BF49-41E3-B1AA-3FA98C23D9DD}">
      <text>
        <r>
          <rPr>
            <b/>
            <sz val="9"/>
            <color indexed="81"/>
            <rFont val="Tahoma"/>
            <family val="2"/>
          </rPr>
          <t xml:space="preserve">CEO Decision
</t>
        </r>
        <r>
          <rPr>
            <sz val="9"/>
            <color indexed="81"/>
            <rFont val="Tahoma"/>
            <family val="2"/>
          </rPr>
          <t xml:space="preserve">Select Approved, Revisions Needed, or Rejected
</t>
        </r>
      </text>
    </comment>
    <comment ref="R17" authorId="0" shapeId="0" xr:uid="{0677B75F-1727-4EC7-9E0B-0362738B49F3}">
      <text>
        <r>
          <rPr>
            <b/>
            <sz val="9"/>
            <color indexed="81"/>
            <rFont val="Tahoma"/>
            <family val="2"/>
          </rPr>
          <t xml:space="preserve">CEO Decision
</t>
        </r>
        <r>
          <rPr>
            <sz val="9"/>
            <color indexed="81"/>
            <rFont val="Tahoma"/>
            <family val="2"/>
          </rPr>
          <t xml:space="preserve">Select Approved, Revisions Needed, or Rejected
</t>
        </r>
      </text>
    </comment>
    <comment ref="R18" authorId="0" shapeId="0" xr:uid="{62933837-DB59-42A1-AE23-A4337DE3E38B}">
      <text>
        <r>
          <rPr>
            <b/>
            <sz val="9"/>
            <color indexed="81"/>
            <rFont val="Tahoma"/>
            <family val="2"/>
          </rPr>
          <t xml:space="preserve">CEO Decision
</t>
        </r>
        <r>
          <rPr>
            <sz val="9"/>
            <color indexed="81"/>
            <rFont val="Tahoma"/>
            <family val="2"/>
          </rPr>
          <t xml:space="preserve">Select Approved, Revisions Needed, or Rejected
</t>
        </r>
      </text>
    </comment>
    <comment ref="R19" authorId="0" shapeId="0" xr:uid="{5D536EB2-C8C6-41C8-9675-34AC6DB8AA4F}">
      <text>
        <r>
          <rPr>
            <b/>
            <sz val="9"/>
            <color indexed="81"/>
            <rFont val="Tahoma"/>
            <family val="2"/>
          </rPr>
          <t xml:space="preserve">CEO Decision
</t>
        </r>
        <r>
          <rPr>
            <sz val="9"/>
            <color indexed="81"/>
            <rFont val="Tahoma"/>
            <family val="2"/>
          </rPr>
          <t xml:space="preserve">Select Approved, Revisions Needed, or Rejected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R6" authorId="0" shapeId="0" xr:uid="{28C70A77-326C-4D90-B756-9BC43230C603}">
      <text>
        <r>
          <rPr>
            <b/>
            <sz val="9"/>
            <color indexed="81"/>
            <rFont val="Tahoma"/>
            <family val="2"/>
          </rPr>
          <t xml:space="preserve">CEO Decision
</t>
        </r>
        <r>
          <rPr>
            <sz val="9"/>
            <color indexed="81"/>
            <rFont val="Tahoma"/>
            <family val="2"/>
          </rPr>
          <t xml:space="preserve">Select Approved, Revisions Needed, or Rejected
</t>
        </r>
      </text>
    </comment>
    <comment ref="R7" authorId="0" shapeId="0" xr:uid="{3B726A5B-39B1-40AC-885E-7D5B151201E1}">
      <text>
        <r>
          <rPr>
            <b/>
            <sz val="9"/>
            <color indexed="81"/>
            <rFont val="Tahoma"/>
            <family val="2"/>
          </rPr>
          <t xml:space="preserve">CEO Decision
</t>
        </r>
        <r>
          <rPr>
            <sz val="9"/>
            <color indexed="81"/>
            <rFont val="Tahoma"/>
            <family val="2"/>
          </rPr>
          <t xml:space="preserve">Select Approved, Revisions Needed, or Rejected
</t>
        </r>
      </text>
    </comment>
    <comment ref="Z7" authorId="0" shapeId="0" xr:uid="{039884F6-FE80-4A81-AE2A-FCD1FE868DA3}">
      <text>
        <r>
          <rPr>
            <b/>
            <sz val="9"/>
            <color indexed="81"/>
            <rFont val="Tahoma"/>
            <family val="2"/>
          </rPr>
          <t>Sarah Alcala:</t>
        </r>
        <r>
          <rPr>
            <sz val="9"/>
            <color indexed="81"/>
            <rFont val="Tahoma"/>
            <family val="2"/>
          </rPr>
          <t xml:space="preserve">
Source: PLG_Trade__Export_20260723.xlsx, Deals sheet, Description field ("2 crunchy chicken: 20 QR per sandwich") and Title ("Get 2")</t>
        </r>
      </text>
    </comment>
    <comment ref="AA7" authorId="0" shapeId="0" xr:uid="{E6B43FF3-1CCF-476E-A264-6D86D0435E35}">
      <text>
        <r>
          <rPr>
            <b/>
            <sz val="9"/>
            <color indexed="81"/>
            <rFont val="Tahoma"/>
            <family val="2"/>
          </rPr>
          <t>Sarah Alcala:</t>
        </r>
        <r>
          <rPr>
            <sz val="9"/>
            <color indexed="81"/>
            <rFont val="Tahoma"/>
            <family val="2"/>
          </rPr>
          <t xml:space="preserve">
Source: PLG_Trade__Export_20260723.xlsx, Deals sheet, Description field ("2 crunchy chicken: 20 QR per sandwich")</t>
        </r>
      </text>
    </comment>
    <comment ref="R8" authorId="0" shapeId="0" xr:uid="{5B033B8B-A0C0-4223-A3FD-8BF064336BB5}">
      <text>
        <r>
          <rPr>
            <b/>
            <sz val="9"/>
            <color indexed="81"/>
            <rFont val="Tahoma"/>
            <family val="2"/>
          </rPr>
          <t xml:space="preserve">CEO Decision
</t>
        </r>
        <r>
          <rPr>
            <sz val="9"/>
            <color indexed="81"/>
            <rFont val="Tahoma"/>
            <family val="2"/>
          </rPr>
          <t xml:space="preserve">Select Approved, Revisions Needed, or Rejected
</t>
        </r>
      </text>
    </comment>
    <comment ref="R9" authorId="0" shapeId="0" xr:uid="{916B9263-0DE4-44CE-B996-D6735E8A9D86}">
      <text>
        <r>
          <rPr>
            <b/>
            <sz val="9"/>
            <color indexed="81"/>
            <rFont val="Tahoma"/>
            <family val="2"/>
          </rPr>
          <t xml:space="preserve">CEO Decision
</t>
        </r>
        <r>
          <rPr>
            <sz val="9"/>
            <color indexed="81"/>
            <rFont val="Tahoma"/>
            <family val="2"/>
          </rPr>
          <t xml:space="preserve">Select Approved, Revisions Needed, or Rejected
</t>
        </r>
      </text>
    </comment>
    <comment ref="R10" authorId="0" shapeId="0" xr:uid="{C6EC9720-4280-479B-AC4F-BEEB6BF21AAE}">
      <text>
        <r>
          <rPr>
            <b/>
            <sz val="9"/>
            <color indexed="81"/>
            <rFont val="Tahoma"/>
            <family val="2"/>
          </rPr>
          <t xml:space="preserve">CEO Decision
</t>
        </r>
        <r>
          <rPr>
            <sz val="9"/>
            <color indexed="81"/>
            <rFont val="Tahoma"/>
            <family val="2"/>
          </rPr>
          <t xml:space="preserve">Select Approved, Revisions Needed, or Rejected
</t>
        </r>
      </text>
    </comment>
    <comment ref="AA10" authorId="0" shapeId="0" xr:uid="{CC2E9B19-0AE7-4626-9894-2290C58662E3}">
      <text>
        <r>
          <rPr>
            <b/>
            <sz val="9"/>
            <color indexed="81"/>
            <rFont val="Tahoma"/>
            <family val="2"/>
          </rPr>
          <t>Sarah Alcala:</t>
        </r>
        <r>
          <rPr>
            <sz val="9"/>
            <color indexed="81"/>
            <rFont val="Tahoma"/>
            <family val="2"/>
          </rPr>
          <t xml:space="preserve">
Source: Offer Title text ("Get 25 QAR Free")</t>
        </r>
      </text>
    </comment>
    <comment ref="R11" authorId="0" shapeId="0" xr:uid="{03E749AC-E346-44A8-910C-9E7E6206DE15}">
      <text>
        <r>
          <rPr>
            <b/>
            <sz val="9"/>
            <color indexed="81"/>
            <rFont val="Tahoma"/>
            <family val="2"/>
          </rPr>
          <t xml:space="preserve">CEO Decision
</t>
        </r>
        <r>
          <rPr>
            <sz val="9"/>
            <color indexed="81"/>
            <rFont val="Tahoma"/>
            <family val="2"/>
          </rPr>
          <t xml:space="preserve">Select Approved, Revisions Needed, or Rejected
</t>
        </r>
      </text>
    </comment>
    <comment ref="AA11" authorId="0" shapeId="0" xr:uid="{C28E52D4-A6CE-43C7-AA3F-850990B52917}">
      <text>
        <r>
          <rPr>
            <b/>
            <sz val="9"/>
            <color indexed="81"/>
            <rFont val="Tahoma"/>
            <family val="2"/>
          </rPr>
          <t>Sarah Alcala:</t>
        </r>
        <r>
          <rPr>
            <sz val="9"/>
            <color indexed="81"/>
            <rFont val="Tahoma"/>
            <family val="2"/>
          </rPr>
          <t xml:space="preserve">
Source: Offer Title text ("Get 75 QAR Free")</t>
        </r>
      </text>
    </comment>
    <comment ref="R12" authorId="0" shapeId="0" xr:uid="{89F57BAE-E786-437F-A912-B7594A9A11AA}">
      <text>
        <r>
          <rPr>
            <b/>
            <sz val="9"/>
            <color indexed="81"/>
            <rFont val="Tahoma"/>
            <family val="2"/>
          </rPr>
          <t xml:space="preserve">CEO Decision
</t>
        </r>
        <r>
          <rPr>
            <sz val="9"/>
            <color indexed="81"/>
            <rFont val="Tahoma"/>
            <family val="2"/>
          </rPr>
          <t xml:space="preserve">Select Approved, Revisions Needed, or Rejected
</t>
        </r>
      </text>
    </comment>
    <comment ref="AA12" authorId="0" shapeId="0" xr:uid="{020A5C08-E0E2-4024-A8E9-0655FB0A8170}">
      <text>
        <r>
          <rPr>
            <b/>
            <sz val="9"/>
            <color indexed="81"/>
            <rFont val="Tahoma"/>
            <family val="2"/>
          </rPr>
          <t>Sarah Alcala:</t>
        </r>
        <r>
          <rPr>
            <sz val="9"/>
            <color indexed="81"/>
            <rFont val="Tahoma"/>
            <family val="2"/>
          </rPr>
          <t xml:space="preserve">
Source: Offer Title text ("Get 100 QAR Free")</t>
        </r>
      </text>
    </comment>
    <comment ref="R13" authorId="0" shapeId="0" xr:uid="{842A9490-6968-499A-8950-D8D3796204A2}">
      <text>
        <r>
          <rPr>
            <b/>
            <sz val="9"/>
            <color indexed="81"/>
            <rFont val="Tahoma"/>
            <family val="2"/>
          </rPr>
          <t xml:space="preserve">CEO Decision
</t>
        </r>
        <r>
          <rPr>
            <sz val="9"/>
            <color indexed="81"/>
            <rFont val="Tahoma"/>
            <family val="2"/>
          </rPr>
          <t xml:space="preserve">Select Approved, Revisions Needed, or Rejected
</t>
        </r>
      </text>
    </comment>
    <comment ref="AA13" authorId="0" shapeId="0" xr:uid="{CD2334C4-9FDE-480F-8FA0-1804194FBACD}">
      <text>
        <r>
          <rPr>
            <b/>
            <sz val="9"/>
            <color indexed="81"/>
            <rFont val="Tahoma"/>
            <family val="2"/>
          </rPr>
          <t>Sarah Alcala:</t>
        </r>
        <r>
          <rPr>
            <sz val="9"/>
            <color indexed="81"/>
            <rFont val="Tahoma"/>
            <family val="2"/>
          </rPr>
          <t xml:space="preserve">
Source: Offer Title text ("Get 300 QAR Free")</t>
        </r>
      </text>
    </comment>
    <comment ref="R14" authorId="0" shapeId="0" xr:uid="{4823E32E-2AF2-484A-9AB4-C83D225E786D}">
      <text>
        <r>
          <rPr>
            <b/>
            <sz val="9"/>
            <color indexed="81"/>
            <rFont val="Tahoma"/>
            <family val="2"/>
          </rPr>
          <t xml:space="preserve">CEO Decision
</t>
        </r>
        <r>
          <rPr>
            <sz val="9"/>
            <color indexed="81"/>
            <rFont val="Tahoma"/>
            <family val="2"/>
          </rPr>
          <t xml:space="preserve">Select Approved, Revisions Needed, or Rejected
</t>
        </r>
      </text>
    </comment>
    <comment ref="R15" authorId="0" shapeId="0" xr:uid="{DEAE4B05-C38D-4F6D-B5E4-E0463BEF2DED}">
      <text>
        <r>
          <rPr>
            <b/>
            <sz val="9"/>
            <color indexed="81"/>
            <rFont val="Tahoma"/>
            <family val="2"/>
          </rPr>
          <t xml:space="preserve">CEO Decision
</t>
        </r>
        <r>
          <rPr>
            <sz val="9"/>
            <color indexed="81"/>
            <rFont val="Tahoma"/>
            <family val="2"/>
          </rPr>
          <t xml:space="preserve">Select Approved, Revisions Needed, or Rejected
</t>
        </r>
      </text>
    </comment>
    <comment ref="R16" authorId="0" shapeId="0" xr:uid="{09F8FB3D-9F9D-43EA-A380-F8870FACF26C}">
      <text>
        <r>
          <rPr>
            <b/>
            <sz val="9"/>
            <color indexed="81"/>
            <rFont val="Tahoma"/>
            <family val="2"/>
          </rPr>
          <t xml:space="preserve">CEO Decision
</t>
        </r>
        <r>
          <rPr>
            <sz val="9"/>
            <color indexed="81"/>
            <rFont val="Tahoma"/>
            <family val="2"/>
          </rPr>
          <t xml:space="preserve">Select Approved, Revisions Needed, or Rejected
</t>
        </r>
      </text>
    </comment>
    <comment ref="R17" authorId="0" shapeId="0" xr:uid="{BE2676D5-3C3D-4E6B-BBAB-248843C82094}">
      <text>
        <r>
          <rPr>
            <b/>
            <sz val="9"/>
            <color indexed="81"/>
            <rFont val="Tahoma"/>
            <family val="2"/>
          </rPr>
          <t xml:space="preserve">CEO Decision
</t>
        </r>
        <r>
          <rPr>
            <sz val="9"/>
            <color indexed="81"/>
            <rFont val="Tahoma"/>
            <family val="2"/>
          </rPr>
          <t xml:space="preserve">Select Approved, Revisions Needed, or Rejected
</t>
        </r>
      </text>
    </comment>
    <comment ref="R18" authorId="0" shapeId="0" xr:uid="{C6DA978C-0F15-414F-B0C2-6B6C87E1748A}">
      <text>
        <r>
          <rPr>
            <b/>
            <sz val="9"/>
            <color indexed="81"/>
            <rFont val="Tahoma"/>
            <family val="2"/>
          </rPr>
          <t xml:space="preserve">CEO Decision
</t>
        </r>
        <r>
          <rPr>
            <sz val="9"/>
            <color indexed="81"/>
            <rFont val="Tahoma"/>
            <family val="2"/>
          </rPr>
          <t xml:space="preserve">Select Approved, Revisions Needed, or Rejected
</t>
        </r>
      </text>
    </comment>
    <comment ref="R19" authorId="0" shapeId="0" xr:uid="{F8437428-4E0B-4B5A-94FD-DF21B7F7CF68}">
      <text>
        <r>
          <rPr>
            <b/>
            <sz val="9"/>
            <color indexed="81"/>
            <rFont val="Tahoma"/>
            <family val="2"/>
          </rPr>
          <t xml:space="preserve">CEO Decision
</t>
        </r>
        <r>
          <rPr>
            <sz val="9"/>
            <color indexed="81"/>
            <rFont val="Tahoma"/>
            <family val="2"/>
          </rPr>
          <t xml:space="preserve">Select Approved, Revisions Needed, or Rejected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R6" authorId="0" shapeId="0" xr:uid="{9CB6757A-5914-473F-B62A-02811A7BB2B0}">
      <text>
        <r>
          <rPr>
            <b/>
            <sz val="9"/>
            <color indexed="81"/>
            <rFont val="Tahoma"/>
            <family val="2"/>
          </rPr>
          <t xml:space="preserve">CEO Decision
</t>
        </r>
        <r>
          <rPr>
            <sz val="9"/>
            <color indexed="81"/>
            <rFont val="Tahoma"/>
            <family val="2"/>
          </rPr>
          <t xml:space="preserve">Select Approved, Revisions Needed, or Rejected
</t>
        </r>
      </text>
    </comment>
    <comment ref="R7" authorId="0" shapeId="0" xr:uid="{FD532E75-484F-45C7-B9D9-BADE108CE2ED}">
      <text>
        <r>
          <rPr>
            <b/>
            <sz val="9"/>
            <color indexed="81"/>
            <rFont val="Tahoma"/>
            <family val="2"/>
          </rPr>
          <t xml:space="preserve">CEO Decision
</t>
        </r>
        <r>
          <rPr>
            <sz val="9"/>
            <color indexed="81"/>
            <rFont val="Tahoma"/>
            <family val="2"/>
          </rPr>
          <t xml:space="preserve">Select Approved, Revisions Needed, or Rejected
</t>
        </r>
      </text>
    </comment>
    <comment ref="R8" authorId="0" shapeId="0" xr:uid="{772DADF3-9795-43B3-9722-ED5F786EBAF6}">
      <text>
        <r>
          <rPr>
            <b/>
            <sz val="9"/>
            <color indexed="81"/>
            <rFont val="Tahoma"/>
            <family val="2"/>
          </rPr>
          <t xml:space="preserve">CEO Decision
</t>
        </r>
        <r>
          <rPr>
            <sz val="9"/>
            <color indexed="81"/>
            <rFont val="Tahoma"/>
            <family val="2"/>
          </rPr>
          <t xml:space="preserve">Select Approved, Revisions Needed, or Rejected
</t>
        </r>
      </text>
    </comment>
    <comment ref="R9" authorId="0" shapeId="0" xr:uid="{707C79C0-80BC-4433-ABD2-591506A61265}">
      <text>
        <r>
          <rPr>
            <b/>
            <sz val="9"/>
            <color indexed="81"/>
            <rFont val="Tahoma"/>
            <family val="2"/>
          </rPr>
          <t xml:space="preserve">CEO Decision
</t>
        </r>
        <r>
          <rPr>
            <sz val="9"/>
            <color indexed="81"/>
            <rFont val="Tahoma"/>
            <family val="2"/>
          </rPr>
          <t xml:space="preserve">Select Approved, Revisions Needed, or Rejected
</t>
        </r>
      </text>
    </comment>
    <comment ref="R10" authorId="0" shapeId="0" xr:uid="{FD78B308-3D6C-43C7-9219-86D06BE2BB45}">
      <text>
        <r>
          <rPr>
            <b/>
            <sz val="9"/>
            <color indexed="81"/>
            <rFont val="Tahoma"/>
            <family val="2"/>
          </rPr>
          <t xml:space="preserve">CEO Decision
</t>
        </r>
        <r>
          <rPr>
            <sz val="9"/>
            <color indexed="81"/>
            <rFont val="Tahoma"/>
            <family val="2"/>
          </rPr>
          <t xml:space="preserve">Select Approved, Revisions Needed, or Rejected
</t>
        </r>
      </text>
    </comment>
    <comment ref="R11" authorId="0" shapeId="0" xr:uid="{0FABA86B-28F1-479A-A8FE-B24645B2DC33}">
      <text>
        <r>
          <rPr>
            <b/>
            <sz val="9"/>
            <color indexed="81"/>
            <rFont val="Tahoma"/>
            <family val="2"/>
          </rPr>
          <t xml:space="preserve">CEO Decision
</t>
        </r>
        <r>
          <rPr>
            <sz val="9"/>
            <color indexed="81"/>
            <rFont val="Tahoma"/>
            <family val="2"/>
          </rPr>
          <t xml:space="preserve">Select Approved, Revisions Needed, or Rejected
</t>
        </r>
      </text>
    </comment>
    <comment ref="R12" authorId="0" shapeId="0" xr:uid="{19723018-8DC5-4C28-A211-A80CB7D4D352}">
      <text>
        <r>
          <rPr>
            <b/>
            <sz val="9"/>
            <color indexed="81"/>
            <rFont val="Tahoma"/>
            <family val="2"/>
          </rPr>
          <t xml:space="preserve">CEO Decision
</t>
        </r>
        <r>
          <rPr>
            <sz val="9"/>
            <color indexed="81"/>
            <rFont val="Tahoma"/>
            <family val="2"/>
          </rPr>
          <t xml:space="preserve">Select Approved, Revisions Needed, or Rejected
</t>
        </r>
      </text>
    </comment>
    <comment ref="R13" authorId="0" shapeId="0" xr:uid="{589B93F9-A25B-4464-B14B-BE3C0B13D4C0}">
      <text>
        <r>
          <rPr>
            <b/>
            <sz val="9"/>
            <color indexed="81"/>
            <rFont val="Tahoma"/>
            <family val="2"/>
          </rPr>
          <t xml:space="preserve">CEO Decision
</t>
        </r>
        <r>
          <rPr>
            <sz val="9"/>
            <color indexed="81"/>
            <rFont val="Tahoma"/>
            <family val="2"/>
          </rPr>
          <t xml:space="preserve">Select Approved, Revisions Needed, or Rejected
</t>
        </r>
      </text>
    </comment>
    <comment ref="R14" authorId="0" shapeId="0" xr:uid="{FE515412-28DF-405F-B54C-BA434551E1A2}">
      <text>
        <r>
          <rPr>
            <b/>
            <sz val="9"/>
            <color indexed="81"/>
            <rFont val="Tahoma"/>
            <family val="2"/>
          </rPr>
          <t xml:space="preserve">CEO Decision
</t>
        </r>
        <r>
          <rPr>
            <sz val="9"/>
            <color indexed="81"/>
            <rFont val="Tahoma"/>
            <family val="2"/>
          </rPr>
          <t xml:space="preserve">Select Approved, Revisions Needed, or Rejected
</t>
        </r>
      </text>
    </comment>
    <comment ref="R15" authorId="0" shapeId="0" xr:uid="{382B866E-5D43-4E97-82EF-C2F79EB1D3A4}">
      <text>
        <r>
          <rPr>
            <b/>
            <sz val="9"/>
            <color indexed="81"/>
            <rFont val="Tahoma"/>
            <family val="2"/>
          </rPr>
          <t xml:space="preserve">CEO Decision
</t>
        </r>
        <r>
          <rPr>
            <sz val="9"/>
            <color indexed="81"/>
            <rFont val="Tahoma"/>
            <family val="2"/>
          </rPr>
          <t xml:space="preserve">Select Approved, Revisions Needed, or Rejected
</t>
        </r>
      </text>
    </comment>
    <comment ref="R16" authorId="0" shapeId="0" xr:uid="{2C1B4A4E-2198-400F-8E28-007576E6C5E4}">
      <text>
        <r>
          <rPr>
            <b/>
            <sz val="9"/>
            <color indexed="81"/>
            <rFont val="Tahoma"/>
            <family val="2"/>
          </rPr>
          <t xml:space="preserve">CEO Decision
</t>
        </r>
        <r>
          <rPr>
            <sz val="9"/>
            <color indexed="81"/>
            <rFont val="Tahoma"/>
            <family val="2"/>
          </rPr>
          <t xml:space="preserve">Select Approved, Revisions Needed, or Rejected
</t>
        </r>
      </text>
    </comment>
    <comment ref="R17" authorId="0" shapeId="0" xr:uid="{28AB677F-93F7-47D0-A0D6-E4D27F14580E}">
      <text>
        <r>
          <rPr>
            <b/>
            <sz val="9"/>
            <color indexed="81"/>
            <rFont val="Tahoma"/>
            <family val="2"/>
          </rPr>
          <t xml:space="preserve">CEO Decision
</t>
        </r>
        <r>
          <rPr>
            <sz val="9"/>
            <color indexed="81"/>
            <rFont val="Tahoma"/>
            <family val="2"/>
          </rPr>
          <t xml:space="preserve">Select Approved, Revisions Needed, or Rejected
</t>
        </r>
      </text>
    </comment>
    <comment ref="R18" authorId="0" shapeId="0" xr:uid="{73054C4E-DA04-4ED1-AD70-53D4BA0E1A91}">
      <text>
        <r>
          <rPr>
            <b/>
            <sz val="9"/>
            <color indexed="81"/>
            <rFont val="Tahoma"/>
            <family val="2"/>
          </rPr>
          <t xml:space="preserve">CEO Decision
</t>
        </r>
        <r>
          <rPr>
            <sz val="9"/>
            <color indexed="81"/>
            <rFont val="Tahoma"/>
            <family val="2"/>
          </rPr>
          <t xml:space="preserve">Select Approved, Revisions Needed, or Rejected
</t>
        </r>
      </text>
    </comment>
    <comment ref="R19" authorId="0" shapeId="0" xr:uid="{76D9EE2B-BC15-4922-B6B4-EE98B76D2CCC}">
      <text>
        <r>
          <rPr>
            <b/>
            <sz val="9"/>
            <color indexed="81"/>
            <rFont val="Tahoma"/>
            <family val="2"/>
          </rPr>
          <t xml:space="preserve">CEO Decision
</t>
        </r>
        <r>
          <rPr>
            <sz val="9"/>
            <color indexed="81"/>
            <rFont val="Tahoma"/>
            <family val="2"/>
          </rPr>
          <t xml:space="preserve">Select Approved, Revisions Needed, or Rejected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S6" authorId="0" shapeId="0" xr:uid="{B9AD1884-C8A4-4613-BC10-9BB5BF10B952}">
      <text>
        <r>
          <rPr>
            <b/>
            <sz val="9"/>
            <color indexed="81"/>
            <rFont val="Tahoma"/>
            <family val="2"/>
          </rPr>
          <t xml:space="preserve">CEO Decision
</t>
        </r>
        <r>
          <rPr>
            <sz val="9"/>
            <color indexed="81"/>
            <rFont val="Tahoma"/>
            <family val="2"/>
          </rPr>
          <t>Select Approved, Revisions Needed, or Rejected</t>
        </r>
        <r>
          <rPr>
            <sz val="9"/>
            <color indexed="81"/>
            <rFont val="Tahoma"/>
            <family val="2"/>
          </rPr>
          <t xml:space="preserve">
</t>
        </r>
      </text>
    </comment>
    <comment ref="S7" authorId="0" shapeId="0" xr:uid="{5215CD71-23BF-4013-A3EA-687D826187FB}">
      <text>
        <r>
          <rPr>
            <b/>
            <sz val="9"/>
            <color indexed="81"/>
            <rFont val="Tahoma"/>
            <family val="2"/>
          </rPr>
          <t xml:space="preserve">CEO Decision
</t>
        </r>
        <r>
          <rPr>
            <sz val="9"/>
            <color indexed="81"/>
            <rFont val="Tahoma"/>
            <family val="2"/>
          </rPr>
          <t xml:space="preserve">Select Approved, Revisions Needed, or Rejected
</t>
        </r>
      </text>
    </comment>
    <comment ref="S8" authorId="0" shapeId="0" xr:uid="{6B5A08C8-66AC-4086-843B-A6F664A177A1}">
      <text>
        <r>
          <rPr>
            <b/>
            <sz val="9"/>
            <color indexed="81"/>
            <rFont val="Tahoma"/>
            <family val="2"/>
          </rPr>
          <t xml:space="preserve">CEO Decision
</t>
        </r>
        <r>
          <rPr>
            <sz val="9"/>
            <color indexed="81"/>
            <rFont val="Tahoma"/>
            <family val="2"/>
          </rPr>
          <t>Select Approved, Revisions Needed, or Rejected</t>
        </r>
      </text>
    </comment>
    <comment ref="S9" authorId="0" shapeId="0" xr:uid="{25C4F71F-9228-4F6E-8A87-C5E2CA5EAB82}">
      <text>
        <r>
          <rPr>
            <b/>
            <sz val="9"/>
            <color indexed="81"/>
            <rFont val="Tahoma"/>
            <family val="2"/>
          </rPr>
          <t>CEO Decision</t>
        </r>
        <r>
          <rPr>
            <sz val="9"/>
            <color indexed="81"/>
            <rFont val="Tahoma"/>
            <family val="2"/>
          </rPr>
          <t xml:space="preserve">
Select Approved, Revisions Needed, or Rejected
</t>
        </r>
      </text>
    </comment>
    <comment ref="S11" authorId="0" shapeId="0" xr:uid="{4C4FEBBB-088C-4B29-BB91-11FA783D5D86}">
      <text>
        <r>
          <rPr>
            <b/>
            <sz val="9"/>
            <color indexed="81"/>
            <rFont val="Tahoma"/>
            <family val="2"/>
          </rPr>
          <t xml:space="preserve">CEO Decision
</t>
        </r>
        <r>
          <rPr>
            <sz val="9"/>
            <color indexed="81"/>
            <rFont val="Tahoma"/>
            <family val="2"/>
          </rPr>
          <t xml:space="preserve">Select Approved, Revisions Needed, or Rejected
</t>
        </r>
      </text>
    </comment>
    <comment ref="S12" authorId="0" shapeId="0" xr:uid="{EE1AFFCE-EEB3-48F4-A132-C18A5DB99376}">
      <text>
        <r>
          <rPr>
            <b/>
            <sz val="9"/>
            <color indexed="81"/>
            <rFont val="Tahoma"/>
            <family val="2"/>
          </rPr>
          <t xml:space="preserve">CEO Decision
</t>
        </r>
        <r>
          <rPr>
            <sz val="9"/>
            <color indexed="81"/>
            <rFont val="Tahoma"/>
            <family val="2"/>
          </rPr>
          <t xml:space="preserve">Select Approved, Revisions Needed, or Rejected
</t>
        </r>
      </text>
    </comment>
    <comment ref="S13" authorId="0" shapeId="0" xr:uid="{FD2734CE-58D8-44EF-9980-3336D3C1712B}">
      <text>
        <r>
          <rPr>
            <b/>
            <sz val="9"/>
            <color indexed="81"/>
            <rFont val="Tahoma"/>
            <family val="2"/>
          </rPr>
          <t>CEO Decision</t>
        </r>
        <r>
          <rPr>
            <sz val="9"/>
            <color indexed="81"/>
            <rFont val="Tahoma"/>
            <family val="2"/>
          </rPr>
          <t xml:space="preserve">
Select Approved, Revisions Needed, or Rejected
</t>
        </r>
      </text>
    </comment>
    <comment ref="S14" authorId="0" shapeId="0" xr:uid="{5D37BB0D-53BA-4BD3-9293-71C34427326D}">
      <text>
        <r>
          <rPr>
            <b/>
            <sz val="9"/>
            <color indexed="81"/>
            <rFont val="Tahoma"/>
            <family val="2"/>
          </rPr>
          <t xml:space="preserve">CEO Decision
</t>
        </r>
        <r>
          <rPr>
            <sz val="9"/>
            <color indexed="81"/>
            <rFont val="Tahoma"/>
            <family val="2"/>
          </rPr>
          <t xml:space="preserve">Select Approved, Revisions Needed, or Rejected
</t>
        </r>
      </text>
    </comment>
    <comment ref="S15" authorId="0" shapeId="0" xr:uid="{D6BB9EE9-467F-41C6-9727-892105C22422}">
      <text>
        <r>
          <rPr>
            <b/>
            <sz val="9"/>
            <color indexed="81"/>
            <rFont val="Tahoma"/>
            <family val="2"/>
          </rPr>
          <t>CEO Decision</t>
        </r>
        <r>
          <rPr>
            <sz val="9"/>
            <color indexed="81"/>
            <rFont val="Tahoma"/>
            <family val="2"/>
          </rPr>
          <t xml:space="preserve">
Select Approved, Revisions Needed, or Rejected
</t>
        </r>
      </text>
    </comment>
    <comment ref="S18" authorId="0" shapeId="0" xr:uid="{4C8DBBDD-6A60-43AE-8F2B-58B842FA87A9}">
      <text>
        <r>
          <rPr>
            <b/>
            <sz val="9"/>
            <color indexed="81"/>
            <rFont val="Tahoma"/>
            <family val="2"/>
          </rPr>
          <t xml:space="preserve">CEO Decision
</t>
        </r>
        <r>
          <rPr>
            <sz val="9"/>
            <color indexed="81"/>
            <rFont val="Tahoma"/>
            <family val="2"/>
          </rPr>
          <t xml:space="preserve">Select Approved, Revisions Needed, or Rejected
</t>
        </r>
      </text>
    </comment>
    <comment ref="S19" authorId="0" shapeId="0" xr:uid="{F7529BFE-859D-440E-BA51-DF8FA0478816}">
      <text>
        <r>
          <rPr>
            <b/>
            <sz val="9"/>
            <color indexed="81"/>
            <rFont val="Tahoma"/>
            <family val="2"/>
          </rPr>
          <t xml:space="preserve">CEO Decision
</t>
        </r>
        <r>
          <rPr>
            <sz val="9"/>
            <color indexed="81"/>
            <rFont val="Tahoma"/>
            <family val="2"/>
          </rPr>
          <t xml:space="preserve">Select Approved, Revisions Needed, or Rejected
</t>
        </r>
      </text>
    </comment>
    <comment ref="S20" authorId="0" shapeId="0" xr:uid="{C7A07271-8191-4E03-B4DA-27E933BB051C}">
      <text>
        <r>
          <rPr>
            <b/>
            <sz val="9"/>
            <color indexed="81"/>
            <rFont val="Tahoma"/>
            <family val="2"/>
          </rPr>
          <t>CEO Decision</t>
        </r>
        <r>
          <rPr>
            <sz val="9"/>
            <color indexed="81"/>
            <rFont val="Tahoma"/>
            <family val="2"/>
          </rPr>
          <t xml:space="preserve">
Select Approved, Revisions Needed, or Rejected
</t>
        </r>
      </text>
    </comment>
    <comment ref="S21" authorId="0" shapeId="0" xr:uid="{60F16894-490D-4BC8-A5D1-6A8CDA7A74FE}">
      <text>
        <r>
          <rPr>
            <b/>
            <sz val="9"/>
            <color indexed="81"/>
            <rFont val="Tahoma"/>
            <family val="2"/>
          </rPr>
          <t xml:space="preserve">CEO Decision
</t>
        </r>
        <r>
          <rPr>
            <sz val="9"/>
            <color indexed="81"/>
            <rFont val="Tahoma"/>
            <family val="2"/>
          </rPr>
          <t xml:space="preserve">Select Approved, Revisions Needed, or Rejected
</t>
        </r>
      </text>
    </comment>
    <comment ref="S22" authorId="0" shapeId="0" xr:uid="{6BA974D5-0869-40C4-890C-DBA8777FD542}">
      <text>
        <r>
          <rPr>
            <b/>
            <sz val="9"/>
            <color indexed="81"/>
            <rFont val="Tahoma"/>
            <family val="2"/>
          </rPr>
          <t>CEO Decision</t>
        </r>
        <r>
          <rPr>
            <sz val="9"/>
            <color indexed="81"/>
            <rFont val="Tahoma"/>
            <family val="2"/>
          </rPr>
          <t xml:space="preserve">
Select Approved, Revisions Needed, or Rejected
</t>
        </r>
      </text>
    </comment>
    <comment ref="S23" authorId="0" shapeId="0" xr:uid="{7074FAEE-9252-412D-8528-E2BC95CCCCEA}">
      <text>
        <r>
          <rPr>
            <b/>
            <sz val="9"/>
            <color indexed="81"/>
            <rFont val="Tahoma"/>
            <family val="2"/>
          </rPr>
          <t>CEO Decision</t>
        </r>
        <r>
          <rPr>
            <sz val="9"/>
            <color indexed="81"/>
            <rFont val="Tahoma"/>
            <family val="2"/>
          </rPr>
          <t xml:space="preserve">
Select Approved, Revisions Needed, or Rejected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S6" authorId="0" shapeId="0" xr:uid="{1BE1BAC7-B760-4AAF-B583-0A9A606419DF}">
      <text>
        <r>
          <rPr>
            <b/>
            <sz val="9"/>
            <color indexed="81"/>
            <rFont val="Tahoma"/>
            <family val="2"/>
          </rPr>
          <t xml:space="preserve">CEO Decision
</t>
        </r>
        <r>
          <rPr>
            <sz val="9"/>
            <color indexed="81"/>
            <rFont val="Tahoma"/>
            <family val="2"/>
          </rPr>
          <t>Select Approved, Revisions Needed, or Rejected</t>
        </r>
        <r>
          <rPr>
            <sz val="9"/>
            <color indexed="81"/>
            <rFont val="Tahoma"/>
            <family val="2"/>
          </rPr>
          <t xml:space="preserve">
</t>
        </r>
      </text>
    </comment>
    <comment ref="S7" authorId="0" shapeId="0" xr:uid="{C25B4E22-B1F3-4725-A3BB-3123C784DCA6}">
      <text>
        <r>
          <rPr>
            <b/>
            <sz val="9"/>
            <color indexed="81"/>
            <rFont val="Tahoma"/>
            <family val="2"/>
          </rPr>
          <t xml:space="preserve">CEO Decision
</t>
        </r>
        <r>
          <rPr>
            <sz val="9"/>
            <color indexed="81"/>
            <rFont val="Tahoma"/>
            <family val="2"/>
          </rPr>
          <t xml:space="preserve">Select Approved, Revisions Needed, or Rejected
</t>
        </r>
      </text>
    </comment>
    <comment ref="S8" authorId="0" shapeId="0" xr:uid="{55567664-CE7C-4F7F-8A16-47010954928F}">
      <text>
        <r>
          <rPr>
            <b/>
            <sz val="9"/>
            <color indexed="81"/>
            <rFont val="Tahoma"/>
            <family val="2"/>
          </rPr>
          <t xml:space="preserve">CEO Decision
</t>
        </r>
        <r>
          <rPr>
            <sz val="9"/>
            <color indexed="81"/>
            <rFont val="Tahoma"/>
            <family val="2"/>
          </rPr>
          <t xml:space="preserve">Select Approved, Revisions Needed, or Rejected
</t>
        </r>
      </text>
    </comment>
    <comment ref="S9" authorId="0" shapeId="0" xr:uid="{96115BB7-D0D1-4B60-99B4-5CFC76DA9F89}">
      <text>
        <r>
          <rPr>
            <b/>
            <sz val="9"/>
            <color indexed="81"/>
            <rFont val="Tahoma"/>
            <family val="2"/>
          </rPr>
          <t xml:space="preserve">CEO Decision
</t>
        </r>
        <r>
          <rPr>
            <sz val="9"/>
            <color indexed="81"/>
            <rFont val="Tahoma"/>
            <family val="2"/>
          </rPr>
          <t xml:space="preserve">
Select Approved, Revisions Needed, or Rejected
</t>
        </r>
      </text>
    </comment>
    <comment ref="S10" authorId="0" shapeId="0" xr:uid="{60EB456B-AC11-40F2-892D-59536C361597}">
      <text>
        <r>
          <rPr>
            <b/>
            <sz val="9"/>
            <color indexed="81"/>
            <rFont val="Tahoma"/>
            <family val="2"/>
          </rPr>
          <t xml:space="preserve">CEO Decision
</t>
        </r>
        <r>
          <rPr>
            <sz val="9"/>
            <color indexed="81"/>
            <rFont val="Tahoma"/>
            <family val="2"/>
          </rPr>
          <t xml:space="preserve">
Select Approved, Revisions Needed, or Rejected
</t>
        </r>
      </text>
    </comment>
    <comment ref="S11" authorId="0" shapeId="0" xr:uid="{52851AF4-1F9F-4708-A19D-F48D03088C54}">
      <text>
        <r>
          <rPr>
            <b/>
            <sz val="9"/>
            <color indexed="81"/>
            <rFont val="Tahoma"/>
            <family val="2"/>
          </rPr>
          <t xml:space="preserve">CEO Decision
</t>
        </r>
        <r>
          <rPr>
            <sz val="9"/>
            <color indexed="81"/>
            <rFont val="Tahoma"/>
            <family val="2"/>
          </rPr>
          <t xml:space="preserve">
Select Approved, Revisions Needed, or Rejected
</t>
        </r>
      </text>
    </comment>
    <comment ref="S12" authorId="0" shapeId="0" xr:uid="{58210938-EC41-449E-B45F-965A53A1BEF2}">
      <text>
        <r>
          <rPr>
            <b/>
            <sz val="9"/>
            <color indexed="81"/>
            <rFont val="Tahoma"/>
            <family val="2"/>
          </rPr>
          <t xml:space="preserve">CEO Decision
</t>
        </r>
        <r>
          <rPr>
            <sz val="9"/>
            <color indexed="81"/>
            <rFont val="Tahoma"/>
            <family val="2"/>
          </rPr>
          <t xml:space="preserve">
Select Approved, Revisions Needed, or Rejected
</t>
        </r>
      </text>
    </comment>
    <comment ref="S13" authorId="0" shapeId="0" xr:uid="{64338A36-1A9B-45D2-A0F6-239100B7DDF5}">
      <text>
        <r>
          <rPr>
            <b/>
            <sz val="9"/>
            <color indexed="81"/>
            <rFont val="Tahoma"/>
            <family val="2"/>
          </rPr>
          <t>CEO Decision</t>
        </r>
        <r>
          <rPr>
            <sz val="9"/>
            <color indexed="81"/>
            <rFont val="Tahoma"/>
            <family val="2"/>
          </rPr>
          <t xml:space="preserve">
Select Approved, Revisions Needed, or Rejected
</t>
        </r>
      </text>
    </comment>
    <comment ref="S14" authorId="0" shapeId="0" xr:uid="{53B6D6CD-E543-4F6D-9565-E2C33523B582}">
      <text>
        <r>
          <rPr>
            <b/>
            <sz val="9"/>
            <color indexed="81"/>
            <rFont val="Tahoma"/>
            <family val="2"/>
          </rPr>
          <t xml:space="preserve">CEO Decision
</t>
        </r>
        <r>
          <rPr>
            <sz val="9"/>
            <color indexed="81"/>
            <rFont val="Tahoma"/>
            <family val="2"/>
          </rPr>
          <t>Select Approved, Revisions Needed, or Rejected</t>
        </r>
      </text>
    </comment>
    <comment ref="S15" authorId="0" shapeId="0" xr:uid="{E984E941-CE8A-4308-810F-72D061761990}">
      <text>
        <r>
          <rPr>
            <b/>
            <sz val="9"/>
            <color indexed="81"/>
            <rFont val="Tahoma"/>
            <family val="2"/>
          </rPr>
          <t>CEO Decision</t>
        </r>
        <r>
          <rPr>
            <sz val="9"/>
            <color indexed="81"/>
            <rFont val="Tahoma"/>
            <family val="2"/>
          </rPr>
          <t xml:space="preserve">
Select Approved, Revisions Needed, or Rejected</t>
        </r>
      </text>
    </comment>
    <comment ref="S16" authorId="0" shapeId="0" xr:uid="{F10C46AD-2DF9-4B16-B1DB-0A0402468AA7}">
      <text>
        <r>
          <rPr>
            <b/>
            <sz val="9"/>
            <color indexed="81"/>
            <rFont val="Tahoma"/>
            <family val="2"/>
          </rPr>
          <t xml:space="preserve">CEO Decision
</t>
        </r>
        <r>
          <rPr>
            <sz val="9"/>
            <color indexed="81"/>
            <rFont val="Tahoma"/>
            <family val="2"/>
          </rPr>
          <t xml:space="preserve">Select Approved, Revisions Needed, or Rejected
</t>
        </r>
      </text>
    </comment>
    <comment ref="S17" authorId="0" shapeId="0" xr:uid="{E87C076B-B413-44A5-894F-8C871D65F999}">
      <text>
        <r>
          <rPr>
            <b/>
            <sz val="9"/>
            <color indexed="81"/>
            <rFont val="Tahoma"/>
            <family val="2"/>
          </rPr>
          <t xml:space="preserve">CEO Decision
</t>
        </r>
        <r>
          <rPr>
            <sz val="9"/>
            <color indexed="81"/>
            <rFont val="Tahoma"/>
            <family val="2"/>
          </rPr>
          <t xml:space="preserve">Select Approved, Revisions Needed, or Rejected
</t>
        </r>
      </text>
    </comment>
    <comment ref="S18" authorId="0" shapeId="0" xr:uid="{470F692C-124D-4155-82ED-AEED0FEE6613}">
      <text>
        <r>
          <rPr>
            <b/>
            <sz val="9"/>
            <color indexed="81"/>
            <rFont val="Tahoma"/>
            <family val="2"/>
          </rPr>
          <t xml:space="preserve">CEO Decision
</t>
        </r>
        <r>
          <rPr>
            <sz val="9"/>
            <color indexed="81"/>
            <rFont val="Tahoma"/>
            <family val="2"/>
          </rPr>
          <t xml:space="preserve">Select Approved, Revisions Needed, or Rejected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S6" authorId="0" shapeId="0" xr:uid="{D6FD9CA8-EAA1-4AB4-B884-24120B43F70E}">
      <text>
        <r>
          <rPr>
            <b/>
            <sz val="9"/>
            <color indexed="81"/>
            <rFont val="Tahoma"/>
            <family val="2"/>
          </rPr>
          <t xml:space="preserve">CEO Decision
</t>
        </r>
        <r>
          <rPr>
            <sz val="9"/>
            <color indexed="81"/>
            <rFont val="Tahoma"/>
            <family val="2"/>
          </rPr>
          <t>Select Approved, Revisions Needed, or Rejected</t>
        </r>
        <r>
          <rPr>
            <sz val="9"/>
            <color indexed="81"/>
            <rFont val="Tahoma"/>
            <family val="2"/>
          </rPr>
          <t xml:space="preserve">
</t>
        </r>
      </text>
    </comment>
    <comment ref="S7" authorId="0" shapeId="0" xr:uid="{5D9D7074-26C9-4E96-ABFE-6A9E8C712352}">
      <text>
        <r>
          <rPr>
            <b/>
            <sz val="9"/>
            <color indexed="81"/>
            <rFont val="Tahoma"/>
            <family val="2"/>
          </rPr>
          <t xml:space="preserve">CEO Decision
</t>
        </r>
        <r>
          <rPr>
            <sz val="9"/>
            <color indexed="81"/>
            <rFont val="Tahoma"/>
            <family val="2"/>
          </rPr>
          <t xml:space="preserve">Select Approved, Revisions Needed, or Rejected
</t>
        </r>
      </text>
    </comment>
    <comment ref="S8" authorId="0" shapeId="0" xr:uid="{69CFB30C-7E35-4122-A817-4AD4D471DE2D}">
      <text>
        <r>
          <rPr>
            <b/>
            <sz val="9"/>
            <color indexed="81"/>
            <rFont val="Tahoma"/>
            <family val="2"/>
          </rPr>
          <t xml:space="preserve">CEO Decision
</t>
        </r>
        <r>
          <rPr>
            <sz val="9"/>
            <color indexed="81"/>
            <rFont val="Tahoma"/>
            <family val="2"/>
          </rPr>
          <t>Select Approved, Revisions Needed, or Rejected</t>
        </r>
      </text>
    </comment>
    <comment ref="S9" authorId="0" shapeId="0" xr:uid="{CA5EE851-CCAA-4F9D-8F21-E8251C67D6F6}">
      <text>
        <r>
          <rPr>
            <b/>
            <sz val="9"/>
            <color indexed="81"/>
            <rFont val="Tahoma"/>
            <family val="2"/>
          </rPr>
          <t>CEO Decision</t>
        </r>
        <r>
          <rPr>
            <sz val="9"/>
            <color indexed="81"/>
            <rFont val="Tahoma"/>
            <family val="2"/>
          </rPr>
          <t xml:space="preserve">
Select Approved, Revisions Needed, or Rejected
</t>
        </r>
      </text>
    </comment>
    <comment ref="S10" authorId="0" shapeId="0" xr:uid="{615EB95B-DAFF-4F7F-998F-23C20D3B8BD0}">
      <text>
        <r>
          <rPr>
            <b/>
            <sz val="9"/>
            <color indexed="81"/>
            <rFont val="Tahoma"/>
            <family val="2"/>
          </rPr>
          <t xml:space="preserve">CEO Decision
</t>
        </r>
        <r>
          <rPr>
            <sz val="9"/>
            <color indexed="81"/>
            <rFont val="Tahoma"/>
            <family val="2"/>
          </rPr>
          <t>Select Approved, Revisions Needed, or Rejected</t>
        </r>
      </text>
    </comment>
    <comment ref="S11" authorId="0" shapeId="0" xr:uid="{5423BD22-8B59-4904-B4BC-981815CD8F99}">
      <text>
        <r>
          <rPr>
            <b/>
            <sz val="9"/>
            <color indexed="81"/>
            <rFont val="Tahoma"/>
            <family val="2"/>
          </rPr>
          <t xml:space="preserve">CEO Decision
</t>
        </r>
        <r>
          <rPr>
            <sz val="9"/>
            <color indexed="81"/>
            <rFont val="Tahoma"/>
            <family val="2"/>
          </rPr>
          <t xml:space="preserve">Select Approved, Revisions Needed, or Rejected
</t>
        </r>
      </text>
    </comment>
    <comment ref="S12" authorId="0" shapeId="0" xr:uid="{7DCBF14F-74E7-4AFB-9DD2-EB144A6152A0}">
      <text>
        <r>
          <rPr>
            <b/>
            <sz val="9"/>
            <color indexed="81"/>
            <rFont val="Tahoma"/>
            <family val="2"/>
          </rPr>
          <t xml:space="preserve">CEO Decision
</t>
        </r>
        <r>
          <rPr>
            <sz val="9"/>
            <color indexed="81"/>
            <rFont val="Tahoma"/>
            <family val="2"/>
          </rPr>
          <t xml:space="preserve">Select Approved, Revisions Needed, or Rejected
</t>
        </r>
      </text>
    </comment>
    <comment ref="S13" authorId="0" shapeId="0" xr:uid="{D29D9CB0-D147-41E9-8C0D-8CC10D2E241B}">
      <text>
        <r>
          <rPr>
            <b/>
            <sz val="9"/>
            <color indexed="81"/>
            <rFont val="Tahoma"/>
            <family val="2"/>
          </rPr>
          <t>CEO Decision</t>
        </r>
        <r>
          <rPr>
            <sz val="9"/>
            <color indexed="81"/>
            <rFont val="Tahoma"/>
            <family val="2"/>
          </rPr>
          <t xml:space="preserve">
Select Approved, Revisions Needed, or Rejected
</t>
        </r>
      </text>
    </comment>
    <comment ref="S14" authorId="0" shapeId="0" xr:uid="{C488B966-409F-41F5-AA4A-230BB278DBE9}">
      <text>
        <r>
          <rPr>
            <b/>
            <sz val="9"/>
            <color indexed="81"/>
            <rFont val="Tahoma"/>
            <family val="2"/>
          </rPr>
          <t xml:space="preserve">CEO Decision
</t>
        </r>
        <r>
          <rPr>
            <sz val="9"/>
            <color indexed="81"/>
            <rFont val="Tahoma"/>
            <family val="2"/>
          </rPr>
          <t xml:space="preserve">Select Approved, Revisions Needed, or Rejected
</t>
        </r>
      </text>
    </comment>
    <comment ref="S15" authorId="0" shapeId="0" xr:uid="{AFCDAE73-3775-4C75-8899-A5DE7DB25C1A}">
      <text>
        <r>
          <rPr>
            <b/>
            <sz val="9"/>
            <color indexed="81"/>
            <rFont val="Tahoma"/>
            <family val="2"/>
          </rPr>
          <t>CEO Decision</t>
        </r>
        <r>
          <rPr>
            <sz val="9"/>
            <color indexed="81"/>
            <rFont val="Tahoma"/>
            <family val="2"/>
          </rPr>
          <t xml:space="preserve">
Select Approved, Revisions Needed, or Rejected
</t>
        </r>
      </text>
    </comment>
    <comment ref="S16" authorId="0" shapeId="0" xr:uid="{EA984C21-9EB0-4516-8648-C13B497DE42C}">
      <text>
        <r>
          <rPr>
            <b/>
            <sz val="9"/>
            <color indexed="81"/>
            <rFont val="Tahoma"/>
            <family val="2"/>
          </rPr>
          <t xml:space="preserve">CEO Decision
</t>
        </r>
        <r>
          <rPr>
            <sz val="9"/>
            <color indexed="81"/>
            <rFont val="Tahoma"/>
            <family val="2"/>
          </rPr>
          <t>Select Approved, Revisions Needed, or Rejected</t>
        </r>
      </text>
    </comment>
    <comment ref="S17" authorId="0" shapeId="0" xr:uid="{67B85F4F-39D4-44DB-81A5-4729824B73CB}">
      <text>
        <r>
          <rPr>
            <b/>
            <sz val="9"/>
            <color indexed="81"/>
            <rFont val="Tahoma"/>
            <family val="2"/>
          </rPr>
          <t xml:space="preserve">CEO Decision
</t>
        </r>
        <r>
          <rPr>
            <sz val="9"/>
            <color indexed="81"/>
            <rFont val="Tahoma"/>
            <family val="2"/>
          </rPr>
          <t xml:space="preserve">Select Approved, Revisions Needed, or Rejected
</t>
        </r>
      </text>
    </comment>
    <comment ref="S18" authorId="0" shapeId="0" xr:uid="{2ACE1F79-A0E5-4F55-B1D3-CA17584E3D27}">
      <text>
        <r>
          <rPr>
            <b/>
            <sz val="9"/>
            <color indexed="81"/>
            <rFont val="Tahoma"/>
            <family val="2"/>
          </rPr>
          <t xml:space="preserve">CEO Decision
</t>
        </r>
        <r>
          <rPr>
            <sz val="9"/>
            <color indexed="81"/>
            <rFont val="Tahoma"/>
            <family val="2"/>
          </rPr>
          <t xml:space="preserve">Select Approved, Revisions Needed, or Rejected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S6" authorId="0" shapeId="0" xr:uid="{6A5E5133-60D8-4F53-8A2C-9E8AA5D8F2C0}">
      <text>
        <r>
          <rPr>
            <b/>
            <sz val="9"/>
            <color indexed="81"/>
            <rFont val="Tahoma"/>
            <family val="2"/>
          </rPr>
          <t xml:space="preserve">CEO Decision
</t>
        </r>
        <r>
          <rPr>
            <sz val="9"/>
            <color indexed="81"/>
            <rFont val="Tahoma"/>
            <family val="2"/>
          </rPr>
          <t>Select Approved, Revisions Needed, or Rejected</t>
        </r>
        <r>
          <rPr>
            <sz val="9"/>
            <color indexed="81"/>
            <rFont val="Tahoma"/>
            <family val="2"/>
          </rPr>
          <t xml:space="preserve">
</t>
        </r>
      </text>
    </comment>
    <comment ref="S7" authorId="0" shapeId="0" xr:uid="{7344D6E0-660C-4248-A398-948F60EB32BE}">
      <text>
        <r>
          <rPr>
            <b/>
            <sz val="9"/>
            <color indexed="81"/>
            <rFont val="Tahoma"/>
            <family val="2"/>
          </rPr>
          <t xml:space="preserve">CEO Decision
</t>
        </r>
        <r>
          <rPr>
            <sz val="9"/>
            <color indexed="81"/>
            <rFont val="Tahoma"/>
            <family val="2"/>
          </rPr>
          <t xml:space="preserve">Select Approved, Revisions Needed, or Rejected
</t>
        </r>
      </text>
    </comment>
    <comment ref="S8" authorId="0" shapeId="0" xr:uid="{612A4593-D589-4761-804F-305C5364FD90}">
      <text>
        <r>
          <rPr>
            <b/>
            <sz val="9"/>
            <color indexed="81"/>
            <rFont val="Tahoma"/>
            <family val="2"/>
          </rPr>
          <t xml:space="preserve">CEO Decision
</t>
        </r>
        <r>
          <rPr>
            <sz val="9"/>
            <color indexed="81"/>
            <rFont val="Tahoma"/>
            <family val="2"/>
          </rPr>
          <t xml:space="preserve">Select Approved, Revisions Needed, or Rejected
</t>
        </r>
      </text>
    </comment>
    <comment ref="S9" authorId="0" shapeId="0" xr:uid="{B71D4E86-9810-43C0-9EB8-8528A841266E}">
      <text>
        <r>
          <rPr>
            <b/>
            <sz val="9"/>
            <color indexed="81"/>
            <rFont val="Tahoma"/>
            <family val="2"/>
          </rPr>
          <t xml:space="preserve">CEO Decision
</t>
        </r>
        <r>
          <rPr>
            <sz val="9"/>
            <color indexed="81"/>
            <rFont val="Tahoma"/>
            <family val="2"/>
          </rPr>
          <t xml:space="preserve">
Select Approved, Revisions Needed, or Rejected
</t>
        </r>
      </text>
    </comment>
    <comment ref="S10" authorId="0" shapeId="0" xr:uid="{E3D046C9-4DC5-46F8-8508-39FBAB3299CA}">
      <text>
        <r>
          <rPr>
            <b/>
            <sz val="9"/>
            <color indexed="81"/>
            <rFont val="Tahoma"/>
            <family val="2"/>
          </rPr>
          <t xml:space="preserve">CEO Decision
</t>
        </r>
        <r>
          <rPr>
            <sz val="9"/>
            <color indexed="81"/>
            <rFont val="Tahoma"/>
            <family val="2"/>
          </rPr>
          <t xml:space="preserve">
Select Approved, Revisions Needed, or Rejected
</t>
        </r>
      </text>
    </comment>
    <comment ref="S11" authorId="0" shapeId="0" xr:uid="{8F00C8E3-52EF-40F7-B5BD-BC38634CEEEA}">
      <text>
        <r>
          <rPr>
            <b/>
            <sz val="9"/>
            <color indexed="81"/>
            <rFont val="Tahoma"/>
            <family val="2"/>
          </rPr>
          <t xml:space="preserve">CEO Decision
</t>
        </r>
        <r>
          <rPr>
            <sz val="9"/>
            <color indexed="81"/>
            <rFont val="Tahoma"/>
            <family val="2"/>
          </rPr>
          <t xml:space="preserve">
Select Approved, Revisions Needed, or Rejected
</t>
        </r>
      </text>
    </comment>
    <comment ref="S12" authorId="0" shapeId="0" xr:uid="{37655554-D413-4BDF-8CF6-FA4D34170F8E}">
      <text>
        <r>
          <rPr>
            <b/>
            <sz val="9"/>
            <color indexed="81"/>
            <rFont val="Tahoma"/>
            <family val="2"/>
          </rPr>
          <t xml:space="preserve">CEO Decision
</t>
        </r>
        <r>
          <rPr>
            <sz val="9"/>
            <color indexed="81"/>
            <rFont val="Tahoma"/>
            <family val="2"/>
          </rPr>
          <t xml:space="preserve">
Select Approved, Revisions Needed, or Rejected
</t>
        </r>
      </text>
    </comment>
    <comment ref="S13" authorId="0" shapeId="0" xr:uid="{C6A9E672-922C-4161-93B5-4C83A6000B09}">
      <text>
        <r>
          <rPr>
            <b/>
            <sz val="9"/>
            <color indexed="81"/>
            <rFont val="Tahoma"/>
            <family val="2"/>
          </rPr>
          <t xml:space="preserve">CEO Decision
</t>
        </r>
        <r>
          <rPr>
            <sz val="9"/>
            <color indexed="81"/>
            <rFont val="Tahoma"/>
            <family val="2"/>
          </rPr>
          <t xml:space="preserve">Select Approved, Revisions Needed, or Rejected
</t>
        </r>
      </text>
    </comment>
    <comment ref="S14" authorId="0" shapeId="0" xr:uid="{0CB76E43-0DF9-43EC-9270-D3D8CC4A399B}">
      <text>
        <r>
          <rPr>
            <b/>
            <sz val="9"/>
            <color indexed="81"/>
            <rFont val="Tahoma"/>
            <family val="2"/>
          </rPr>
          <t xml:space="preserve">CEO Decision
</t>
        </r>
        <r>
          <rPr>
            <sz val="9"/>
            <color indexed="81"/>
            <rFont val="Tahoma"/>
            <family val="2"/>
          </rPr>
          <t xml:space="preserve">Select Approved, Revisions Needed, or Rejected
</t>
        </r>
      </text>
    </comment>
    <comment ref="S15" authorId="0" shapeId="0" xr:uid="{9560685A-6245-44A7-8746-28A82A739FF7}">
      <text>
        <r>
          <rPr>
            <b/>
            <sz val="9"/>
            <color indexed="81"/>
            <rFont val="Tahoma"/>
            <family val="2"/>
          </rPr>
          <t xml:space="preserve">CEO Decision
</t>
        </r>
        <r>
          <rPr>
            <sz val="9"/>
            <color indexed="81"/>
            <rFont val="Tahoma"/>
            <family val="2"/>
          </rPr>
          <t xml:space="preserve">Select Approved, Revisions Needed, or Rejected
</t>
        </r>
      </text>
    </comment>
    <comment ref="S16" authorId="0" shapeId="0" xr:uid="{C03B1F71-97EF-4218-9939-048A8DFD2C98}">
      <text>
        <r>
          <rPr>
            <b/>
            <sz val="9"/>
            <color indexed="81"/>
            <rFont val="Tahoma"/>
            <family val="2"/>
          </rPr>
          <t xml:space="preserve">CEO Decision
</t>
        </r>
        <r>
          <rPr>
            <sz val="9"/>
            <color indexed="81"/>
            <rFont val="Tahoma"/>
            <family val="2"/>
          </rPr>
          <t xml:space="preserve">Select Approved, Revisions Needed, or Rejected
</t>
        </r>
      </text>
    </comment>
    <comment ref="S17" authorId="0" shapeId="0" xr:uid="{A6E3D8A5-04C5-4B86-98FF-51AB5EAAB465}">
      <text>
        <r>
          <rPr>
            <b/>
            <sz val="9"/>
            <color indexed="81"/>
            <rFont val="Tahoma"/>
            <family val="2"/>
          </rPr>
          <t xml:space="preserve">CEO Decision
</t>
        </r>
        <r>
          <rPr>
            <sz val="9"/>
            <color indexed="81"/>
            <rFont val="Tahoma"/>
            <family val="2"/>
          </rPr>
          <t xml:space="preserve">Select Approved, Revisions Needed, or Rejected
</t>
        </r>
      </text>
    </comment>
    <comment ref="S18" authorId="0" shapeId="0" xr:uid="{1D871EF2-8CCA-40AB-8C0A-EBD36F1C08A1}">
      <text>
        <r>
          <rPr>
            <b/>
            <sz val="9"/>
            <color indexed="81"/>
            <rFont val="Tahoma"/>
            <family val="2"/>
          </rPr>
          <t xml:space="preserve">CEO Decision
</t>
        </r>
        <r>
          <rPr>
            <sz val="9"/>
            <color indexed="81"/>
            <rFont val="Tahoma"/>
            <family val="2"/>
          </rPr>
          <t xml:space="preserve">Select Approved, Revisions Needed, or Rejected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S6" authorId="0" shapeId="0" xr:uid="{916A76A4-0713-4543-8C77-2CFB181C5D0E}">
      <text>
        <r>
          <rPr>
            <b/>
            <sz val="9"/>
            <color indexed="81"/>
            <rFont val="Tahoma"/>
            <family val="2"/>
          </rPr>
          <t xml:space="preserve">CEO Decision
</t>
        </r>
        <r>
          <rPr>
            <sz val="9"/>
            <color indexed="81"/>
            <rFont val="Tahoma"/>
            <family val="2"/>
          </rPr>
          <t>Select Approved, Revisions Needed, or Rejected</t>
        </r>
        <r>
          <rPr>
            <sz val="9"/>
            <color indexed="81"/>
            <rFont val="Tahoma"/>
            <family val="2"/>
          </rPr>
          <t xml:space="preserve">
</t>
        </r>
      </text>
    </comment>
    <comment ref="S7" authorId="0" shapeId="0" xr:uid="{46E3A19C-E977-4278-A033-757BF192FABD}">
      <text>
        <r>
          <rPr>
            <b/>
            <sz val="9"/>
            <color indexed="81"/>
            <rFont val="Tahoma"/>
            <family val="2"/>
          </rPr>
          <t xml:space="preserve">CEO Decision
</t>
        </r>
        <r>
          <rPr>
            <sz val="9"/>
            <color indexed="81"/>
            <rFont val="Tahoma"/>
            <family val="2"/>
          </rPr>
          <t xml:space="preserve">Select Approved, Revisions Needed, or Rejected
</t>
        </r>
      </text>
    </comment>
    <comment ref="S8" authorId="0" shapeId="0" xr:uid="{B7DE0527-44E1-4022-802C-04C976E3DFB6}">
      <text>
        <r>
          <rPr>
            <b/>
            <sz val="9"/>
            <color indexed="81"/>
            <rFont val="Tahoma"/>
            <family val="2"/>
          </rPr>
          <t xml:space="preserve">CEO Decision
</t>
        </r>
        <r>
          <rPr>
            <sz val="9"/>
            <color indexed="81"/>
            <rFont val="Tahoma"/>
            <family val="2"/>
          </rPr>
          <t xml:space="preserve">Select Approved, Revisions Needed, or Rejected
</t>
        </r>
      </text>
    </comment>
    <comment ref="S9" authorId="0" shapeId="0" xr:uid="{B933DA26-873D-4D08-964B-8BEECB1FC92C}">
      <text>
        <r>
          <rPr>
            <b/>
            <sz val="9"/>
            <color indexed="81"/>
            <rFont val="Tahoma"/>
            <family val="2"/>
          </rPr>
          <t>CEO Decision</t>
        </r>
        <r>
          <rPr>
            <sz val="9"/>
            <color indexed="81"/>
            <rFont val="Tahoma"/>
            <family val="2"/>
          </rPr>
          <t xml:space="preserve">
Select Approved, Revisions Needed, or Rejected</t>
        </r>
      </text>
    </comment>
    <comment ref="S10" authorId="0" shapeId="0" xr:uid="{3137989C-9C94-4707-9874-829C3B050C04}">
      <text>
        <r>
          <rPr>
            <b/>
            <sz val="9"/>
            <color indexed="81"/>
            <rFont val="Tahoma"/>
            <family val="2"/>
          </rPr>
          <t>CEO Decision</t>
        </r>
        <r>
          <rPr>
            <sz val="9"/>
            <color indexed="81"/>
            <rFont val="Tahoma"/>
            <family val="2"/>
          </rPr>
          <t xml:space="preserve">
Select Approved, Revisions Needed, or Rejected
</t>
        </r>
      </text>
    </comment>
    <comment ref="S11" authorId="0" shapeId="0" xr:uid="{988B3E5A-F664-4125-A14A-76F0DDE8A782}">
      <text>
        <r>
          <rPr>
            <b/>
            <sz val="9"/>
            <color indexed="81"/>
            <rFont val="Tahoma"/>
            <family val="2"/>
          </rPr>
          <t xml:space="preserve">CEO Decision
</t>
        </r>
        <r>
          <rPr>
            <sz val="9"/>
            <color indexed="81"/>
            <rFont val="Tahoma"/>
            <family val="2"/>
          </rPr>
          <t xml:space="preserve">Select Approved, Revisions Needed, or Rejected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Sarah Alcala</author>
  </authors>
  <commentList>
    <comment ref="S6" authorId="0" shapeId="0" xr:uid="{16FBE072-52E3-4523-A7DE-D5D53E892A5A}">
      <text>
        <r>
          <rPr>
            <b/>
            <sz val="9"/>
            <color indexed="81"/>
            <rFont val="Tahoma"/>
            <family val="2"/>
          </rPr>
          <t xml:space="preserve">CEO Decision
</t>
        </r>
        <r>
          <rPr>
            <sz val="9"/>
            <color indexed="81"/>
            <rFont val="Tahoma"/>
            <family val="2"/>
          </rPr>
          <t>Select Approved, Revisions Needed, or Rejected</t>
        </r>
        <r>
          <rPr>
            <sz val="9"/>
            <color indexed="81"/>
            <rFont val="Tahoma"/>
            <family val="2"/>
          </rPr>
          <t xml:space="preserve">
</t>
        </r>
      </text>
    </comment>
    <comment ref="S7" authorId="0" shapeId="0" xr:uid="{51D6E49C-EEE9-476C-A5E6-C8EF87EFE265}">
      <text>
        <r>
          <rPr>
            <b/>
            <sz val="9"/>
            <color indexed="81"/>
            <rFont val="Tahoma"/>
            <family val="2"/>
          </rPr>
          <t xml:space="preserve">CEO Decision
</t>
        </r>
        <r>
          <rPr>
            <sz val="9"/>
            <color indexed="81"/>
            <rFont val="Tahoma"/>
            <family val="2"/>
          </rPr>
          <t xml:space="preserve">Select Approved, Revisions Needed, or Rejected
</t>
        </r>
      </text>
    </comment>
    <comment ref="S8" authorId="0" shapeId="0" xr:uid="{F4142417-B043-4CFA-A914-7022E2968A3A}">
      <text>
        <r>
          <rPr>
            <b/>
            <sz val="9"/>
            <color indexed="81"/>
            <rFont val="Tahoma"/>
            <family val="2"/>
          </rPr>
          <t xml:space="preserve">CEO Decision
</t>
        </r>
        <r>
          <rPr>
            <sz val="9"/>
            <color indexed="81"/>
            <rFont val="Tahoma"/>
            <family val="2"/>
          </rPr>
          <t xml:space="preserve">Select Approved, Revisions Needed, or Rejected
</t>
        </r>
      </text>
    </comment>
    <comment ref="S9" authorId="0" shapeId="0" xr:uid="{00AE367A-0C5B-4985-B1AD-0647BE9052E4}">
      <text>
        <r>
          <rPr>
            <b/>
            <sz val="9"/>
            <color indexed="81"/>
            <rFont val="Tahoma"/>
            <family val="2"/>
          </rPr>
          <t>CEO Decision</t>
        </r>
        <r>
          <rPr>
            <sz val="9"/>
            <color indexed="81"/>
            <rFont val="Tahoma"/>
            <family val="2"/>
          </rPr>
          <t xml:space="preserve">
Select Approved, Revisions Needed, or Rejected</t>
        </r>
      </text>
    </comment>
    <comment ref="S10" authorId="0" shapeId="0" xr:uid="{267F4073-B261-4F39-94EB-D118CC313A0A}">
      <text>
        <r>
          <rPr>
            <b/>
            <sz val="9"/>
            <color indexed="81"/>
            <rFont val="Tahoma"/>
            <family val="2"/>
          </rPr>
          <t>CEO Decision</t>
        </r>
        <r>
          <rPr>
            <sz val="9"/>
            <color indexed="81"/>
            <rFont val="Tahoma"/>
            <family val="2"/>
          </rPr>
          <t xml:space="preserve">
Select Approved, Revisions Needed, or Rejected
</t>
        </r>
      </text>
    </comment>
    <comment ref="S11" authorId="0" shapeId="0" xr:uid="{AE12A313-4B04-45C2-A7CB-55D399C15C76}">
      <text>
        <r>
          <rPr>
            <b/>
            <sz val="9"/>
            <color indexed="81"/>
            <rFont val="Tahoma"/>
            <family val="2"/>
          </rPr>
          <t xml:space="preserve">CEO Decision
</t>
        </r>
        <r>
          <rPr>
            <sz val="9"/>
            <color indexed="81"/>
            <rFont val="Tahoma"/>
            <family val="2"/>
          </rPr>
          <t xml:space="preserve">Select Approved, Revisions Needed, or Rejected
</t>
        </r>
      </text>
    </comment>
  </commentList>
</comments>
</file>

<file path=xl/sharedStrings.xml><?xml version="1.0" encoding="utf-8"?>
<sst xmlns="http://schemas.openxmlformats.org/spreadsheetml/2006/main" count="8338" uniqueCount="1143">
  <si>
    <t>OFFERS REVIEW TRACKER — CEO REVIEW</t>
  </si>
  <si>
    <t>DATE SUBMITTED FOR REVIEW: AUG 09, 2026</t>
  </si>
  <si>
    <t>Pre-Ministry Approval Review</t>
  </si>
  <si>
    <t>MERCHANT &amp; OFFER IDENTITY</t>
  </si>
  <si>
    <t>OFFER TYPE, PRICING &amp; REDEMPTION</t>
  </si>
  <si>
    <t>TERMS &amp; CONDITIONS</t>
  </si>
  <si>
    <t>AVAILABLE PLATFORMS</t>
  </si>
  <si>
    <t>CEO REVIEW</t>
  </si>
  <si>
    <t xml:space="preserve">GAS TEAM </t>
  </si>
  <si>
    <t>#</t>
  </si>
  <si>
    <t>Account Type</t>
  </si>
  <si>
    <t>Offer Duration</t>
  </si>
  <si>
    <t>Merchant Name</t>
  </si>
  <si>
    <t>Offer Title</t>
  </si>
  <si>
    <t>Category</t>
  </si>
  <si>
    <t>Offer Type</t>
  </si>
  <si>
    <t>Original Price
(QAR)</t>
  </si>
  <si>
    <t>Discounted Price
(QAR)</t>
  </si>
  <si>
    <t>Redemption Type</t>
  </si>
  <si>
    <t>Limit Per User</t>
  </si>
  <si>
    <t>Claim Rules | General T &amp; C</t>
  </si>
  <si>
    <t>Other T&amp;C / Rules</t>
  </si>
  <si>
    <t>UP</t>
  </si>
  <si>
    <t>ENT</t>
  </si>
  <si>
    <t>MB</t>
  </si>
  <si>
    <t>OFFERS</t>
  </si>
  <si>
    <t>CEO Remarks
[Approved/ Revisions Needed, Rejected] - Choose from the drop down</t>
  </si>
  <si>
    <t>CEO Comments &amp; Notes</t>
  </si>
  <si>
    <t>2ND FEEDBACK
(If required)</t>
  </si>
  <si>
    <t>SALES</t>
  </si>
  <si>
    <t>Remarks</t>
  </si>
  <si>
    <t>Discount %</t>
  </si>
  <si>
    <t>Min Spend (QAR)</t>
  </si>
  <si>
    <t>Qty Free</t>
  </si>
  <si>
    <t>Unit/Free Price (QAR)</t>
  </si>
  <si>
    <t>Other T&amp;C/Rules (Original)</t>
  </si>
  <si>
    <t>1mo Orig (QAR)</t>
  </si>
  <si>
    <t>1mo Disc (QAR)</t>
  </si>
  <si>
    <t>3mo Orig (QAR)</t>
  </si>
  <si>
    <t>3mo Disc (QAR)</t>
  </si>
  <si>
    <t>6mo Orig (QAR)</t>
  </si>
  <si>
    <t>6mo Disc (QAR)</t>
  </si>
  <si>
    <t>12mo Orig (QAR)</t>
  </si>
  <si>
    <t>12mo Disc (QAR)</t>
  </si>
  <si>
    <t>Est. Savings Override (QAR)</t>
  </si>
  <si>
    <t>NEW Merchant</t>
  </si>
  <si>
    <t>Yearly</t>
  </si>
  <si>
    <t>BRGR LAB</t>
  </si>
  <si>
    <t>Buy 1 Get 1 - Smash Double Burger</t>
  </si>
  <si>
    <t>Food &amp; Dining</t>
  </si>
  <si>
    <t>Buy 1 Get 1</t>
  </si>
  <si>
    <t>40 QAR</t>
  </si>
  <si>
    <t>NA</t>
  </si>
  <si>
    <t>Limited</t>
  </si>
  <si>
    <t>One voucher per person per visit.</t>
  </si>
  <si>
    <t>No</t>
  </si>
  <si>
    <t>Approved</t>
  </si>
  <si>
    <t>SAYYADA</t>
  </si>
  <si>
    <t>Order any Sharing Boat and enjoy 1 Appetiser + 2 Drinks on the house.</t>
  </si>
  <si>
    <t>Buy 1 Get 1 - Supreme Smash Burger</t>
  </si>
  <si>
    <t>Mix &amp; match any 8 pieces of sushi to get 1 Appetizer free.</t>
  </si>
  <si>
    <t>Buy 1 Get 1 - Chicken Tower Burger</t>
  </si>
  <si>
    <t>38 QAR</t>
  </si>
  <si>
    <t>Buy any 8 pieces of sushi and get 1 Drink free.</t>
  </si>
  <si>
    <t>Buy 1 Get 1 - Single Smash Burger</t>
  </si>
  <si>
    <t>36 QAR</t>
  </si>
  <si>
    <t>Main Course options: Daily Persian Stew, Charcoal Grilled Kebabs, Chef's Special Kebabs, or Grilled/Fried Seafood. Free item: any Soup, Starter, or Salad.</t>
  </si>
  <si>
    <t>Monthly</t>
  </si>
  <si>
    <t>The Pearl International Hospital</t>
  </si>
  <si>
    <t>50% Off - Balanced Curve Package</t>
  </si>
  <si>
    <t>Health &amp; Wellness</t>
  </si>
  <si>
    <t>Discount</t>
  </si>
  <si>
    <t>2500 QAR</t>
  </si>
  <si>
    <t>1250 QAR</t>
  </si>
  <si>
    <t>Unlimited</t>
  </si>
  <si>
    <t>One voucher per person per visit.
Multiple offers cannot be combined in the same transaction.
Offer is not applicable on public holidays &amp; all special events.
Advance booking or reservation requirement.
Cannot be applied to already discounted items.
Cannot be combined with employee discounts.</t>
  </si>
  <si>
    <t>HIBA</t>
  </si>
  <si>
    <t>Package Includes: 1 Month Venus Bliss (1–2 treatment areas) – 2 Fat Reduction Sessions + 4 RF Skin Tightening Sessions, plus 1 Month Personalized Dietitian Program (consultation, nutrition plan, follow-up).</t>
  </si>
  <si>
    <t>50% Off - Sculpt Curve Package</t>
  </si>
  <si>
    <t>1800 QAR</t>
  </si>
  <si>
    <t>900 QAR</t>
  </si>
  <si>
    <t>Multiple offers cannot be combined in the same transaction.
One voucher per person per visit.
Offer is not applicable on public holidays &amp; all special events.
Advance booking or reservation requirement.
Cannot be applied to already discounted items.
Cannot be combined with employee discounts.</t>
  </si>
  <si>
    <t>Package Includes: 1 Month Venus Bliss (1–2 treatment areas) – 2 Fat Reduction Sessions + 4 RF Skin Tightening Sessions.</t>
  </si>
  <si>
    <t>50% Off - Platinum Hydrafacial</t>
  </si>
  <si>
    <t>1500 QAR</t>
  </si>
  <si>
    <t>750 QAR</t>
  </si>
  <si>
    <t>Includes Lymphatic Drainage, Deep Cleansing &amp; Exfoliation, GlySal™ Prep Peel, Extractions, 2 Premium Boosters, LED Light Therapy, and Perk Eye &amp; Lip Treatments.</t>
  </si>
  <si>
    <t>Buy LaseMD Ultra - Get 1 Cosmetic Injection Free</t>
  </si>
  <si>
    <t>Bundle</t>
  </si>
  <si>
    <t>1300 QAR</t>
  </si>
  <si>
    <t>Multiple offers cannot be combined in the same transaction.
One voucher per person per visit.
Offer is not applicable on public holidays &amp; all special events.
Advance booking or reservation requirement.
Cannot be applied to already discounted items.
Cannot be combined with employee discounts.
Cosmetic injection price ranges from 800 QAR to 3000 QAR; the 1000 QAR estimated savings is as confirmed by the merchant.</t>
  </si>
  <si>
    <t>Includes Full Face LaseMD Ultra Treatment. Free injection choice: Botox, Juvederm Fillers, Teosyal, Jalupro, Kiara Skin Booster, Kiara Reju, PDRN Plinest/Plenhyage XL, Bella Face Cocktail, Light Eyes/Upgrade Mesotherapy, Hair &amp; Scalp Revitalizing Therapy, Lipolysis, or PRP.</t>
  </si>
  <si>
    <t>Buy Scarlet X Package - Get 1 Cosmetic Injection Free</t>
  </si>
  <si>
    <t>2000 QAR</t>
  </si>
  <si>
    <t>One voucher per person per visit.
Multiple offers cannot be combined in the same transaction.
Offer is not applicable on public holidays &amp; all special events.
Advance booking or reservation requirement.
Cannot be applied to already discounted items.
Cannot be combined with employee discounts.
Cosmetic injection price ranges from 800 QAR to 3000 QAR; the 1000 QAR estimated savings is as confirmed by the merchant.</t>
  </si>
  <si>
    <t>Includes Full Face Scarlet X Treatment. Free injection choice: Botox, Juvederm Fillers, Teosyal, Jalupro, Kiara Skin Booster, Kiara Reju, PDRN Plinest/Plenhyage XL, Bella Face Cocktail, Light Eyes/Upgrade Mesotherapy, Hair &amp; Scalp Revitalizing Therapy, Lipolysis, or PRP.</t>
  </si>
  <si>
    <t>Full Body Hair Laser Removal (Male) – 1000 QAR</t>
  </si>
  <si>
    <t>1000 QAR</t>
  </si>
  <si>
    <t>Full Body Hair Laser Removal (Female) – 1000 QAR</t>
  </si>
  <si>
    <t>Zoom Teeth Bleaching – 1750 QAR</t>
  </si>
  <si>
    <t>2700 QAR</t>
  </si>
  <si>
    <t>1750 QAR</t>
  </si>
  <si>
    <t>Dietitian Consultation - 200 QAR</t>
  </si>
  <si>
    <t>400 QAR</t>
  </si>
  <si>
    <t>200 QAR</t>
  </si>
  <si>
    <t>COMPLETE HEALTH CHECKUP BUNDLE — INDIVIDUAL ITEM PRICING (Source: Al Sultan Medical Center Price List)</t>
  </si>
  <si>
    <t>Item</t>
  </si>
  <si>
    <t>Price (QAR)</t>
  </si>
  <si>
    <t>Source (Price List page/line)</t>
  </si>
  <si>
    <t>Complete Blood Count (CBC)</t>
  </si>
  <si>
    <t>Lab pricelist #35</t>
  </si>
  <si>
    <t>Red Blood Cell Count</t>
  </si>
  <si>
    <t>Lab pricelist #130</t>
  </si>
  <si>
    <t>Platelet Count</t>
  </si>
  <si>
    <t>Lab pricelist #118</t>
  </si>
  <si>
    <t>Differential Count (Neutrophils/Lymphocyte/Eosinophils/Basophils)</t>
  </si>
  <si>
    <t>Lab pricelist #64 Differential Blood Count</t>
  </si>
  <si>
    <t>Mean Cell Volume (MCV)</t>
  </si>
  <si>
    <t>Lab pricelist #112</t>
  </si>
  <si>
    <t>Mean Cell Haemoglobin (MCH)</t>
  </si>
  <si>
    <t>Lab pricelist #110</t>
  </si>
  <si>
    <t>Mean Cell Haemoglobin Concentration (MCHC)</t>
  </si>
  <si>
    <t>Lab pricelist #111</t>
  </si>
  <si>
    <t>ECG</t>
  </si>
  <si>
    <t>General Treatments #10</t>
  </si>
  <si>
    <t>Total Cholesterol</t>
  </si>
  <si>
    <t>Lab pricelist #30 Cholesterol</t>
  </si>
  <si>
    <t>Triglycerides</t>
  </si>
  <si>
    <t>Lab pricelist Triglyceride</t>
  </si>
  <si>
    <t>SGPT / Liver Function Test</t>
  </si>
  <si>
    <t>Lab pricelist #107 Liver function Test (panel)</t>
  </si>
  <si>
    <t>Creatinine / Kidney Function Test</t>
  </si>
  <si>
    <t>Lab pricelist #131 Renal Function Test (panel)</t>
  </si>
  <si>
    <t>Uric Acid</t>
  </si>
  <si>
    <t>Lab pricelist Uric acid</t>
  </si>
  <si>
    <t>Urine Analysis</t>
  </si>
  <si>
    <t>Lab pricelist Urine Analysis</t>
  </si>
  <si>
    <t>Blood Pressure Measurement</t>
  </si>
  <si>
    <t>General Treatments #16 B.P. Check Up</t>
  </si>
  <si>
    <t>Physician Consultation &amp; Physical Examination</t>
  </si>
  <si>
    <t>General Treatments #01 Consultation fees (GP)</t>
  </si>
  <si>
    <t>Dental Consultation</t>
  </si>
  <si>
    <t>Dental pricelist #1 Consultation</t>
  </si>
  <si>
    <t>TOTAL (individual value)</t>
  </si>
  <si>
    <t>Not found as separate line items in price list (excluded from total): Haemoglobin, Total White Blood Cell Count, Hematocrit, Fasting/Random Blood Sugar, Body Mass Index (BMI)</t>
  </si>
  <si>
    <t>EXISTING Merchant</t>
  </si>
  <si>
    <t>Matka Junction Restaurant</t>
  </si>
  <si>
    <t>120 QAR</t>
  </si>
  <si>
    <t>Multiple offers cannot be combined in the same transaction. 
Cannot be combined with employee discounts.</t>
  </si>
  <si>
    <t>Estimated Savings 20 QAR</t>
  </si>
  <si>
    <t>Yes</t>
  </si>
  <si>
    <r>
      <rPr>
        <b/>
        <sz val="12"/>
        <color rgb="FFFF0000"/>
        <rFont val="Aptos Display"/>
        <family val="2"/>
      </rPr>
      <t>𝗨𝗥𝗕𝗔𝗡 𝗣𝗢𝗜𝗡𝗧</t>
    </r>
    <r>
      <rPr>
        <sz val="12"/>
        <color theme="1"/>
        <rFont val="Aptos Display"/>
        <family val="2"/>
      </rPr>
      <t xml:space="preserve">
• Buy 1 Matka Chai Get 1 Free – SAVE QAR 9
• Buy 1 Full BBQ Platter Get 1 Mojito Free – SAVE QAR 20
• Buy 1 Dessert Get 1 Free – SAVE QAR 15
</t>
    </r>
    <r>
      <rPr>
        <b/>
        <sz val="12"/>
        <color rgb="FFFF0000"/>
        <rFont val="Aptos Display"/>
        <family val="2"/>
      </rPr>
      <t>𝗠𝗬 𝗕𝗢𝗢𝗞</t>
    </r>
    <r>
      <rPr>
        <sz val="12"/>
        <color theme="1"/>
        <rFont val="Aptos Display"/>
        <family val="2"/>
      </rPr>
      <t xml:space="preserve">
• Buy 1 Get 1 Free – Signature Matka Chai (Dine-in)
• Buy 1 Get 1 Free – Dessert (Dine-in)
• Buy 1 Full BBQ Platter Get 1 Mojito Free (Bundle Offer, Dine-in)</t>
    </r>
  </si>
  <si>
    <t>MANNAN</t>
  </si>
  <si>
    <t>Buy 1 Get 1 - Dessert</t>
  </si>
  <si>
    <t>Multiple Items</t>
  </si>
  <si>
    <t>Estimated saving 15 QAR</t>
  </si>
  <si>
    <t>Buy 1 Get 1 - Lacha Chicken Zinger Crunch Burger</t>
  </si>
  <si>
    <t>Estimated saving 16 QAR</t>
  </si>
  <si>
    <t>Buy 1 Get 1 - Matka Chai</t>
  </si>
  <si>
    <t>9 QAR</t>
  </si>
  <si>
    <t>Offer Valid only for Dine-in (Not valid on Delivery / Take away).
Cannot be combined with employee discounts.</t>
  </si>
  <si>
    <t>Estimated saving 9 QAR</t>
  </si>
  <si>
    <t>Qamaria Yemeni Coffee</t>
  </si>
  <si>
    <t>Buy 1 Get 1 - Coffee</t>
  </si>
  <si>
    <t>15</t>
  </si>
  <si>
    <t>Offer Valid for Dine-in, Delivery &amp; Take away. 
Multiple offers cannot be combined in the same transaction. 
One voucher per person per visit. Cannot be combined with employee discounts. 
Cannot be applied to already discounted items.</t>
  </si>
  <si>
    <t>Min Saving 15 QAR</t>
  </si>
  <si>
    <r>
      <rPr>
        <sz val="12"/>
        <color rgb="FFFF0000"/>
        <rFont val="Aptos Display"/>
        <family val="2"/>
      </rPr>
      <t xml:space="preserve">𝗠𝗬 𝗕𝗢𝗢𝗞
</t>
    </r>
    <r>
      <rPr>
        <sz val="12"/>
        <color theme="1"/>
        <rFont val="Aptos Display"/>
        <family val="2"/>
      </rPr>
      <t xml:space="preserve">
• Free 50% off the Second Beverage
• 15% off on Group Set Menu for 5 (Amount Discount, Dine-in)</t>
    </r>
  </si>
  <si>
    <t>Egg Sandwich &amp; Yemeni Coffee Bundle</t>
  </si>
  <si>
    <t>18 QAR</t>
  </si>
  <si>
    <t>Offer Valid for Dine-in, Delivery &amp; Take away. 
Multiple offers cannot be combined in the same transaction. 
One voucher per person per visit.
One voucher per table/group/bill.
Cannot be combined with employee discounts. 
Cannot be applied to already discounted items.</t>
  </si>
  <si>
    <t>Min Savings 10 QAR</t>
  </si>
  <si>
    <t>Honeycomb &amp; Yemeni Coffee Bundle</t>
  </si>
  <si>
    <t>28 QAR</t>
  </si>
  <si>
    <t>Buy 1 Drink - Get 50% on Second</t>
  </si>
  <si>
    <t>Buy 1 Large Yemeni Drink - Get 25% on Sabaya</t>
  </si>
  <si>
    <t>Min Savings 6 QAR</t>
  </si>
  <si>
    <t>20% Off - Total Bill (Minimum 100 QAR)</t>
  </si>
  <si>
    <t>Estimated Saving  20 QAR</t>
  </si>
  <si>
    <t>Bo's Coffee</t>
  </si>
  <si>
    <t>Buy 1 Large Drink - Get 1 Small Drink Free</t>
  </si>
  <si>
    <t>Est. Savings 20 QAR</t>
  </si>
  <si>
    <r>
      <rPr>
        <sz val="12"/>
        <color rgb="FFFF0000"/>
        <rFont val="Aptos Display"/>
        <family val="2"/>
      </rPr>
      <t>𝗨𝗥𝗕𝗔𝗡 𝗣𝗢𝗜𝗡𝗧</t>
    </r>
    <r>
      <rPr>
        <sz val="12"/>
        <color rgb="FF000000"/>
        <rFont val="Aptos Display"/>
        <family val="2"/>
      </rPr>
      <t xml:space="preserve">
• Buy 1 Small Mojito Get 1 Free – SAVE QAR 19
• Buy 1 Small Hot Tea Get 1 Free – SAVE QAR 11
• Buy 1 Small Espresso-Based Hot or Iced Beverage Get 1 Free – SAVE QAR 20
• Buy 1 Small Americano Get 1 Free – SAVE QAR 12
</t>
    </r>
    <r>
      <rPr>
        <sz val="12"/>
        <color rgb="FFFF0000"/>
        <rFont val="Aptos Display"/>
        <family val="2"/>
      </rPr>
      <t xml:space="preserve">
𝗘𝗡𝗧𝗘𝗥𝗧𝗔𝗜𝗡𝗘𝗥
</t>
    </r>
    <r>
      <rPr>
        <sz val="12"/>
        <color rgb="FF000000"/>
        <rFont val="Aptos Display"/>
        <family val="2"/>
      </rPr>
      <t xml:space="preserve">
• Free Large Beverage (Bundle Offer)
• Buy 1 Small Beverage Get 1 Free (Dine-in)</t>
    </r>
  </si>
  <si>
    <t>Outback Steakhouse</t>
  </si>
  <si>
    <t>25% Off - Regular Menu</t>
  </si>
  <si>
    <t>Minimum Spend 100 QAR
Est. Savings 25 QAR</t>
  </si>
  <si>
    <r>
      <rPr>
        <sz val="12"/>
        <color rgb="FFFF0000"/>
        <rFont val="Aptos Display"/>
        <family val="2"/>
      </rPr>
      <t>𝗨𝗥𝗕𝗔𝗡 𝗣𝗢𝗜𝗡𝗧</t>
    </r>
    <r>
      <rPr>
        <sz val="12"/>
        <rFont val="Aptos Display"/>
        <family val="2"/>
      </rPr>
      <t xml:space="preserve">
• Buy 1 Main Course Get 1 Free – SAVE QAR 70
</t>
    </r>
    <r>
      <rPr>
        <sz val="12"/>
        <color rgb="FFFF0000"/>
        <rFont val="Aptos Display"/>
        <family val="2"/>
      </rPr>
      <t>𝗘𝗡𝗧𝗘𝗥𝗧𝗔𝗜𝗡𝗘𝗥</t>
    </r>
    <r>
      <rPr>
        <sz val="12"/>
        <rFont val="Aptos Display"/>
        <family val="2"/>
      </rPr>
      <t xml:space="preserve">
• Buy 1 Main Course Get 1 Free (Dine-in, Takeaway)
• Buy 1 Breakfast Get 1 Free (Dine-in, 2 Persons)
• Free Dessert (Bundle Offer, Dine-in)
• Free Half Cheese Fries (Bundle Offer, Dine-in)
</t>
    </r>
    <r>
      <rPr>
        <sz val="12"/>
        <color rgb="FFFF0000"/>
        <rFont val="Aptos Display"/>
        <family val="2"/>
      </rPr>
      <t xml:space="preserve">𝗠𝗬 𝗕𝗢𝗢𝗞
</t>
    </r>
    <r>
      <rPr>
        <sz val="12"/>
        <rFont val="Aptos Display"/>
        <family val="2"/>
      </rPr>
      <t xml:space="preserve">
• Buy 1 Main Course Get 1 Free (Valid until 30 Dec 2026)</t>
    </r>
  </si>
  <si>
    <t>Dairy Queen - Grill and Chill</t>
  </si>
  <si>
    <t>Buy 1 Large Blizzard - Get 1 Small Blizzard Free</t>
  </si>
  <si>
    <t>3</t>
  </si>
  <si>
    <r>
      <rPr>
        <sz val="12"/>
        <color rgb="FFFF0000"/>
        <rFont val="Aptos Display"/>
        <family val="2"/>
      </rPr>
      <t>𝗨𝗥𝗕𝗔𝗡 𝗣𝗢𝗜𝗡𝗧</t>
    </r>
    <r>
      <rPr>
        <sz val="12"/>
        <rFont val="Aptos Display"/>
        <family val="2"/>
      </rPr>
      <t xml:space="preserve">
• Buy 1 Mini Blizzard Get 1 Free – SAVE QAR 11
• 25% Off on Cakes above QAR 100 – SAVE QAR 30
• Buy 1 Crispy Chicken Sandwich Get 1 Free – SAVE QAR 18
</t>
    </r>
    <r>
      <rPr>
        <sz val="12"/>
        <color rgb="FFFF0000"/>
        <rFont val="Aptos Display"/>
        <family val="2"/>
      </rPr>
      <t>𝗘𝗡𝗧𝗘𝗥𝗧𝗔𝗜𝗡𝗘𝗥</t>
    </r>
    <r>
      <rPr>
        <sz val="12"/>
        <rFont val="Aptos Display"/>
        <family val="2"/>
      </rPr>
      <t xml:space="preserve">
• Buy 1 Crispy Chicken Burger Get 1 Free (Dine-in)
• Free Mini Blizzard (Bundle Offer, Dine-in)
• 20% Off on Cakes above QAR 100 (Amount Discount)</t>
    </r>
  </si>
  <si>
    <t>Papa Johns</t>
  </si>
  <si>
    <t>Buy 1 Large Pizza - Get 1 Medium Pizza</t>
  </si>
  <si>
    <t>Est. Savings 43 QAR</t>
  </si>
  <si>
    <r>
      <rPr>
        <sz val="12"/>
        <color rgb="FFFF0000"/>
        <rFont val="Aptos Display"/>
        <family val="2"/>
      </rPr>
      <t>𝗘𝗡𝗧𝗘𝗥𝗧𝗔𝗜𝗡𝗘𝗥</t>
    </r>
    <r>
      <rPr>
        <sz val="12"/>
        <rFont val="Aptos Display"/>
        <family val="2"/>
      </rPr>
      <t xml:space="preserve">
• Free Small Pizza on Medium Pizza (Bundle Offer)
• Free Small Pizza on Large Pizza (Bundle Offer)
• Free Medium Pizza on Large Pizza (Bundle Offer)</t>
    </r>
  </si>
  <si>
    <t>DATE SUBMITTED FOR REVIEW: AUG 03, 2026</t>
  </si>
  <si>
    <r>
      <t xml:space="preserve">Naira International Group - </t>
    </r>
    <r>
      <rPr>
        <b/>
        <sz val="12"/>
        <color rgb="FFFF0000"/>
        <rFont val="Aptos Display"/>
        <family val="2"/>
      </rPr>
      <t>Sushi Minto</t>
    </r>
  </si>
  <si>
    <t>Buy 1 Sharing Boat - Get 1 Appetizer + 2 Drinks Free</t>
  </si>
  <si>
    <t>399 QAR</t>
  </si>
  <si>
    <t>One voucher per person per visit.
One voucher per table/group/bill.
Multiple offers cannot be combined in the same transaction.
Cannot be applied to already discounted items.
Cannot be combined with employee discounts.</t>
  </si>
  <si>
    <r>
      <rPr>
        <b/>
        <sz val="12"/>
        <color rgb="FFFF0000"/>
        <rFont val="Aptos Display"/>
        <family val="2"/>
      </rPr>
      <t xml:space="preserve">URBAN POINT
</t>
    </r>
    <r>
      <rPr>
        <sz val="12"/>
        <color rgb="FF000000"/>
        <rFont val="Aptos Display"/>
        <family val="2"/>
      </rPr>
      <t xml:space="preserve">
• Buy 1 Sunday to Monday Endless Rolls Buffet Get 1 Free
• Buy 1 Main Course Get 1 Free – SAVE QAR 49
</t>
    </r>
    <r>
      <rPr>
        <b/>
        <sz val="12"/>
        <color rgb="FFFF0000"/>
        <rFont val="Aptos Display"/>
        <family val="2"/>
      </rPr>
      <t xml:space="preserve">ENTERTAINER
</t>
    </r>
    <r>
      <rPr>
        <sz val="12"/>
        <color rgb="FF000000"/>
        <rFont val="Aptos Display"/>
        <family val="2"/>
      </rPr>
      <t xml:space="preserve">
Qatar Monthly Offers 2026:
• Sunday or Monday Sushi Buffet – Buy 1 Get 1 Free (Bonus, Reusable)
• Endless Rolls Buffet – Buy 1 Get 1 Free (Bonus, Reusable)
Qatar 2026:
• Main Menu Item – Buy 1 Get 1 Free (Valid until 30 Dec 2026)
</t>
    </r>
    <r>
      <rPr>
        <b/>
        <sz val="12"/>
        <color rgb="FFFF0000"/>
        <rFont val="Aptos Display"/>
        <family val="2"/>
      </rPr>
      <t xml:space="preserve">MY BOOK
</t>
    </r>
    <r>
      <rPr>
        <sz val="12"/>
        <color rgb="FF000000"/>
        <rFont val="Aptos Display"/>
        <family val="2"/>
      </rPr>
      <t xml:space="preserve">
• Buy 1 Get 1 Free – Main Menu Item (Dine-in)
• Buy 1 Get 1 Free – Endless Rolls Buffet - Adult (Advance Booking, Dine-in)
• Buy 1 Get 1 Free – Endless Rolls Buffet - Kids (Advance Booking, Dine-in)</t>
    </r>
  </si>
  <si>
    <t>Revisions Needed</t>
  </si>
  <si>
    <t>Should have BOGO offer like others. They are insecure offer thna others</t>
  </si>
  <si>
    <t>Buy 8 Pcs Sushi Roll - Get 1 Appetizer Free</t>
  </si>
  <si>
    <t>88 QAR</t>
  </si>
  <si>
    <t>Buy 8 Pcs Sushi Roll - Get 1 Drink Free</t>
  </si>
  <si>
    <t>Buy 1 Get 1 - Endless Rolls Buffet</t>
  </si>
  <si>
    <t>139 QAR</t>
  </si>
  <si>
    <t>Endless rolls, endless cravings! Your sushi night just got better at Sushi Minto. Valid Sunday, Monday, Tuesday &amp; Wednesday only.</t>
  </si>
  <si>
    <t>Buy 1 Get 1 - Main Course</t>
  </si>
  <si>
    <t>Buy any main course item and get any main course of the same or lower price free.</t>
  </si>
  <si>
    <r>
      <t xml:space="preserve">Naira International Group - </t>
    </r>
    <r>
      <rPr>
        <b/>
        <sz val="12"/>
        <color rgb="FFFF0000"/>
        <rFont val="Aptos Display"/>
        <family val="2"/>
      </rPr>
      <t>Shiraz Garden</t>
    </r>
  </si>
  <si>
    <t>Buy 1 Main Course - Get 1 Appetizer Free</t>
  </si>
  <si>
    <t>70 QAR</t>
  </si>
  <si>
    <r>
      <rPr>
        <b/>
        <sz val="12"/>
        <color rgb="FFFF0000"/>
        <rFont val="Aptos Display"/>
        <family val="2"/>
      </rPr>
      <t>URBAN POINT</t>
    </r>
    <r>
      <rPr>
        <sz val="12"/>
        <rFont val="Aptos Display"/>
        <family val="2"/>
      </rPr>
      <t xml:space="preserve">
• Buy 1 Main Course Get 1 Free – SAVE QAR 59
</t>
    </r>
    <r>
      <rPr>
        <b/>
        <sz val="12"/>
        <color rgb="FFFF0000"/>
        <rFont val="Aptos Display"/>
        <family val="2"/>
      </rPr>
      <t xml:space="preserve">
ENTERTAINER
</t>
    </r>
    <r>
      <rPr>
        <sz val="12"/>
        <rFont val="Aptos Display"/>
        <family val="2"/>
      </rPr>
      <t xml:space="preserve">
• Main Course – Buy 1 Get 1 Free (Valid until 30 Dec 2026)
</t>
    </r>
    <r>
      <rPr>
        <b/>
        <sz val="12"/>
        <color rgb="FFFF0000"/>
        <rFont val="Aptos Display"/>
        <family val="2"/>
      </rPr>
      <t xml:space="preserve">
MY BOOK
</t>
    </r>
    <r>
      <rPr>
        <sz val="12"/>
        <rFont val="Aptos Display"/>
        <family val="2"/>
      </rPr>
      <t xml:space="preserve">
• Buy 1 Get 1 Free – Main Menu Item (Dine-in)</t>
    </r>
  </si>
  <si>
    <t>Buy any Main course and get a main course of the same or lower value free.</t>
  </si>
  <si>
    <r>
      <t>Naira International Group -</t>
    </r>
    <r>
      <rPr>
        <b/>
        <sz val="12"/>
        <color rgb="FFFF0000"/>
        <rFont val="Aptos Display"/>
        <family val="2"/>
      </rPr>
      <t>Barrio Fiesta</t>
    </r>
  </si>
  <si>
    <t>45 QAR</t>
  </si>
  <si>
    <r>
      <rPr>
        <b/>
        <sz val="12"/>
        <color rgb="FFFF0000"/>
        <rFont val="Aptos Display"/>
        <family val="2"/>
      </rPr>
      <t>ENTERTAINER</t>
    </r>
    <r>
      <rPr>
        <b/>
        <sz val="12"/>
        <rFont val="Aptos Display"/>
        <family val="2"/>
      </rPr>
      <t xml:space="preserve">
</t>
    </r>
    <r>
      <rPr>
        <sz val="12"/>
        <rFont val="Aptos Display"/>
        <family val="2"/>
      </rPr>
      <t xml:space="preserve">
• Main Course – Buy 1 Get 1 Free (Valid until 30 Dec 2026)</t>
    </r>
  </si>
  <si>
    <t>Order any Main Course and get any Appetizer free.</t>
  </si>
  <si>
    <r>
      <t>Naira International Group -</t>
    </r>
    <r>
      <rPr>
        <b/>
        <sz val="12"/>
        <color rgb="FFFF0000"/>
        <rFont val="Aptos Display"/>
        <family val="2"/>
      </rPr>
      <t>Amara</t>
    </r>
  </si>
  <si>
    <r>
      <rPr>
        <b/>
        <sz val="12"/>
        <color rgb="FFFF0000"/>
        <rFont val="Aptos Display"/>
        <family val="2"/>
      </rPr>
      <t>URBAN POINT</t>
    </r>
    <r>
      <rPr>
        <sz val="12"/>
        <rFont val="Aptos Display"/>
        <family val="2"/>
      </rPr>
      <t xml:space="preserve">
• Buy 1 Main Course Get 1 Free – SAVE QAR 29
</t>
    </r>
    <r>
      <rPr>
        <b/>
        <sz val="12"/>
        <color rgb="FFFF0000"/>
        <rFont val="Aptos Display"/>
        <family val="2"/>
      </rPr>
      <t>ENTERTAINER</t>
    </r>
    <r>
      <rPr>
        <sz val="12"/>
        <rFont val="Aptos Display"/>
        <family val="2"/>
      </rPr>
      <t xml:space="preserve">
• Main Course – Buy 1 Get 1 Free (Valid until 30 Dec 2026)
</t>
    </r>
    <r>
      <rPr>
        <b/>
        <sz val="12"/>
        <color rgb="FFFF0000"/>
        <rFont val="Aptos Display"/>
        <family val="2"/>
      </rPr>
      <t>MY BOOK</t>
    </r>
    <r>
      <rPr>
        <sz val="12"/>
        <rFont val="Aptos Display"/>
        <family val="2"/>
      </rPr>
      <t xml:space="preserve">
• Buy 1 Get 1 Free – Main Menu Item (Dine-in)
• 20% Off on Total Bill (Sun, Mon &amp; Tues) – Amount Discount (Advance Booking, Dine-in)</t>
    </r>
  </si>
  <si>
    <t>Main Course options: Curry or Biryani. Free item: Soup, Salad, or a single-portion Tandoor starter.</t>
  </si>
  <si>
    <r>
      <t xml:space="preserve">Naira International Group - </t>
    </r>
    <r>
      <rPr>
        <b/>
        <sz val="12"/>
        <color rgb="FFFF0000"/>
        <rFont val="Aptos Display"/>
        <family val="2"/>
      </rPr>
      <t>Crepaway</t>
    </r>
  </si>
  <si>
    <t>49 QAR</t>
  </si>
  <si>
    <r>
      <rPr>
        <b/>
        <sz val="12"/>
        <color rgb="FFFF0000"/>
        <rFont val="Aptos Display"/>
        <family val="2"/>
      </rPr>
      <t>URBAN POINT</t>
    </r>
    <r>
      <rPr>
        <sz val="12"/>
        <rFont val="Aptos Display"/>
        <family val="2"/>
      </rPr>
      <t xml:space="preserve">
• Buy 1 Main Course Get 1 Appetizer Free – SAVE QAR 35
• Buy 1 Main Course Get 1 Free – SAVE QAR 50
• Buy 1 Salad Get 1 Free – SAVE QAR 49
</t>
    </r>
    <r>
      <rPr>
        <b/>
        <sz val="12"/>
        <color rgb="FFFF0000"/>
        <rFont val="Aptos Display"/>
        <family val="2"/>
      </rPr>
      <t xml:space="preserve">ENTERTAINER
</t>
    </r>
    <r>
      <rPr>
        <sz val="12"/>
        <rFont val="Aptos Display"/>
        <family val="2"/>
      </rPr>
      <t xml:space="preserve">
Qatar Monthly Offers 2026:
• Sweet or Savory Crepe – Buy 1 Get 1 Free (Bonus, Reusable)
Qatar 2026:
• Main Menu Item – Buy 1 Get 1 Free (Valid until 30 Dec 2026)</t>
    </r>
  </si>
  <si>
    <t>Main Course options: Crepaway Special, Pizza, Salad, Burger, Sandwich, Pasta, Light Item, Savory Crepe, or Platter. Free item: any Appetizer.</t>
  </si>
  <si>
    <t>DATE SUBMITTED FOR REVIEW: JUL 12, 2026</t>
  </si>
  <si>
    <t>Sub-Category</t>
  </si>
  <si>
    <r>
      <t xml:space="preserve">Double Tree By Hilton  Doha - Al Saad - </t>
    </r>
    <r>
      <rPr>
        <b/>
        <i/>
        <sz val="12"/>
        <color rgb="FFFF0000"/>
        <rFont val="Aptos Display"/>
        <family val="2"/>
      </rPr>
      <t>Silk Road Restaurant</t>
    </r>
  </si>
  <si>
    <t>Buy 1 Get 1 - Indian Night Buffet</t>
  </si>
  <si>
    <t xml:space="preserve">Buy 1 Get 1 </t>
  </si>
  <si>
    <t>129 QAR</t>
  </si>
  <si>
    <t>Offer Valid only for Dine-in (Not valid on Delivery / Take away).
Multiple offers cannot be combined in the same transaction.
One voucher per person per visit.
Offer is not applicable on public holidays &amp; all special events.
Advance booking or reservation requirement.
Cannot be applied to already discounted items.
Cannot be combined with employee discounts.</t>
  </si>
  <si>
    <t>Valid on Wednesday's Only from 6:30PM - 10:30PM</t>
  </si>
  <si>
    <r>
      <rPr>
        <b/>
        <sz val="12"/>
        <color rgb="FFFF0000"/>
        <rFont val="Aptos Display"/>
        <family val="2"/>
      </rPr>
      <t>URBAN POINT</t>
    </r>
    <r>
      <rPr>
        <sz val="12"/>
        <rFont val="Aptos Display"/>
        <family val="2"/>
      </rPr>
      <t xml:space="preserve">
Available Offers (Buy 1 Get 1 Free): Offer Savings
•Main Course QAR 60
•Thursday Taste of Asia Dinner Buffet QAR 129
•Wednesday All New Indian Dinner Buffet QAR 129
•Daily Breakfast Buffet QAR 119
•World of Curries Friday Brunch QAR 129
</t>
    </r>
    <r>
      <rPr>
        <b/>
        <sz val="12"/>
        <color rgb="FFFF0000"/>
        <rFont val="Aptos Display"/>
        <family val="2"/>
      </rPr>
      <t>ENTERTAINER</t>
    </r>
    <r>
      <rPr>
        <b/>
        <sz val="12"/>
        <rFont val="Aptos Display"/>
        <family val="2"/>
      </rPr>
      <t xml:space="preserve"> </t>
    </r>
    <r>
      <rPr>
        <sz val="12"/>
        <rFont val="Aptos Display"/>
        <family val="2"/>
      </rPr>
      <t xml:space="preserve">
</t>
    </r>
    <r>
      <rPr>
        <i/>
        <sz val="12"/>
        <rFont val="Aptos Display"/>
        <family val="2"/>
      </rPr>
      <t>Qatar Monthly Offers 2026 (B1G1 Free, Bonus/Reusable):</t>
    </r>
    <r>
      <rPr>
        <sz val="12"/>
        <rFont val="Aptos Display"/>
        <family val="2"/>
      </rPr>
      <t xml:space="preserve">
•Breakfast Buffet
•Thursday Asian Night
•Wednesday Indian Night
•Friday World of Curries Brunch
•Business Lunch Set Menu
</t>
    </r>
    <r>
      <rPr>
        <i/>
        <sz val="12"/>
        <rFont val="Aptos Display"/>
        <family val="2"/>
      </rPr>
      <t>Qatar 2026 (B1G1 Free, valid until 30 Dec 2026):</t>
    </r>
    <r>
      <rPr>
        <sz val="12"/>
        <rFont val="Aptos Display"/>
        <family val="2"/>
      </rPr>
      <t xml:space="preserve">
•Main Course
</t>
    </r>
    <r>
      <rPr>
        <b/>
        <sz val="12"/>
        <color rgb="FFFF0000"/>
        <rFont val="Aptos Display"/>
        <family val="2"/>
      </rPr>
      <t>MY BOOK</t>
    </r>
    <r>
      <rPr>
        <sz val="12"/>
        <rFont val="Aptos Display"/>
        <family val="2"/>
      </rPr>
      <t xml:space="preserve">
Available B1G1 (Buy 1 Get 1 Free) offers:
•Main Course
•Business Lunch
•Express Lunch (advance booking, dine-in)
•Breakfast (advance booking, dine-in)
•Friday All New Indian Night (advance booking, dine-in)
•Taste of Asia, Asian Dinner Buffet (advance booking, dine-in)
•World of Curries Brunch (advance booking, dine-in)</t>
    </r>
  </si>
  <si>
    <t>Buy 1 Get 1 - Asian Night Buffet</t>
  </si>
  <si>
    <t>Valid onThursday's Only from 6:30PM - 10:30PM</t>
  </si>
  <si>
    <t>Buy 1 Get 1 - World of Curries Brunch</t>
  </si>
  <si>
    <t>Offer Valid only for Dine-in (Not valid on Delivery / Take away).
One voucher per person per visit.
Multiple offers cannot be combined in the same transaction.
Offer is not applicable on public holidays &amp; all special events.
Advance booking or reservation requirement.
Cannot be applied to already discounted items.
Cannot be combined with employee discounts.</t>
  </si>
  <si>
    <t>Valid onFriday's Only from 1:00PM - 4:00PM</t>
  </si>
  <si>
    <t>Aleph Doha Residences, Curio Collection by Hilton</t>
  </si>
  <si>
    <t>Buy 1 Get 1 - IKA Friday Brunch</t>
  </si>
  <si>
    <t>299 QAR</t>
  </si>
  <si>
    <r>
      <rPr>
        <b/>
        <sz val="12"/>
        <color rgb="FFFF0000"/>
        <rFont val="Aptos Display"/>
        <family val="2"/>
      </rPr>
      <t>URBAN POINT:</t>
    </r>
    <r>
      <rPr>
        <sz val="12"/>
        <rFont val="Aptos Display"/>
        <family val="2"/>
      </rPr>
      <t xml:space="preserve">
• B1G1 Main Course – Save QAR 140 
• B1G1 Breakfast Buffet – Save QAR 95
• B1G1 Friday Brunch with Soft Beverages – Save QAR 299 
</t>
    </r>
    <r>
      <rPr>
        <b/>
        <sz val="12"/>
        <color rgb="FFFF0000"/>
        <rFont val="Aptos Display"/>
        <family val="2"/>
      </rPr>
      <t>ENTERTAINER:</t>
    </r>
    <r>
      <rPr>
        <sz val="12"/>
        <rFont val="Aptos Display"/>
        <family val="2"/>
      </rPr>
      <t xml:space="preserve">
• B1G1 Friday Brunch
• B1G1 Breakfast Buffet 
• B1G1 Main Course 
</t>
    </r>
    <r>
      <rPr>
        <b/>
        <sz val="12"/>
        <color rgb="FFFF0000"/>
        <rFont val="Aptos Display"/>
        <family val="2"/>
      </rPr>
      <t>MYBOOK:</t>
    </r>
    <r>
      <rPr>
        <sz val="12"/>
        <rFont val="Aptos Display"/>
        <family val="2"/>
      </rPr>
      <t xml:space="preserve">
• B1G1 Friday Brunch with Soft Beverages – Dine-in
• B1G1 Friday Brunch with Enhanced Beverages Package – Dine-in
• B1G1 Main Course – Dine-in
• B1G1 Breakfast Buffet – Advance Booking + Dine-in</t>
    </r>
  </si>
  <si>
    <t>Aspasia The Plaza</t>
  </si>
  <si>
    <t>15% Off - Total Bill</t>
  </si>
  <si>
    <t>Offer Valid only for Dine-in (Not valid on Delivery / Take away).
One voucher per table/group/bill.
Cannot be applied to already discounted items.
Cannot be combined with employee discounts.</t>
  </si>
  <si>
    <t>Discount will apply on minimum order of QAR 100</t>
  </si>
  <si>
    <r>
      <rPr>
        <b/>
        <sz val="12"/>
        <color rgb="FFFF0000"/>
        <rFont val="Aptos Display"/>
        <family val="2"/>
      </rPr>
      <t>URBAN POINT:</t>
    </r>
    <r>
      <rPr>
        <sz val="12"/>
        <rFont val="Aptos Display"/>
        <family val="2"/>
      </rPr>
      <t xml:space="preserve">
• B1G1 Main Course – Save QAR 80
• B1G1 Friday Buffet - Save 158 
</t>
    </r>
    <r>
      <rPr>
        <b/>
        <sz val="12"/>
        <color rgb="FFFF0000"/>
        <rFont val="Aptos Display"/>
        <family val="2"/>
      </rPr>
      <t xml:space="preserve">ENTERTAINER:
Monthly
</t>
    </r>
    <r>
      <rPr>
        <sz val="12"/>
        <rFont val="Aptos Display"/>
        <family val="2"/>
      </rPr>
      <t xml:space="preserve">• B1G1 Main Course 
• B1G1 Friday Buffet 
• B1G1 Hubble Bubbly
</t>
    </r>
    <r>
      <rPr>
        <b/>
        <sz val="12"/>
        <color rgb="FFFF0000"/>
        <rFont val="Aptos Display"/>
        <family val="2"/>
      </rPr>
      <t>Yearly</t>
    </r>
    <r>
      <rPr>
        <sz val="12"/>
        <rFont val="Aptos Display"/>
        <family val="2"/>
      </rPr>
      <t xml:space="preserve">
• B1G1 Main Course 
</t>
    </r>
    <r>
      <rPr>
        <b/>
        <sz val="12"/>
        <color rgb="FFFF0000"/>
        <rFont val="Aptos Display"/>
        <family val="2"/>
      </rPr>
      <t xml:space="preserve">
MYBOOK</t>
    </r>
    <r>
      <rPr>
        <sz val="12"/>
        <rFont val="Aptos Display"/>
        <family val="2"/>
      </rPr>
      <t xml:space="preserve">
• B1G1 Main Course 
• B1G1 Friday Buffet 
</t>
    </r>
  </si>
  <si>
    <r>
      <t xml:space="preserve">Done we add the offers and he gave us the extra 15% discount on the total bill 
</t>
    </r>
    <r>
      <rPr>
        <b/>
        <i/>
        <sz val="11"/>
        <color rgb="FFFF0000"/>
        <rFont val="Aptos Display"/>
        <family val="2"/>
      </rPr>
      <t>Additional new BOGO offer added by the merchant below</t>
    </r>
  </si>
  <si>
    <t>Offer Valid only for Dine-in (Not valid on Delivery / Take away).
One voucher per person per visit.
One voucher per table/group/bill.
Offer is not applicable on public holidays &amp; all special events.
Cannot be applied to already discounted items.</t>
  </si>
  <si>
    <t>Valid on Saturday, Sunday, Monday, Tuesday, Wednesday Only</t>
  </si>
  <si>
    <r>
      <t xml:space="preserve">Steigenberger Hotel - </t>
    </r>
    <r>
      <rPr>
        <b/>
        <i/>
        <sz val="12"/>
        <color rgb="FFFF0000"/>
        <rFont val="Aptos Display"/>
        <family val="2"/>
      </rPr>
      <t>Olea Restaurant and Terrace</t>
    </r>
  </si>
  <si>
    <t>Buy 1 Get 1 - Rotiserie Chicken</t>
  </si>
  <si>
    <t xml:space="preserve">Hotel &amp; Resorts </t>
  </si>
  <si>
    <t>Cannot be applied to already discounted items.
Cannot be combined with employee discounts.</t>
  </si>
  <si>
    <r>
      <rPr>
        <b/>
        <sz val="12"/>
        <color rgb="FFFF0000"/>
        <rFont val="Aptos Display"/>
        <family val="2"/>
      </rPr>
      <t>URBAN POINT</t>
    </r>
    <r>
      <rPr>
        <sz val="12"/>
        <rFont val="Aptos Display"/>
        <family val="2"/>
      </rPr>
      <t xml:space="preserve">
Available Offers:
Buy 1 Rotisserie Get 1 Free — Save QAR 30
Buy 1 Dessert Get 1 Free — Save QAR 30
Buy 1 World of Burgers Get 1 Free — Save QAR 75
Buy 1 Friday Taste of Asia Dinner Buffet Get 1 Free — Save QAR 200
Buy 1 Tuesday Lebanese Night Buffet Get 1 Free — Save QAR 175
</t>
    </r>
    <r>
      <rPr>
        <b/>
        <sz val="12"/>
        <color rgb="FFFF0000"/>
        <rFont val="Aptos Display"/>
        <family val="2"/>
      </rPr>
      <t>ENTERTAINER</t>
    </r>
    <r>
      <rPr>
        <sz val="12"/>
        <rFont val="Aptos Display"/>
        <family val="2"/>
      </rPr>
      <t xml:space="preserve">
Qatar Monthly Offers 2026: Buy 1 Get 1 Free — Friday Taste of Asia Night (Bonus/Reusable) — locked, needs 
Qatar 2026: Buy 1 Get 1 Free — Main Menu Item (×3 listings) — valid until 30 Dec 2026, all locked/need 
</t>
    </r>
    <r>
      <rPr>
        <sz val="12"/>
        <color rgb="FFFF0000"/>
        <rFont val="Aptos Display"/>
        <family val="2"/>
      </rPr>
      <t xml:space="preserve">
</t>
    </r>
    <r>
      <rPr>
        <b/>
        <sz val="12"/>
        <color rgb="FFFF0000"/>
        <rFont val="Aptos Display"/>
        <family val="2"/>
      </rPr>
      <t>MY BOOK</t>
    </r>
    <r>
      <rPr>
        <sz val="12"/>
        <color rgb="FFFF0000"/>
        <rFont val="Aptos Display"/>
        <family val="2"/>
      </rPr>
      <t xml:space="preserve">
</t>
    </r>
    <r>
      <rPr>
        <sz val="12"/>
        <rFont val="Aptos Display"/>
        <family val="2"/>
      </rPr>
      <t xml:space="preserve">
25% off on the total bill — Amount Discount — requires Advance Booking + Dine-in
Rotisserie — B1G1 Free — Dine-in
Dessert — B1G1 Free — Dine-in
World of Burgers — B1G1 Free — Dine-in</t>
    </r>
  </si>
  <si>
    <t>Cannot be combined with employee discounts.
Cannot be applied to already discounted items.</t>
  </si>
  <si>
    <t>Buy 1 Get 1 - World Burgers</t>
  </si>
  <si>
    <t>Re-Onboarded</t>
  </si>
  <si>
    <t>Vanillavibe</t>
  </si>
  <si>
    <t>Shopping &amp; Retail</t>
  </si>
  <si>
    <t>One voucher per person per visit
Multiple offers cannot be combined in the same transaction
Cannot be applied to already discounted items.
Cannot be combined with employee discounts.</t>
  </si>
  <si>
    <t>All orders must be confirmed via phone call or WhatsApp message before processing.
You may also place pre-order requests through our website. 
Delivery is available with an additional charge, depending on location. 
15% Discount applies to the total bill for handmade candle purchases (before taxes and delivery fees). Offer cannot be combined with other discounts or promotions. 
Subject to availability.</t>
  </si>
  <si>
    <r>
      <t xml:space="preserve">Rixos Premium Qetaifan - </t>
    </r>
    <r>
      <rPr>
        <b/>
        <i/>
        <sz val="11"/>
        <color rgb="FFFF0000"/>
        <rFont val="Calibri"/>
        <family val="2"/>
      </rPr>
      <t>Anjana SPA</t>
    </r>
  </si>
  <si>
    <t>25% Off - All Spa Treatments</t>
  </si>
  <si>
    <t>Offer Valid only for Dine-in (Not valid on Delivery / Take away).
One voucher per person per visit.
Offer is not applicable on public holidays &amp; all special events.
Advance booking or reservation requirement.
Cannot be applied to already discounted items.
Cannot be combined with employee discounts.</t>
  </si>
  <si>
    <t>Valid on Saturday, Sunday, Monday, Tuesday, Wednesday Only
Terms &amp; Conditions Apply.</t>
  </si>
  <si>
    <r>
      <rPr>
        <b/>
        <sz val="12"/>
        <color rgb="FFFF0000"/>
        <rFont val="Aptos Display"/>
        <family val="2"/>
      </rPr>
      <t>URBAN POINT</t>
    </r>
    <r>
      <rPr>
        <sz val="12"/>
        <rFont val="Aptos Display"/>
        <family val="2"/>
      </rPr>
      <t xml:space="preserve">
Buy 1 90-min Relaxing Massage, Get 1 Free — Save QAR 700
Buy 1 60-min Relaxing Massage, Get 1 Free — Save QAR 580
Buy 1 30-min Neck Massage, Get 1 Free — Save QAR 330
</t>
    </r>
    <r>
      <rPr>
        <b/>
        <sz val="12"/>
        <color rgb="FFFF0000"/>
        <rFont val="Aptos Display"/>
        <family val="2"/>
      </rPr>
      <t>ENTERTAINER</t>
    </r>
    <r>
      <rPr>
        <sz val="12"/>
        <rFont val="Aptos Display"/>
        <family val="2"/>
      </rPr>
      <t xml:space="preserve">
Buy 1 Get 1 Free — 90-min Anjana Signature Facial (valid until 30 Dec 2026)
Buy 1 Get 1 Free — 90-min Anjana Signature Hammam (valid until 30 Dec 2026)
Buy 1 Get 1 Free — 60-min Anjana Signature Massage (valid until 30 Dec 2026)
</t>
    </r>
    <r>
      <rPr>
        <sz val="12"/>
        <color rgb="FFFF0000"/>
        <rFont val="Aptos Display"/>
        <family val="2"/>
      </rPr>
      <t>MY BOOK</t>
    </r>
    <r>
      <rPr>
        <sz val="12"/>
        <rFont val="Aptos Display"/>
        <family val="2"/>
      </rPr>
      <t xml:space="preserve">
Anjana Signature Massage — BOGO Free
Anjana Facial Signature — BOGO Free
Anjana Signature Hammam — BOGO Free</t>
    </r>
  </si>
  <si>
    <t>why are they not willing to give us at least similiar offer to our competitors?</t>
  </si>
  <si>
    <t>there reply was that the others they dont have the option of putting discount thats why they are giving us the disount and she will add the message an</t>
  </si>
  <si>
    <r>
      <t xml:space="preserve">Radisson Blu - </t>
    </r>
    <r>
      <rPr>
        <b/>
        <i/>
        <sz val="11"/>
        <color rgb="FFFF0000"/>
        <rFont val="Calibri"/>
        <family val="2"/>
      </rPr>
      <t>Ruby Wu’s</t>
    </r>
  </si>
  <si>
    <t>30% Off - Total Bill (Minimum 200 QAR)</t>
  </si>
  <si>
    <t>One voucher per table/group/bill.
Multiple offers cannot be combined in the same transaction.
Cannot be applied to already discounted items.
Advance booking or reservation requirement.</t>
  </si>
  <si>
    <t>Working days and operating hours Wednesday to Monday 6:00 pm - 11:00 pm
Valid on Wednesday, Thursday, Friday, Saturday, Sunday, Monday Only</t>
  </si>
  <si>
    <r>
      <rPr>
        <b/>
        <sz val="12"/>
        <color rgb="FFFF0000"/>
        <rFont val="Aptos Display"/>
        <family val="2"/>
      </rPr>
      <t>URBAN POINT</t>
    </r>
    <r>
      <rPr>
        <sz val="12"/>
        <rFont val="Aptos Display"/>
        <family val="2"/>
      </rPr>
      <t xml:space="preserve">
Buy 1 Main Course Get 1 Free
30% Off Total Bill
</t>
    </r>
    <r>
      <rPr>
        <b/>
        <sz val="12"/>
        <color rgb="FFFF0000"/>
        <rFont val="Aptos Display"/>
        <family val="2"/>
      </rPr>
      <t>ENTERTAINER</t>
    </r>
    <r>
      <rPr>
        <sz val="12"/>
        <rFont val="Aptos Display"/>
        <family val="2"/>
      </rPr>
      <t xml:space="preserve">
Buy 1 Get 1 Free — Main Course
</t>
    </r>
    <r>
      <rPr>
        <b/>
        <sz val="12"/>
        <color rgb="FFFF0000"/>
        <rFont val="Aptos Display"/>
        <family val="2"/>
      </rPr>
      <t xml:space="preserve">MY BOOK
</t>
    </r>
    <r>
      <rPr>
        <sz val="12"/>
        <rFont val="Aptos Display"/>
        <family val="2"/>
      </rPr>
      <t xml:space="preserve">
Buy 1 Get 1 Free — Main Course
30% Off Total Bill
</t>
    </r>
  </si>
  <si>
    <t>They are a paid client and have signed up for rooms then swimming then spa.This is their entry offer for F&amp;B ,meetings with their F&amp;B are in the roadmap to onboard their other food avenues</t>
  </si>
  <si>
    <t>The Matte For Cars</t>
  </si>
  <si>
    <t>20% Off - Total Bill on Car Services</t>
  </si>
  <si>
    <t>Automotive</t>
  </si>
  <si>
    <t>Multiple offers cannot be combined in the same transaction.
Cannot be applied to already discounted items.
Cannot be combined with employee discounts.</t>
  </si>
  <si>
    <t>Buy 1 Get 1 - Friday Buffet</t>
  </si>
  <si>
    <t>158 QAR</t>
  </si>
  <si>
    <r>
      <t xml:space="preserve">Valid on Friday
</t>
    </r>
    <r>
      <rPr>
        <b/>
        <sz val="12"/>
        <color rgb="FFFF0000"/>
        <rFont val="Aptos Display"/>
        <family val="2"/>
      </rPr>
      <t>Additional new BOGO offer added by the merchant</t>
    </r>
  </si>
  <si>
    <r>
      <rPr>
        <b/>
        <sz val="12"/>
        <color rgb="FFFF0000"/>
        <rFont val="Aptos Display"/>
        <family val="2"/>
      </rPr>
      <t>URBAN POINT:</t>
    </r>
    <r>
      <rPr>
        <sz val="12"/>
        <rFont val="Aptos Display"/>
        <family val="2"/>
      </rPr>
      <t xml:space="preserve">
• B1G1 Main Course – Save QAR 80
• B1G1 Friday Buffet - Save 158 
</t>
    </r>
    <r>
      <rPr>
        <b/>
        <sz val="12"/>
        <color rgb="FFFF0000"/>
        <rFont val="Aptos Display"/>
        <family val="2"/>
      </rPr>
      <t>ENTERTAINER:</t>
    </r>
    <r>
      <rPr>
        <sz val="12"/>
        <rFont val="Aptos Display"/>
        <family val="2"/>
      </rPr>
      <t xml:space="preserve">
Monthly
• B1G1 Main Course 
• B1G1 Friday Buffet 
• B1G1 Hubble Bubbly
Yearly
• B1G1 Main Course 
</t>
    </r>
    <r>
      <rPr>
        <b/>
        <sz val="12"/>
        <color rgb="FFFF0000"/>
        <rFont val="Aptos Display"/>
        <family val="2"/>
      </rPr>
      <t xml:space="preserve">MYBOOK
</t>
    </r>
    <r>
      <rPr>
        <sz val="12"/>
        <rFont val="Aptos Display"/>
        <family val="2"/>
      </rPr>
      <t xml:space="preserve">
• B1G1 Main Course 
• B1G1 Friday Buffet </t>
    </r>
  </si>
  <si>
    <t>Give us an offer that is valid everyday.. not only friday.. this is still an insecure offer than competitors</t>
  </si>
  <si>
    <t>Coiffure Al Jawhara</t>
  </si>
  <si>
    <t>Buy 1 Get 1 - Facial Treatments</t>
  </si>
  <si>
    <t>Multiple offers cannot be combined in the same transaction.
Cannot be applied to already discounted items.
Cannot be combined with employee discounts.
Advance booking or reservation requirement</t>
  </si>
  <si>
    <t>Offers Starting price from 300 QAR</t>
  </si>
  <si>
    <t>approved</t>
  </si>
  <si>
    <t>Buy 1 Get 1 - Regular Massage (60-minutes)</t>
  </si>
  <si>
    <t>Buy 1 Get 1 - Regular Moroccan Bath</t>
  </si>
  <si>
    <t>300 QAR</t>
  </si>
  <si>
    <t>Buy 1 Get 1 - 5-Minute Tanning Session</t>
  </si>
  <si>
    <t>50 QAR</t>
  </si>
  <si>
    <t>OFFERS REVIEW TRACKER — Pre-Ministry Approval Review</t>
  </si>
  <si>
    <t>DATE SUBMITTED FOR REVIEW: June 25, 2026</t>
  </si>
  <si>
    <t>Date Submitted
for Review</t>
  </si>
  <si>
    <t xml:space="preserve">CEO Remarks </t>
  </si>
  <si>
    <t>CEO FEEDBACK</t>
  </si>
  <si>
    <t>2ND FEEDBACK</t>
  </si>
  <si>
    <t>Decision Date
(Moderation to Update)</t>
  </si>
  <si>
    <t xml:space="preserve">New Merchant </t>
  </si>
  <si>
    <t>ibis Hotel Doha</t>
  </si>
  <si>
    <t>Buy 1 Get 1 - Asian Market Buffet</t>
  </si>
  <si>
    <t>Fine Dining</t>
  </si>
  <si>
    <t>bogo</t>
  </si>
  <si>
    <t>unlimited</t>
  </si>
  <si>
    <t>Offer Valid only for Dine-in (Not valid on Delivery / Take away).; One voucher per person per visit.; One voucher per table/group/bill, Advance booking or reservation requirement.; Cannot be applied to already discounted items.; Cannot be combined with employee discounts.</t>
  </si>
  <si>
    <t>Valid Days Thursday, Friday</t>
  </si>
  <si>
    <t>Same Offer on My Book</t>
  </si>
  <si>
    <t>26-06-26</t>
  </si>
  <si>
    <t>Mannan</t>
  </si>
  <si>
    <t>Buy 1 Get 1 - Breakfast Buffet</t>
  </si>
  <si>
    <t>Offer Valid only for Dine-in (Not valid on Delivery / Take away).; Multiple offers cannot be combined in the same transaction.; One voucher per person per visit.; One voucher per table/group/bill, Offer is not applicable on public holidays &amp; all special events.; Advance booking or reservation requirement.; Cannot be applied to already discounted items.; Cannot be combined with employee discounts.</t>
  </si>
  <si>
    <t>Buy 1 Get 1 - Friday Brunch, Splash and Play</t>
  </si>
  <si>
    <t>Offer Valid only for Dine-in (Not valid on Delivery / Take away).; Multiple offers cannot be combined in the same transaction.; One voucher per person per visit.; One voucher per table/group/bill, Offer is not applicable on public holidays &amp; all special events.; Advance booking or reservation requirement.; Cannot be applied to already discounted items.; Cannot be combined with employee discounts, Advance booking or reservation requirement.; Cannot be applied to already discounted items.; Cannot be combined with employee discounts.</t>
  </si>
  <si>
    <t>Valid Days Friday</t>
  </si>
  <si>
    <t>DOMIES RESTAURANT</t>
  </si>
  <si>
    <t>Buy 1 Get 1 - Jajangmeon Noodles Combo</t>
  </si>
  <si>
    <t>Fast Food</t>
  </si>
  <si>
    <t>Cannot be applied to already discounted items.</t>
  </si>
  <si>
    <t>Two Tranchers - Valid for 3 weeks</t>
  </si>
  <si>
    <t>Sayyada</t>
  </si>
  <si>
    <t>Buy 1 Get 1 - Shrimp Habenero Noodles Combo</t>
  </si>
  <si>
    <t>Multiple offers cannot be combined in the same transaction.; One voucher per person per visit, Cannot be applied to already discounted items.</t>
  </si>
  <si>
    <t>Inside Burger</t>
  </si>
  <si>
    <t>Buy 1 Get 1 - 12pcs Kids Nuggets</t>
  </si>
  <si>
    <t>YES</t>
  </si>
  <si>
    <t>NO</t>
  </si>
  <si>
    <t>Same Offers on Urban Point</t>
  </si>
  <si>
    <t>Buy 1 Get 1 - Cheese Fries</t>
  </si>
  <si>
    <t>Change Up Resturant</t>
  </si>
  <si>
    <t>Buy 1 Get 1 - Chicken Box</t>
  </si>
  <si>
    <t>Buy 1 Get 1 - Classic Chicken Wrap</t>
  </si>
  <si>
    <t>BTB RESTURANT</t>
  </si>
  <si>
    <t>BOGO - Nashville Wrap</t>
  </si>
  <si>
    <t>Multiple offers cannot be combined in the same transaction.
One voucher per person per visit, Cannot be applied to already discounted items.
Advance booking or reservation requirement.</t>
  </si>
  <si>
    <t>BOGO - Chick- A- Boom Burger</t>
  </si>
  <si>
    <t>Cannot be applied to already discounted items.; Advance booking or reservation requirement.</t>
  </si>
  <si>
    <t>IKA South American Aleph Doha Residences, Curio Collection by Hilton</t>
  </si>
  <si>
    <t>20% off at IKA South American</t>
  </si>
  <si>
    <t>Restaurants</t>
  </si>
  <si>
    <t>discount</t>
  </si>
  <si>
    <t>20% on Total Bill at IKA South American, 
Offer Valid only for Dine-in (Not valid on Delivery / Take away).
Multiple offers cannot be combined in the same transaction.
One voucher per table/group/bill.</t>
  </si>
  <si>
    <t>Pre-booking is required. 
Not valid in conjunction with other promotions, offers, or discounts. 
Subject to availability.</t>
  </si>
  <si>
    <t>URBAN POINT:
• B1G1 Main Course – Save QAR 140 
• B1G1 Breakfast Buffet – Save QAR 95
• B1G1 Friday Brunch with Soft Beverages – Save QAR 299 
ENTERTAINER:
• B1G1 Friday Brunch
• B1G1 Friday Brunch
• B1G1 Breakfast Buffet 
• B1G1 Main Course 
MYBOOK:
• B1G1 Friday Brunch with Soft Beverages – Dine-in
• B1G1 Friday Brunch with Enhanced Beverages Package – Dine-in
• B1G1 Main Course – Dine-in
• B1G1 Breakfast Buffet – Advance Booking + Dine-in</t>
  </si>
  <si>
    <t>Revision Needed</t>
  </si>
  <si>
    <t>very insecure offer than competitors. Offer the same.  They can keep the 20% off on total bill offer.. BUt I need BOGO ffer</t>
  </si>
  <si>
    <t xml:space="preserve">we change it </t>
  </si>
  <si>
    <t>Hiba</t>
  </si>
  <si>
    <t xml:space="preserve">Existing Merchant </t>
  </si>
  <si>
    <t>The Gate Market</t>
  </si>
  <si>
    <t>Offer Valid for Dine-in, Delivery &amp; Take away.
One voucher per person per visit.
One voucher per table/group/bill.
Multiple offers cannot be combined in the same transaction.
General Rules
Cannot be combined with employee discounts.
Cannot be applied to already discounted items.
Advance booking or reservation requirement.
Offer is not applicable on public holidays &amp; all special events.</t>
  </si>
  <si>
    <t>URBAN POINT:
Buy 1 Main Course Get 1 Free
Buy 1 Salad Get 1 Free
Buy 1 Pizza Get 1 Free</t>
  </si>
  <si>
    <t>28-06-26</t>
  </si>
  <si>
    <t>very insecure offer than competitors. Offer the same.  They can keep the 15% off on total bill offer.. BUt I need BOGO ffer. Why are they changung their offer in our platfrm and not in entertaine</t>
  </si>
  <si>
    <t>CEO Remarks
(Approved, Revisions Needed, Rejected)</t>
  </si>
  <si>
    <t>"Decision Date
(Moderation to Update)"</t>
  </si>
  <si>
    <t>New Merchant</t>
  </si>
  <si>
    <t>Rixos Premium Qetaifan Island North</t>
  </si>
  <si>
    <t>10% Off- Best Available Rate for All Room Types</t>
  </si>
  <si>
    <t>Hotel &amp; Resorts</t>
  </si>
  <si>
    <t>Stays &amp; Getaways</t>
  </si>
  <si>
    <t>Multiple offers cannot be combined in the same transaction. Cannot be applied to already discounted items.; Offer is not applicable on public holidays &amp; all special events.</t>
  </si>
  <si>
    <t>make it atleast 15%</t>
  </si>
  <si>
    <t xml:space="preserve">They are not able to do more than that for now </t>
  </si>
  <si>
    <t>24-06-26</t>
  </si>
  <si>
    <t>Ramada By Wyndham Doha Old Town</t>
  </si>
  <si>
    <t>Buy 1 Stay - Get 1 Day Free</t>
  </si>
  <si>
    <t>Multiple offers cannot be combined in the same transaction.; One voucher per person per visit, Advance booking or reservation requirement.; Cannot be applied to already discounted items</t>
  </si>
  <si>
    <t>Advance Booking Required
📞 Book now: Call or WhatsApp
+97474722113 / +97430611812</t>
  </si>
  <si>
    <t>1) Weekday Pool Pass – B1G1 Free (Save QAR 100)
2) Weekend Pool Pass – B1G1 Free (Save QAR 149)
3) Weekend Combo Meal + Pool Pass – B1G1 Free (Save QAR 179)
4) Weekday Combo Meal + Pool Pass – B1G1 Free (Save QAR 149)</t>
  </si>
  <si>
    <t>22-06-2026</t>
  </si>
  <si>
    <t>make it book 1 day woth 1 free day</t>
  </si>
  <si>
    <t>Client agreed for the buy 1 get 1</t>
  </si>
  <si>
    <t>Spend 150QAR and Get 30% off on F&amp;B</t>
  </si>
  <si>
    <t>Dining &amp; Restaurants</t>
  </si>
  <si>
    <t>Offer Valid only for Dine-in (Not valid on Delivery / Take away).; Multiple offers cannot be combined in the same transaction.; One voucher per person per visit.; One voucher per table/group/bill, Cannot be applied to already discounted items.; Cannot be combined with employee discounts.</t>
  </si>
  <si>
    <t>not clear to me. Spend 150 in where? in a resto? the freen F&amp;B is it in the same resto?</t>
  </si>
  <si>
    <t>This Offer is available in the restaurants and room service</t>
  </si>
  <si>
    <t>Indian Coffee House Restaurant</t>
  </si>
  <si>
    <t>Power Breakfast Combo</t>
  </si>
  <si>
    <t>Offer Valid only for Dine-in (Not valid on Delivery / Take away).; Multiple offers cannot be combined in the same transaction.; One voucher per person per visit.; One voucher per table/group/bill, Offer is not applicable on public holidays &amp; all special events.; Cannot be applied to already discounted items.; Cannot be combined with employee discounts.</t>
  </si>
  <si>
    <t>ask for a BOGO. The disocunt is nothing</t>
  </si>
  <si>
    <t>These offers are only given for Qatar Living and are not on the menu at the restaurant.The original price given if items are ordered A la Carte.We can directly put the final price under a bundle.</t>
  </si>
  <si>
    <t>Grand Lunch Combo</t>
  </si>
  <si>
    <t>Offer Valid only for Dine-in (Not valid on Delivery / Take away).; Multiple offers cannot be combined in the same transaction.; One voucher per person per visit.; One voucher per table/group/bill, Cannot be applied to already discounted items.; Cannot be combined with employee discounts, Cannot be applied to already discounted items.; Cannot be combined with employee discounts.; Advance booking or reservation requirement.</t>
  </si>
  <si>
    <t>Dinner Combo</t>
  </si>
  <si>
    <t>Caravan Seafood Restaurant</t>
  </si>
  <si>
    <t xml:space="preserve">Spend 250qr get 30% discount </t>
  </si>
  <si>
    <t>Offer Valid only for Dine-in (Not valid on Delivery / Take away).; Multiple offers cannot be combined in the same transaction.; One voucher per table/group/bill, Offer is not applicable on public holidays &amp; all special events.; Cannot be applied to already discounted items.; Cannot be combined with employee discounts.</t>
  </si>
  <si>
    <t>250 is too much. Make it 150. So that even your alone eating you can ennjoy</t>
  </si>
  <si>
    <t>DATE SUBMITTED FOR REVIEW: MAY 21, 2026</t>
  </si>
  <si>
    <t>GAS TEAM</t>
  </si>
  <si>
    <t>Bhojan Restaurant</t>
  </si>
  <si>
    <t>Bombay Bhel Puri - Buy 1 Get 1</t>
  </si>
  <si>
    <t>Buy 1 Take 1</t>
  </si>
  <si>
    <t>10 QAR</t>
  </si>
  <si>
    <t>Offer Valid for Dine-in, Delivery &amp; Take away.
Cannot be combined with employee discounts.; Cannot be applied to already discounted items.</t>
  </si>
  <si>
    <t>Equal or lesser valued item comes free.</t>
  </si>
  <si>
    <r>
      <rPr>
        <b/>
        <sz val="12"/>
        <color rgb="FFFF0000"/>
        <rFont val="Aptos Display"/>
        <family val="2"/>
      </rPr>
      <t xml:space="preserve">URBAN POINT
</t>
    </r>
    <r>
      <rPr>
        <sz val="12"/>
        <color rgb="FF000000"/>
        <rFont val="Aptos Display"/>
        <family val="2"/>
      </rPr>
      <t xml:space="preserve">
Buy 1 Main Course Get 1 Free – Save QAR 30
Buy 1 Chaat Get 1 Free – Save QAR 20
Buy 1 Main Course Get 1 Dessert and Beverage Free – Save QAR 20</t>
    </r>
  </si>
  <si>
    <t>Dragon Potatoes - Buy 1 Get 1</t>
  </si>
  <si>
    <t>20 QAR</t>
  </si>
  <si>
    <t xml:space="preserve">Jodhpuri Aloo Pyaaz Ki Subzi - Buy 1 Get 1  </t>
  </si>
  <si>
    <t>24 QAR</t>
  </si>
  <si>
    <t>Regional Thalis At a Special Price</t>
  </si>
  <si>
    <t>26 QAR</t>
  </si>
  <si>
    <t>30% off on Any Chaat+Starter+Drink Offer</t>
  </si>
  <si>
    <t>32 QAR</t>
  </si>
  <si>
    <t>Starter+Main+Drink at 30% Off</t>
  </si>
  <si>
    <t>Group Special - Spend 150 Get 10% Off</t>
  </si>
  <si>
    <t>150 QAR</t>
  </si>
  <si>
    <t>Family Special - Spend 250 Get 20% Off</t>
  </si>
  <si>
    <t>250 QAR</t>
  </si>
  <si>
    <t>Restaurant Shawarma H</t>
  </si>
  <si>
    <t xml:space="preserve">Juice &amp; Laban  - Buy 1 Get 1 </t>
  </si>
  <si>
    <t>7 QAR</t>
  </si>
  <si>
    <t>Offer Valid only for Delivery / Take away.
Cannot be combined with employee discounts.; Cannot be applied to already discounted items.</t>
  </si>
  <si>
    <t>Shawarma Combo - Buy 1 Get 1</t>
  </si>
  <si>
    <t>39 QAR</t>
  </si>
  <si>
    <t>Shish Tawook - Buy 1 Get 1</t>
  </si>
  <si>
    <t>16 QAR</t>
  </si>
  <si>
    <t>Offer Valid only for Dine-in (Not valid on Delivery / Take away).
Cannot be applied to already discounted items.; Cannot be combined with employee discounts.</t>
  </si>
  <si>
    <t>Chicken Kofta Buy 1 Get 1</t>
  </si>
  <si>
    <t>Kebab Buy 1 Get 1</t>
  </si>
  <si>
    <t>17 QAR</t>
  </si>
  <si>
    <t>Potato Sandwich Buy 1 Get 1 Free</t>
  </si>
  <si>
    <t>12 QAR</t>
  </si>
  <si>
    <t>20% Off on Chicken Shawarma</t>
  </si>
  <si>
    <t>14 QAR</t>
  </si>
  <si>
    <t>Shish Tawook/Kebab Combo - Buy 1 Get 1</t>
  </si>
  <si>
    <t>Slice and More Restaurant</t>
  </si>
  <si>
    <t>BOGO - Pizza</t>
  </si>
  <si>
    <t>Mutltiple Items</t>
  </si>
  <si>
    <t>Offer Valid for Dine-in, Delivery &amp; Take away.</t>
  </si>
  <si>
    <t>Two Tranches - Valid for 3 Weeks</t>
  </si>
  <si>
    <r>
      <rPr>
        <b/>
        <sz val="12"/>
        <color rgb="FFFF0000"/>
        <rFont val="Aptos Display"/>
        <family val="2"/>
      </rPr>
      <t>URBAN POINT</t>
    </r>
    <r>
      <rPr>
        <sz val="12"/>
        <rFont val="Aptos Display"/>
        <family val="2"/>
      </rPr>
      <t xml:space="preserve">
Buy 1 Pizza Get 1 Free – Save QAR 50
Buy 1 Pizza Get 1 Free – Save QAR 50
Buy 1 Pizza Get 1 Free – Save QAR 50
Buy 1 Pasta Get 1 Free – Save QAR 44
Buy 1 Appetizer Get 1 Free – Save QAR 29
</t>
    </r>
    <r>
      <rPr>
        <b/>
        <sz val="12"/>
        <color rgb="FFFF0000"/>
        <rFont val="Aptos Display"/>
        <family val="2"/>
      </rPr>
      <t>ENTERTAINER</t>
    </r>
    <r>
      <rPr>
        <sz val="12"/>
        <rFont val="Aptos Display"/>
        <family val="2"/>
      </rPr>
      <t xml:space="preserve">
Buy 1 Get 1 Free – Pizza (Valid until 30 Dec 2026)
Buy 1 Get 1 Free – Pizza (Valid until 30 Dec 2026)
Buy 1 Get 1 Free – Pizza (Valid until 30 Dec 2026)
</t>
    </r>
    <r>
      <rPr>
        <b/>
        <sz val="12"/>
        <color rgb="FFFF0000"/>
        <rFont val="Aptos Display"/>
        <family val="2"/>
      </rPr>
      <t>MY BOOK</t>
    </r>
    <r>
      <rPr>
        <sz val="12"/>
        <rFont val="Aptos Display"/>
        <family val="2"/>
      </rPr>
      <t xml:space="preserve">
Buy 1 Get 1 Free – Pizza (Dine-in)
Buy 1 Get 1 Free – Pasta (Dine-in)
25% off on total bill</t>
    </r>
  </si>
  <si>
    <t>35% Discount - Family Deal</t>
  </si>
  <si>
    <t>226 QAR</t>
  </si>
  <si>
    <t>Two whole pizzas, two appetizers, and three drinks</t>
  </si>
  <si>
    <t>35% Discount - Party Deal</t>
  </si>
  <si>
    <t>338 QAR</t>
  </si>
  <si>
    <t>One voucher per person per visit. 
Multiple offers cannot be combined in the same transaction.
Offer Valid for Dine-in, Delivery &amp; Take away.</t>
  </si>
  <si>
    <t>Your choice of 3 pizza, your choice of 3 appetizers and your choice of 4 drinks.</t>
  </si>
  <si>
    <t>35% Discount - Individual Meal</t>
  </si>
  <si>
    <t>74 QAR</t>
  </si>
  <si>
    <t>Offer Valid for Dine-in, Delivery &amp; Take away.
Multiple offers cannot be combined in the same transaction.
One voucher per person per visit.</t>
  </si>
  <si>
    <t>Pick any slice of pizza, any appetizer, and any drink from the full menu</t>
  </si>
  <si>
    <t>35% Discount - Couple Deal</t>
  </si>
  <si>
    <t>148 QAR</t>
  </si>
  <si>
    <t>Two slices pizza, two appetizers, two drinks — each chosen freely from the full menu</t>
  </si>
  <si>
    <t>Ten Twenty Sports</t>
  </si>
  <si>
    <t>Free Racket Rental Voucher with Court Booking</t>
  </si>
  <si>
    <t>Health &amp; Wellnes</t>
  </si>
  <si>
    <t>Voucher</t>
  </si>
  <si>
    <t>30 QAR</t>
  </si>
  <si>
    <t>Multiple offers cannot be combined in the same transaction. 
One voucher per person per visit.
Offer is not applicable on public holidays &amp; all special events.
Cannot be applied to already discounted items.</t>
  </si>
  <si>
    <t>Get a QAR 30 racket rental voucher redeemable on any weekday court booking before 4 PM. 
Valid Sun–Thu, 10 AM–4 PM.</t>
  </si>
  <si>
    <t>25% Off Court Booking – Weekday Daytime</t>
  </si>
  <si>
    <t>Save 25% on any 1-hour court booking on weekdays before 4 PM.
Valid Sun–Thu, 10 AM–4 PM.</t>
  </si>
  <si>
    <t>Book 1 Hour, Get 30 Mins Free – Weekday Special</t>
  </si>
  <si>
    <t>Book a 1-hour court on any weekday before 4 PM and get an extra 30 minutes absolutely free. 
Valid 10 AM–4 PM, Sun–Thu only.</t>
  </si>
  <si>
    <t>make it atleast buy 1 hour get 1 hr free.... 30 mins its not enticing</t>
  </si>
  <si>
    <t>Qahqat AlBaranda</t>
  </si>
  <si>
    <t>20% Off - Final Bill</t>
  </si>
  <si>
    <t>Offer Valid only for Dine-in (Not valid on Delivery / Take away).
Multiple offers cannot be combined in the same transaction.
One voucher per table/group/bill.
Offer is not applicable on public holidays &amp; all special events.
Cannot be applied to already discounted items.
Cannot be combined with employee discounts.</t>
  </si>
  <si>
    <t>Valid from Sunday, Monday, Tuesday, Wednesday &amp; Saturday.</t>
  </si>
  <si>
    <t>CEO Remarks
[Approved/ Revisions Needed] - Choose from the drop down</t>
  </si>
  <si>
    <t>Marimar</t>
  </si>
  <si>
    <t>Spend 150 QAR &amp; Above - Get 15% Discount</t>
  </si>
  <si>
    <t>Offer Valid only for Dine-in (Not valid on Delivery / Take away).
Multiple offers cannot be combined in the same transaction.
One voucher per person per visit.
Cannot be applied to already discounted items.</t>
  </si>
  <si>
    <t>Minimum spend 150 QAR &amp; Above</t>
  </si>
  <si>
    <t>make it 30% discount</t>
  </si>
  <si>
    <t>Qool Tourism</t>
  </si>
  <si>
    <t>20% Off - Mangrove Stand-Up Paddle Boarding</t>
  </si>
  <si>
    <t>Events &amp; Entertainment</t>
  </si>
  <si>
    <t>600 QAR</t>
  </si>
  <si>
    <t>Advance booking or reservation requirement.
Cannot be applied to already discounted items.</t>
  </si>
  <si>
    <t>Advance booking required via merchant website or WhatsApp. 
Subject to weather conditions.</t>
  </si>
  <si>
    <t>how about 35%</t>
  </si>
  <si>
    <r>
      <rPr>
        <b/>
        <sz val="12"/>
        <color rgb="FFFF0000"/>
        <rFont val="Aptos Display"/>
        <family val="2"/>
      </rPr>
      <t>Rejected</t>
    </r>
    <r>
      <rPr>
        <sz val="12"/>
        <color rgb="FF1F497D"/>
        <rFont val="Aptos Display"/>
        <family val="2"/>
      </rPr>
      <t>. Merchant can not give an offer higher than 20% on standup paddleboarding because the cost of the activity equipment is too high</t>
    </r>
  </si>
  <si>
    <t>Flyboarding Adventure BOGO</t>
  </si>
  <si>
    <t>what if the person don’t want to Kayak. Give 1 hour flyboarding and another 1 hr free. Or just give a 50% discount.
The adjustment was not reflected. The Sales comments was 50% but the offer name does not reflect</t>
  </si>
  <si>
    <r>
      <rPr>
        <b/>
        <sz val="12"/>
        <color rgb="FF00B050"/>
        <rFont val="Aptos Display"/>
        <family val="2"/>
      </rPr>
      <t xml:space="preserve">BOGO Accepted by the merchant </t>
    </r>
    <r>
      <rPr>
        <sz val="12"/>
        <color rgb="FF1F497D"/>
        <rFont val="Aptos Display"/>
        <family val="2"/>
      </rPr>
      <t xml:space="preserve">Restructured from bundle (free kayaking add-on) to B1G1. </t>
    </r>
  </si>
  <si>
    <t>Parasailing Adventure Combo – Free Kayaking Included</t>
  </si>
  <si>
    <t>what if the person don’t want to Kayak. Give 1 hour parasailing and another 1 hr free. Or just give a 50% discount</t>
  </si>
  <si>
    <r>
      <rPr>
        <b/>
        <sz val="12"/>
        <color rgb="FFFF0000"/>
        <rFont val="Aptos Display"/>
        <family val="2"/>
      </rPr>
      <t>Rejected.</t>
    </r>
    <r>
      <rPr>
        <sz val="12"/>
        <color rgb="FF1F497D"/>
        <rFont val="Aptos Display"/>
        <family val="2"/>
      </rPr>
      <t xml:space="preserve"> Merchant wants to do only one offer on Parasailing at the moment and also wants to encourage kayaking hence the 50% off on the parasailing and kayaking bundle has been approved.</t>
    </r>
  </si>
  <si>
    <t>DATE SUBMITTED FOR REVIEW: JUL 30, 2026</t>
  </si>
  <si>
    <t>Mopo Restaurant</t>
  </si>
  <si>
    <t>15% Off - All Menu Items (Excluding Water)</t>
  </si>
  <si>
    <t>One voucher per person per visit.
One voucher per table/group/bill.
Cannot be applied to already discounted items.
Cannot be combined with employee discounts.</t>
  </si>
  <si>
    <t>Minimum Spend 100 QAR</t>
  </si>
  <si>
    <t>Qure Restaurant</t>
  </si>
  <si>
    <t>15% Off - Total Bill (Excluding Water)</t>
  </si>
  <si>
    <r>
      <t xml:space="preserve">JW Marriott Marquis City Center Doha - </t>
    </r>
    <r>
      <rPr>
        <b/>
        <sz val="12"/>
        <color rgb="FFFF0000"/>
        <rFont val="Aptos Display"/>
        <family val="2"/>
      </rPr>
      <t>Fuego</t>
    </r>
  </si>
  <si>
    <t>Multiple offers cannot be combined in the same transaction.
Offer is not applicable on public holidays &amp; all special events.
Advance booking or reservation requirement.
Cannot be applied to already discounted items.
Cannot be combined with employee discounts.</t>
  </si>
  <si>
    <r>
      <rPr>
        <b/>
        <sz val="12"/>
        <color rgb="FFFF0000"/>
        <rFont val="Aptos Display"/>
        <family val="2"/>
      </rPr>
      <t>URBAN POINT</t>
    </r>
    <r>
      <rPr>
        <sz val="12"/>
        <rFont val="Aptos Display"/>
        <family val="2"/>
      </rPr>
      <t xml:space="preserve">
• Buy 1 Main Course Get 1 Free – SAVE QAR 120
</t>
    </r>
    <r>
      <rPr>
        <b/>
        <sz val="12"/>
        <color rgb="FFFF0000"/>
        <rFont val="Aptos Display"/>
        <family val="2"/>
      </rPr>
      <t xml:space="preserve">ENTERTAINER
</t>
    </r>
    <r>
      <rPr>
        <sz val="12"/>
        <rFont val="Aptos Display"/>
        <family val="2"/>
      </rPr>
      <t xml:space="preserve">
• Main Course – Buy 1 Get 1 Free (Valid until 30 Dec 2026)
</t>
    </r>
    <r>
      <rPr>
        <b/>
        <sz val="12"/>
        <color rgb="FFFF0000"/>
        <rFont val="Aptos Display"/>
        <family val="2"/>
      </rPr>
      <t>MY BOOK</t>
    </r>
    <r>
      <rPr>
        <sz val="12"/>
        <rFont val="Aptos Display"/>
        <family val="2"/>
      </rPr>
      <t xml:space="preserve">
• Buy 1 Get 1 Free – Main Course (Dine-in)</t>
    </r>
  </si>
  <si>
    <t>Excluding steaks above 300g</t>
  </si>
  <si>
    <r>
      <t>JW Marriott Marquis City Center Doha -</t>
    </r>
    <r>
      <rPr>
        <b/>
        <sz val="12"/>
        <color rgb="FFFF0000"/>
        <rFont val="Aptos Display"/>
        <family val="2"/>
      </rPr>
      <t>Masa</t>
    </r>
  </si>
  <si>
    <r>
      <rPr>
        <b/>
        <sz val="12"/>
        <color rgb="FFFF0000"/>
        <rFont val="Aptos Display"/>
        <family val="2"/>
      </rPr>
      <t>URBAN POINT</t>
    </r>
    <r>
      <rPr>
        <sz val="12"/>
        <rFont val="Aptos Display"/>
        <family val="2"/>
      </rPr>
      <t xml:space="preserve">
• Buy 1 Breakfast Buffet Get 1 Free – SAVE QAR 150
</t>
    </r>
    <r>
      <rPr>
        <b/>
        <sz val="12"/>
        <color rgb="FFFF0000"/>
        <rFont val="Aptos Display"/>
        <family val="2"/>
      </rPr>
      <t>ENTERTAINER</t>
    </r>
    <r>
      <rPr>
        <sz val="12"/>
        <rFont val="Aptos Display"/>
        <family val="2"/>
      </rPr>
      <t xml:space="preserve">
• Breakfast Buffet – Buy 1 Get 1 Free (Valid until 30 Dec 2026)
</t>
    </r>
    <r>
      <rPr>
        <b/>
        <sz val="12"/>
        <color rgb="FFFF0000"/>
        <rFont val="Aptos Display"/>
        <family val="2"/>
      </rPr>
      <t>MY BOOK</t>
    </r>
    <r>
      <rPr>
        <sz val="12"/>
        <rFont val="Aptos Display"/>
        <family val="2"/>
      </rPr>
      <t xml:space="preserve">
• Buy 1 Get 1 Free – Breakfast Buffet (Dine-in)</t>
    </r>
  </si>
  <si>
    <r>
      <t>JW Marriott Marquis City Center Doha -</t>
    </r>
    <r>
      <rPr>
        <b/>
        <sz val="12"/>
        <color rgb="FFFF0000"/>
        <rFont val="Aptos Display"/>
        <family val="2"/>
      </rPr>
      <t>Pool Deck by AMARU</t>
    </r>
  </si>
  <si>
    <t>25% Off - Total Bill</t>
  </si>
  <si>
    <r>
      <rPr>
        <b/>
        <sz val="12"/>
        <color rgb="FFFF0000"/>
        <rFont val="Aptos Display"/>
        <family val="2"/>
      </rPr>
      <t>URBAN POINT</t>
    </r>
    <r>
      <rPr>
        <sz val="12"/>
        <rFont val="Aptos Display"/>
        <family val="2"/>
      </rPr>
      <t xml:space="preserve">
• 25% Off on Total Bill – SAVE QAR 60</t>
    </r>
  </si>
  <si>
    <r>
      <t>JW Marriott Marquis City Center Doha -</t>
    </r>
    <r>
      <rPr>
        <b/>
        <sz val="12"/>
        <color rgb="FFFF0000"/>
        <rFont val="Aptos Display"/>
        <family val="2"/>
      </rPr>
      <t>La Maison Martinez</t>
    </r>
  </si>
  <si>
    <t>Buy 1 Get 1 - Afternoon Tea</t>
  </si>
  <si>
    <t>190 QAR</t>
  </si>
  <si>
    <t>Multiple offers cannot be combined in the same transaction.
One voucher per person per visit.
One voucher per table/group/bill.
Offer is not applicable on public holidays &amp; all special events.
Advance booking or reservation requirement.
Cannot be applied to already discounted items.
Cannot be combined with employee discounts.</t>
  </si>
  <si>
    <r>
      <rPr>
        <b/>
        <sz val="12"/>
        <color rgb="FFFF0000"/>
        <rFont val="Aptos Display"/>
        <family val="2"/>
      </rPr>
      <t>URBAN POINT</t>
    </r>
    <r>
      <rPr>
        <sz val="12"/>
        <rFont val="Aptos Display"/>
        <family val="2"/>
      </rPr>
      <t xml:space="preserve">
• Buy 1 Afternoon Tea Get 1 Free – SAVE QAR 190
</t>
    </r>
    <r>
      <rPr>
        <b/>
        <sz val="12"/>
        <color rgb="FFFF0000"/>
        <rFont val="Aptos Display"/>
        <family val="2"/>
      </rPr>
      <t xml:space="preserve">
ENTERTAINER</t>
    </r>
    <r>
      <rPr>
        <sz val="12"/>
        <rFont val="Aptos Display"/>
        <family val="2"/>
      </rPr>
      <t xml:space="preserve">
• Afternoon Tea – Buy 1 Get 1 Free (Valid until 30 Dec 2026)
</t>
    </r>
    <r>
      <rPr>
        <b/>
        <sz val="12"/>
        <color rgb="FFFF0000"/>
        <rFont val="Aptos Display"/>
        <family val="2"/>
      </rPr>
      <t>MY BOOK</t>
    </r>
    <r>
      <rPr>
        <sz val="12"/>
        <rFont val="Aptos Display"/>
        <family val="2"/>
      </rPr>
      <t xml:space="preserve">
• Buy 1 Get 1 Free – Afternoon Tea (Dine-in)</t>
    </r>
  </si>
  <si>
    <r>
      <t>JW Marriott Marquis City Center Doha -</t>
    </r>
    <r>
      <rPr>
        <b/>
        <sz val="12"/>
        <color rgb="FFFF0000"/>
        <rFont val="Aptos Display"/>
        <family val="2"/>
      </rPr>
      <t>Quan Spa</t>
    </r>
  </si>
  <si>
    <t>20% Off - All Single Memberships</t>
  </si>
  <si>
    <t>Multiple offers cannot be combined in the same transaction.
Cannot be combined with employee discounts.
Cannot be applied to already discounted items.
Advance booking or reservation requirement.
Offer is not applicable on public holidays &amp; all special events.</t>
  </si>
  <si>
    <r>
      <rPr>
        <b/>
        <sz val="12"/>
        <color rgb="FFFF0000"/>
        <rFont val="Aptos Display"/>
        <family val="2"/>
      </rPr>
      <t>URBAN POINT</t>
    </r>
    <r>
      <rPr>
        <b/>
        <sz val="12"/>
        <rFont val="Aptos Display"/>
        <family val="2"/>
      </rPr>
      <t xml:space="preserve">
</t>
    </r>
    <r>
      <rPr>
        <sz val="12"/>
        <rFont val="Aptos Display"/>
        <family val="2"/>
      </rPr>
      <t xml:space="preserve">• Buy 1 Swedish Massage (90min) Get 1 Free – SAVE QAR 590
• Buy 1 Traditional Moroccan Hammam (90min) Get 1 Free – SAVE QAR 800
• Buy 1 Balinese Massage (90min) Get 1 Free – SAVE QAR 620
• Buy 1 NB Skin Comfort Facial (60min) Get 1 Free – SAVE QAR 790
• Buy 1 Hydropool Access (60min) Get 1 Free – SAVE QAR 200
</t>
    </r>
    <r>
      <rPr>
        <b/>
        <sz val="12"/>
        <color rgb="FFFF0000"/>
        <rFont val="Aptos Display"/>
        <family val="2"/>
      </rPr>
      <t xml:space="preserve">
ENTERTAINER
</t>
    </r>
    <r>
      <rPr>
        <b/>
        <sz val="12"/>
        <rFont val="Aptos Display"/>
        <family val="2"/>
      </rPr>
      <t xml:space="preserve">
</t>
    </r>
    <r>
      <rPr>
        <sz val="12"/>
        <rFont val="Aptos Display"/>
        <family val="2"/>
      </rPr>
      <t xml:space="preserve">Qatar Monthly Offers 2026:
• Weekday Pool Pass – Buy 1 Get 1 Free (Bonus, Reusable)
• Weekend Pool Pass – Buy 1 Get 1 Free (Bonus, Reusable)
</t>
    </r>
    <r>
      <rPr>
        <b/>
        <sz val="12"/>
        <rFont val="Aptos Display"/>
        <family val="2"/>
      </rPr>
      <t xml:space="preserve">
</t>
    </r>
    <r>
      <rPr>
        <sz val="12"/>
        <rFont val="Aptos Display"/>
        <family val="2"/>
      </rPr>
      <t xml:space="preserve">Qatar 2026:
• 90min Lava Stone Massage – Buy 1 Get 1 Free (Advance Booking)
• 60min Turkish Hammam – Buy 1 Get 1 Free (Advance Booking)
• 60min Deep Tissue Massage – Buy 1 Get 1 Free (Advance Booking)
</t>
    </r>
    <r>
      <rPr>
        <b/>
        <sz val="12"/>
        <rFont val="Aptos Display"/>
        <family val="2"/>
      </rPr>
      <t xml:space="preserve">
</t>
    </r>
    <r>
      <rPr>
        <b/>
        <sz val="12"/>
        <color rgb="FFFF0000"/>
        <rFont val="Aptos Display"/>
        <family val="2"/>
      </rPr>
      <t>MY BOOK</t>
    </r>
    <r>
      <rPr>
        <b/>
        <sz val="12"/>
        <rFont val="Aptos Display"/>
        <family val="2"/>
      </rPr>
      <t xml:space="preserve">
</t>
    </r>
    <r>
      <rPr>
        <sz val="12"/>
        <rFont val="Aptos Display"/>
        <family val="2"/>
      </rPr>
      <t>• 90min Lava Stone Massage Buy 1 Get 1 Free (Advance Booking)
• 60min Natura Bisse Skin Comfort Facial – Buy 1 Get 1 Free (Advance Booking)
• 90min Balinese Massage – Buy 1 Get 1 Free (Advance Booking)</t>
    </r>
  </si>
  <si>
    <t>Membership tiers (20% off): 1 month 950→760 QAR; 3 months 2400→1920 QAR; 6 months 3500→2800 QAR; 12 months 6000→4800 QAR.</t>
  </si>
  <si>
    <t>Buy 1 Get 1 - Pool Day Pass (Weekend)</t>
  </si>
  <si>
    <t>Valid Friday &amp; Saturday only.</t>
  </si>
  <si>
    <t>Buy 1 Get 1 - 1-Hour Hydropool Access</t>
  </si>
  <si>
    <t>Buy 1 Get 1 - 30 Min. Back Massage</t>
  </si>
  <si>
    <t>390 QAR</t>
  </si>
  <si>
    <t>Buy 1 Get 1 - 60 Min. Thai Massage</t>
  </si>
  <si>
    <t>550 QAR</t>
  </si>
  <si>
    <t>Buy 1 Get 1 - Pool Day Pass (Weekday)</t>
  </si>
  <si>
    <t>125 QAR</t>
  </si>
  <si>
    <t>Multiple offers cannot be combined in the same transaction.
Advance booking or reservation requirement.
Cannot be applied to already discounted items.
Cannot be combined with employee discounts.
Offer is not applicable on public holidays &amp; all special events.</t>
  </si>
  <si>
    <t>Valid Sunday-Thursday only.</t>
  </si>
  <si>
    <t>Hollywood Star</t>
  </si>
  <si>
    <t>25% Off - Chicken Fajita Wrap</t>
  </si>
  <si>
    <t>22 QAR</t>
  </si>
  <si>
    <r>
      <rPr>
        <b/>
        <sz val="12"/>
        <color rgb="FFFF0000"/>
        <rFont val="Aptos Display"/>
        <family val="2"/>
      </rPr>
      <t>URBAN POINT</t>
    </r>
    <r>
      <rPr>
        <sz val="12"/>
        <rFont val="Aptos Display"/>
        <family val="2"/>
      </rPr>
      <t xml:space="preserve">
• Buy 1 Sloopy Chicken Sandwich Get 1 Free – SAVE QAR 26
• Buy 1 Animal Fries Get 1 Free – SAVE QAR 19
• 25% Off on Chicken Pasta – SAVE QAR 8
• 25% Off on Bolognese Spaghetti – SAVE QAR 7</t>
    </r>
  </si>
  <si>
    <t>Ingredients: Fresh tortilla bread with grilled chicken fajita, red pepper, yellow pepper, green pepper, cheddar cheese, and white cheese sauce.</t>
  </si>
  <si>
    <t>Buy 1 Get 1 - Shakshuka Baked Potato</t>
  </si>
  <si>
    <t>Ingredients: Baked potato mix with scrambled egg, marinara sauce, tomato, onion, green chili, jalapeño, spring onion and mozzarella cheese.</t>
  </si>
  <si>
    <t>25% Off - Taghamees Box</t>
  </si>
  <si>
    <t>199 QAR</t>
  </si>
  <si>
    <t>Serves 6 (sharing box) — includes 24 wrap pieces: BBQ wrap x1, Teriyaki wrap x1, Fajita wrap x2, Grilled Beef Steak wrap x2; plus 6 pcs Crispy Chicken Strips, Regular French Fries, and sauces (Animal sauce, Chipotle Mayo, Ranch).</t>
  </si>
  <si>
    <t>Al Sultan Medical Center</t>
  </si>
  <si>
    <t>81% Off - Root Canal Treatment &amp; Diagnostic X-Ray</t>
  </si>
  <si>
    <t>3150 QAR</t>
  </si>
  <si>
    <t>One voucher per person per visit.
Multiple offers cannot be combined in the same transaction.
Cannot be applied to already discounted items.
Cannot be combined with employee discounts.</t>
  </si>
  <si>
    <t>Includes: diagnostic X-ray + free expert consultation.</t>
  </si>
  <si>
    <t>80% Off - Professional Scaling and Polishing</t>
  </si>
  <si>
    <t>700 QAR</t>
  </si>
  <si>
    <t>Includes: free dental check-up and consultation.</t>
  </si>
  <si>
    <t>40% Off - High-Quality Dental Crown (Per Tooth)</t>
  </si>
  <si>
    <t>899 QAR</t>
  </si>
  <si>
    <t>Includes: free consultation with restorative specialists.</t>
  </si>
  <si>
    <t>55% Off - Professional Teeth Whitening</t>
  </si>
  <si>
    <t>Includes: free consultation.</t>
  </si>
  <si>
    <t>86% Off - Composite Veneer (Per Tooth)</t>
  </si>
  <si>
    <t>100 QAR</t>
  </si>
  <si>
    <t>Includes: free professional consultation.</t>
  </si>
  <si>
    <t>75% Off - Hollywood Smile Makeover (Per Tooth)</t>
  </si>
  <si>
    <t>3000 QAR</t>
  </si>
  <si>
    <t>Includes: free comprehensive consultation.</t>
  </si>
  <si>
    <t>Complete Health Checkup Bundle</t>
  </si>
  <si>
    <t>149 QAR</t>
  </si>
  <si>
    <t>Full-body screening package — 25 tests &amp; consultations in one visit: Blood Profile (CBC, Hemoglobin, RBC, Platelets, WBC Differential, Hematocrit, MCV, MCH, MCHC); Heart &amp; Metabolic (ECG, Total Cholesterol, Triglycerides, Fasting/Random Blood Sugar); Organ Function (SGPT/LFT, Creatinine/KFT, Uric Acid); General Screening (Urine Analysis, Blood Pressure, BMI); Doctor Consultations (Physician &amp; Dental).</t>
  </si>
  <si>
    <t>Attila Mongolian Grill</t>
  </si>
  <si>
    <t>25% Off - Chicken Grill Noodles Box</t>
  </si>
  <si>
    <r>
      <rPr>
        <b/>
        <sz val="12"/>
        <color rgb="FFFF0000"/>
        <rFont val="Aptos Display"/>
        <family val="2"/>
      </rPr>
      <t>URBAN POINT</t>
    </r>
    <r>
      <rPr>
        <sz val="12"/>
        <rFont val="Aptos Display"/>
        <family val="2"/>
      </rPr>
      <t xml:space="preserve">
• Buy 1 Chicken Szechuan Get 1 Free – SAVE QAR 33
• 25% Off on Attila's All In One Grill Noodles – SAVE QAR 14
• 25% Off on Boom Boom Shrimp – SAVE QAR 10</t>
    </r>
  </si>
  <si>
    <t>Ingredients: Chicken, onion, zucchini, green peppers, green onion; Szechuan sauce, Teriyaki sauce, Thai Hot sauce.</t>
  </si>
  <si>
    <t>25% Off - Beef Sosho Noodles Box</t>
  </si>
  <si>
    <t>Ingredients: Beef, onion, zucchini, green peppers, green onion; Shanghai sauce, Teriyaki sauce, Thai Hot sauce, Stir Fry sauce.</t>
  </si>
  <si>
    <t>Buy 1 Get 1 - Chicken Cashew</t>
  </si>
  <si>
    <t>33 QAR</t>
  </si>
  <si>
    <t>Ingredients: Chicken with mushroom, red and green capsicum, broccoli, spring onion, cashew nuts, Shanghai sauce and rice.</t>
  </si>
  <si>
    <t>DATE SUBMITTED FOR REVIEW: JUL 28, 2026</t>
  </si>
  <si>
    <t>Naz Kabab</t>
  </si>
  <si>
    <t>30% Off - Private Grill Experience (Serves 10)</t>
  </si>
  <si>
    <t>Offer Valid only for Delivery / Take away.</t>
  </si>
  <si>
    <t>Private Grill Experience – Serves 10 pax.
Includes: 1.5kg meat per person; choice of 120 seekh; 20 yogurts; 20 cold drinks; 50 bread; 3 big vegetables/salad; 5 hummus; BBQ supplies.</t>
  </si>
  <si>
    <t>30% Off - Private Grill Experience (Serves 20)</t>
  </si>
  <si>
    <t>Private Grill Experience – Serves 20 pax.
Includes: 1.5kg meat per person; choice of 240 seekh; 40 yogurts; 40 cold drinks; 100 bread; 6 big vegetables/salad; 10 hummus; BBQ supplies.</t>
  </si>
  <si>
    <t>20% Off - Total Bill</t>
  </si>
  <si>
    <t>Minimum Spend to avail discount: 100 QAR</t>
  </si>
  <si>
    <t>DATE SUBMITTED FOR REVIEW: JUL 24, 2026</t>
  </si>
  <si>
    <t>Texas Chicken</t>
  </si>
  <si>
    <t>15% Off - Total Bill (Min. Spend 150 QAR)</t>
  </si>
  <si>
    <t>Multiple offers cannot be combined in the same transaction.
One voucher per table/group/bill.
Cannot be combined with employee discounts.
Cannot be applied to already discounted items.</t>
  </si>
  <si>
    <r>
      <rPr>
        <b/>
        <sz val="12"/>
        <color rgb="FFFF0000"/>
        <rFont val="Aptos Display"/>
        <family val="2"/>
      </rPr>
      <t>URBAN POINT</t>
    </r>
    <r>
      <rPr>
        <sz val="12"/>
        <rFont val="Aptos Display"/>
        <family val="2"/>
      </rPr>
      <t xml:space="preserve">
• Buy 1 Crispy Chicken Sandwich Get 1 Free – SAVE QAR 20
• Buy 1 Large Rice Bowl Chicken Popcorn Get 1 Regular Rice Bowl Chicken Popcorn Free – SAVE QAR 15
• Buy 1 Regular Rice Bowl Chicken Popcorn Get 1 Beverage Free – SAVE QAR 7
• 25% Off the 15pcs Family Meal – SAVE QAR 25
• 25% Off the 20pcs Family Meal – SAVE QAR 25
</t>
    </r>
    <r>
      <rPr>
        <b/>
        <sz val="12"/>
        <color rgb="FFFF0000"/>
        <rFont val="Aptos Display"/>
        <family val="2"/>
      </rPr>
      <t>MY BOOK</t>
    </r>
    <r>
      <rPr>
        <sz val="12"/>
        <rFont val="Aptos Display"/>
        <family val="2"/>
      </rPr>
      <t xml:space="preserve">
• Buy 1 Get 1 Free – Crunchy Chicken Sandwich (Dine-in)
• Bundle Offer – Free Regular Rice Bowl Chicken Popcorn (Dine-in)
• Bundle Offer – Free Beverage (Dine-in)
• Amount Discount – 25% off 15pcs Family Meal (Dine-in)
• Amount Discount – 25% off 20pcs Family Meal (Dine-in)</t>
    </r>
  </si>
  <si>
    <t>Buy Any Family Meal - Get 2 Crunchy Chicken Sandwiches Free</t>
  </si>
  <si>
    <t>Family meal starting price: QAR 70; 2 Crunchy Chicken Sandwiches: QAR 20 per sandwich</t>
  </si>
  <si>
    <t>Buy 2 Get 1 - Garlic Flatbread Sandwich</t>
  </si>
  <si>
    <t>Multiple offers cannot be combined in the same transaction.
One voucher per table/group/bill.
Cannot be applied to already discounted items.
Cannot be combined with employee discounts.</t>
  </si>
  <si>
    <t>2 Flatbreads: QAR 18; Get 1 Free (value QAR 9)</t>
  </si>
  <si>
    <t>Buy 1 Get 1 - Crunchy Garlic Chicken Sandwich</t>
  </si>
  <si>
    <t>Yippyland</t>
  </si>
  <si>
    <t>Charge 75 QAR - Get 25 QAR Free (Total 100 QAR)</t>
  </si>
  <si>
    <t>Entertainment &amp; Activities</t>
  </si>
  <si>
    <t>75 QAR</t>
  </si>
  <si>
    <r>
      <rPr>
        <b/>
        <sz val="12"/>
        <color rgb="FFFF0000"/>
        <rFont val="Aptos Display"/>
        <family val="2"/>
      </rPr>
      <t>MY BOOK</t>
    </r>
    <r>
      <rPr>
        <sz val="12"/>
        <rFont val="Aptos Display"/>
        <family val="2"/>
      </rPr>
      <t xml:space="preserve">
• Bundle Offer – Free QAR 25 Credit (Buy QAR 75 Credit)
• Bundle Offer – Free QAR 75 Credit (Buy QAR 150 Credit)
• Bundle Offer – Free QAR 100 Credit (Buy QAR 200 Credit)
• Buy 1 Get 1 Free – QAR 300 Credit
• Amount Discount – 10% off on Birthday Parties
• Amount Discount – 20% off on Retail Items</t>
    </r>
  </si>
  <si>
    <t>Charge 150 QAR - Get 75 QAR Free (Total 225QAR)</t>
  </si>
  <si>
    <t>One voucher per person per visit.
Multiple offers cannot be combined in the same transaction.
Cannot be combined with employee discounts.
Cannot be applied to already discounted items.</t>
  </si>
  <si>
    <t>Charge 200 QAR - Get 100 QAR Free (Total 300 QAR)</t>
  </si>
  <si>
    <t>Chagre 300 QAR - Get 300 QAR Free (Total 600 QAR)</t>
  </si>
  <si>
    <t>10% Off - Birthday Parties</t>
  </si>
  <si>
    <t>20% Off - Retail Items</t>
  </si>
  <si>
    <t>Saiyd Afandi</t>
  </si>
  <si>
    <t>Buy 1 Get 1 - Chocolate Cake</t>
  </si>
  <si>
    <t>29 QAR</t>
  </si>
  <si>
    <r>
      <rPr>
        <b/>
        <sz val="12"/>
        <color rgb="FFFF0000"/>
        <rFont val="Aptos Display"/>
        <family val="2"/>
      </rPr>
      <t>URBAN POINT</t>
    </r>
    <r>
      <rPr>
        <sz val="12"/>
        <rFont val="Aptos Display"/>
        <family val="2"/>
      </rPr>
      <t xml:space="preserve">
• Buy 1 Main Course Get 1 Single Appetizer Free – SAVE QAR 25
• Buy 1 Slice of Cake Get 1 Free – SAVE QAR 29
• Buy 1 Saiyd Afandi Grilled Item Get 1 Fattoush Free – SAVE QAR 25
</t>
    </r>
    <r>
      <rPr>
        <b/>
        <sz val="12"/>
        <color rgb="FFFF0000"/>
        <rFont val="Aptos Display"/>
        <family val="2"/>
      </rPr>
      <t>MY BOOK</t>
    </r>
    <r>
      <rPr>
        <sz val="12"/>
        <rFont val="Aptos Display"/>
        <family val="2"/>
      </rPr>
      <t xml:space="preserve">
• Buy 1 Get 1 Free – Slice of Cake (Dine-in, Takeaway)
• Bundle Offer – Free Single Appetizer (Dine-in, Takeaway)
• Bundle Offer – Free Fattoush Salad (Dine-in, Takeaway)</t>
    </r>
  </si>
  <si>
    <t>15% Off - Total Bill (Min. Spend 300 QAR Dine-In)</t>
  </si>
  <si>
    <t>Offer Valid only for Dine-in (Not valid on Delivery / Take away).
One voucher per person per visit.
Cannot be applied to already discounted items.
Cannot be combined with employee discounts.</t>
  </si>
  <si>
    <t>20% Off - Total Bill (Min. Spend 300 QAR Takeaway)</t>
  </si>
  <si>
    <t>Offer Valid only for Delivery / Take away.
One voucher per person per visit.
One voucher per table/group/bill.
Cannot be applied to already discounted items.
Cannot be combined with employee discounts.</t>
  </si>
  <si>
    <t>Buy 1 Get 1 - Turkish Grilled Half Chicken 500 gm</t>
  </si>
  <si>
    <t>55 QAR</t>
  </si>
  <si>
    <t>Buy 1 Get 1 - Pide with Mozzarella Cheese</t>
  </si>
  <si>
    <t>25 QAR</t>
  </si>
  <si>
    <t>Karafirin</t>
  </si>
  <si>
    <t>Offer Valid only for Dine-in (Not valid on Delivery / Take away).
Multiple offers cannot be combined in the same transaction.
One voucher per table/group/bill.
Cannot be applied to already discounted items.
Cannot be combined with employee discounts.</t>
  </si>
  <si>
    <r>
      <rPr>
        <b/>
        <sz val="12"/>
        <color rgb="FFFF0000"/>
        <rFont val="Aptos Display"/>
        <family val="2"/>
      </rPr>
      <t xml:space="preserve">URBAN POINT
</t>
    </r>
    <r>
      <rPr>
        <sz val="12"/>
        <rFont val="Aptos Display"/>
        <family val="2"/>
      </rPr>
      <t xml:space="preserve">
• Buy 1 Sliced Cake Get 1 Hot Beverage Free – SAVE QAR 18
• Buy 1 Main Course Get 1 Single Appetizer Free – SAVE QAR 35
• Buy 1 Main Course Get 1 Pide Free – SAVE QAR 35
• Buy 1 Breakfast with Simit Get 1 Free – SAVE QAR 32
</t>
    </r>
    <r>
      <rPr>
        <b/>
        <sz val="12"/>
        <color rgb="FFFF0000"/>
        <rFont val="Aptos Display"/>
        <family val="2"/>
      </rPr>
      <t>MY BOOK</t>
    </r>
    <r>
      <rPr>
        <sz val="12"/>
        <rFont val="Aptos Display"/>
        <family val="2"/>
      </rPr>
      <t xml:space="preserve">
• Buy 1 Get 1 Free – Breakfast with Simit (Dine-in, Takeaway)
• Bundle Offer – Free Hot Beverage (Dine-in, Takeaway)
• Bundle Offer – Free Single Appetizer (Dine-in, Takeaway)
• Bundle Offer – Free Pide (Dine-in, Takeaway)
• Amount Discount – 20% off on Total Bill (Dine-in, Takeaway)</t>
    </r>
  </si>
  <si>
    <t>Offer Valid only for Delivery / Take away.
Multiple offers cannot be combined in the same transaction.
One voucher per table/group/bill.
Cannot be combined with employee discounts.
Cannot be applied to already discounted items.</t>
  </si>
  <si>
    <t>Buy 1 Get 1 - Hot Toffee Nut Latte (20 oz)</t>
  </si>
  <si>
    <t>Multiple offers cannot be combined in the same transaction.
One voucher per person per visit.
Cannot be combined with employee discounts.
Cannot be applied to already discounted items.</t>
  </si>
  <si>
    <t>Buy 1 Get 1 - Chicken Alfredo</t>
  </si>
  <si>
    <t>58 QAR</t>
  </si>
  <si>
    <t>Buy 1 Get 1 - Baked Mushroom Chicken Tartine</t>
  </si>
  <si>
    <t>52 QAR</t>
  </si>
  <si>
    <t>Buy 1 Get 1 - Sausage Croissant Melt</t>
  </si>
  <si>
    <t>DATE SUBMITTED FOR REVIEW: JUL 22, 2026</t>
  </si>
  <si>
    <t>Ramen Restaurant</t>
  </si>
  <si>
    <t>Ramen + Drink + 1 Ice Cream Bundle - 86 QAR</t>
  </si>
  <si>
    <t>86 QAR</t>
  </si>
  <si>
    <t>42 QAR</t>
  </si>
  <si>
    <t>Offer Valid only for Dine-in (Not valid on Delivery / Take away).
One voucher per person per visit.</t>
  </si>
  <si>
    <r>
      <t xml:space="preserve">Ramen options (choose 1): 
Jjampong 
· Korean Style 
· Kimchi 
· Sutah 
· Tomyum/Thai 
· Katsu 
· Beef 
· Seafood 
· Gyoza 
· Chicken Charsu 
Free drink options (choose 1): 
Mojito, any flavor 
· Smoothie 
· Ice Tea, any flavor 
· Soft Drink 
Free ice cream: 
Melona Popsicle 
</t>
    </r>
    <r>
      <rPr>
        <b/>
        <sz val="11"/>
        <rFont val="Aptos Display"/>
        <family val="2"/>
      </rPr>
      <t>Value: Up to QAR 42 free with your ramen</t>
    </r>
    <r>
      <rPr>
        <sz val="11"/>
        <rFont val="Aptos Display"/>
        <family val="2"/>
      </rPr>
      <t xml:space="preserve">
Valid: Tuesday &amp; Wednesday</t>
    </r>
  </si>
  <si>
    <r>
      <rPr>
        <b/>
        <sz val="12"/>
        <color rgb="FFFF0000"/>
        <rFont val="Aptos Display"/>
        <family val="2"/>
      </rPr>
      <t>ENTERTAINER</t>
    </r>
    <r>
      <rPr>
        <sz val="12"/>
        <rFont val="Aptos Display"/>
        <family val="2"/>
      </rPr>
      <t xml:space="preserve">
Ramen Restaurant – Msheireb Downtown (Rated 4.6)
"Buy 1 Get 1 Free" offers on Main Menu Items
Valid until 30 Dec 2026
(Specific menu item details are locked behind "Unlock Offers" in the app)</t>
    </r>
  </si>
  <si>
    <t>Ramen + Sushi + Mojito Bundle - 99 QAR (Business Lunch - Weekday)</t>
  </si>
  <si>
    <t>161 QAR</t>
  </si>
  <si>
    <t>99 QAR</t>
  </si>
  <si>
    <r>
      <t xml:space="preserve">Ramen options (choose 1): 
Jjampong
 · Korean Style
 · Kimchi
 · Sutah 
· Tomyum/Thai 
· Katsu 
· Beef 
· Seafood 
· Gyoza 
· Chicken Charsu 
Sushi options (choose 1, 4pcs/half portion): 
Fresh Salmon 
· California 
· Philadelphia 
· Spicy Salmon 
· California Tempura Style 
· Mermaid California 
· Crunchy Tempura 
· Mozzarella 
· Tempura Crispy Salmon 
· Fuziama 
Drink: 
Mojito, any flavor 
</t>
    </r>
    <r>
      <rPr>
        <b/>
        <sz val="9"/>
        <rFont val="Aptos Display"/>
        <family val="2"/>
      </rPr>
      <t>Value: À la carte value up to QAR 161 → pay QAR 99 — save up to 35%</t>
    </r>
    <r>
      <rPr>
        <sz val="9"/>
        <rFont val="Aptos Display"/>
        <family val="2"/>
      </rPr>
      <t xml:space="preserve">
Available Hours: 12:00PM-5:00PM
Valid: Sunday, Monday, Tuesday, Wednesday, Thursday</t>
    </r>
  </si>
  <si>
    <t>Ramen + Sushi + Mojito Bundle - 99 QAR (Weekend)</t>
  </si>
  <si>
    <r>
      <t xml:space="preserve">Ramen options (choose 1): 
Jjampong
 · Korean Style
 · Kimchi
 · Sutah 
· Tomyum/Thai 
· Katsu 
· Beef 
· Seafood 
· Gyoza 
· Chicken Charsu 
Sushi options (choose 1, 4pcs/half portion): 
Fresh Salmon 
· California 
· Philadelphia 
· Spicy Salmon 
· California Tempura Style 
· Mermaid California 
· Crunchy Tempura 
· Mozzarella 
· Tempura Crispy Salmon 
· Fuziama 
Drink: 
Mojito, any flavor 
</t>
    </r>
    <r>
      <rPr>
        <b/>
        <sz val="10"/>
        <rFont val="Aptos Display"/>
        <family val="2"/>
      </rPr>
      <t xml:space="preserve">
Value: À la carte value up to QAR 161 → pay QAR 99 — save up to 35%
</t>
    </r>
    <r>
      <rPr>
        <sz val="10"/>
        <rFont val="Aptos Display"/>
        <family val="2"/>
      </rPr>
      <t xml:space="preserve">
Available Hours: 12:00PM - 10:00PM
Valid: Thuesday, Friday, Saturday</t>
    </r>
  </si>
  <si>
    <t>2 Ramen + Side + Drinks Bundle - 205 QAR</t>
  </si>
  <si>
    <t>261 QAR</t>
  </si>
  <si>
    <t>205 QAR</t>
  </si>
  <si>
    <r>
      <t xml:space="preserve">Ramen options (choose any 2, can mix): 
Jjampong 
· Korean Style 
· Kimchi · Sutah 
· Tomyum/Thai 
· Katsu
· Beef
 · Seafood 
· Gyoza
 · Chicken Charsu
 Side options (choose 1):
 Shrimp Tempura
 · Chicken Karaage
 · Gyoza
 · California Roll
 · Crunchy Tempura Roll
 · Kimbap 
Drinks:
 2x Water or 2x Soft Drink
</t>
    </r>
    <r>
      <rPr>
        <b/>
        <sz val="10"/>
        <rFont val="Aptos Display"/>
        <family val="2"/>
      </rPr>
      <t>Value: À la carte value up to QAR 261 → pay QAR 205 — save up to 20%</t>
    </r>
    <r>
      <rPr>
        <sz val="10"/>
        <rFont val="Aptos Display"/>
        <family val="2"/>
      </rPr>
      <t xml:space="preserve">
Valid: Sunday &amp; Monday</t>
    </r>
  </si>
  <si>
    <r>
      <t xml:space="preserve">Shaza Hotels &amp; Resorts - </t>
    </r>
    <r>
      <rPr>
        <b/>
        <sz val="12"/>
        <color rgb="FFFF0000"/>
        <rFont val="Aptos Display"/>
        <family val="2"/>
      </rPr>
      <t>Midan Restaurant</t>
    </r>
  </si>
  <si>
    <t>Buy 1 Get 1 - Fisherman's Seafood Night Buffet</t>
  </si>
  <si>
    <t>165 QAR</t>
  </si>
  <si>
    <t>Reservation is Recommended
Valid: Friday</t>
  </si>
  <si>
    <r>
      <rPr>
        <b/>
        <sz val="12"/>
        <color rgb="FFFF0000"/>
        <rFont val="Aptos Display"/>
        <family val="2"/>
      </rPr>
      <t>URBAN POINT</t>
    </r>
    <r>
      <rPr>
        <sz val="12"/>
        <rFont val="Aptos Display"/>
        <family val="2"/>
      </rPr>
      <t xml:space="preserve">
• Buy 1 Breakfast Buffet with Pool Access Get 1 Free – SAVE QAR 125
• Buy 1 Main Course Get 1 Free – SAVE QAR 70
• Buy 1 Friday The Fisherman's Seafood Night Get 1 Free – SAVE QAR 170
• Buy 1 Main Course Get 1 Dessert Free – SAVE QAR 70
• Buy 1 Main Course Get 1 Beverage Free – SAVE QAR 70
• Buy 1 Saturday Damascus Night Get 1 Free – SAVE QAR 160
</t>
    </r>
    <r>
      <rPr>
        <b/>
        <sz val="12"/>
        <color rgb="FFFF0000"/>
        <rFont val="Aptos Display"/>
        <family val="2"/>
      </rPr>
      <t>ENTERTAINER</t>
    </r>
    <r>
      <rPr>
        <sz val="12"/>
        <rFont val="Aptos Display"/>
        <family val="2"/>
      </rPr>
      <t xml:space="preserve">
• Saturday Damascus Night – Buy 1 Get 1 Free (Bonus, Reusable)
• Breakfast Buffet – Buy 1 Get 1 Free (Bonus, Reusable)
• Main Course – Buy 1 Get 1 Free (Valid until 30 Dec 2026)</t>
    </r>
  </si>
  <si>
    <t>Buy 1 Main Course - Get 1 Beverage Free</t>
  </si>
  <si>
    <t>Buy 1 Get 1 - Damascus Night Buffet</t>
  </si>
  <si>
    <t>160 QAR</t>
  </si>
  <si>
    <t>Multiple offers cannot be combined in the same transaction.
Advance booking or reservation requirement.
Cannot be applied to already discounted items.
Cannot be combined with employee discounts.</t>
  </si>
  <si>
    <t>Reservation is Recommended
Valid: Saturday</t>
  </si>
  <si>
    <t>Buy 1 Breakfast Buffet - Get 1 Pool Access Free</t>
  </si>
  <si>
    <t>Multiple offers cannot be combined in the same transaction.
One voucher per person per visit.
Cannot be applied to already discounted items.</t>
  </si>
  <si>
    <t>Reservation is Mandatory +974-44709999</t>
  </si>
  <si>
    <t>Shaza Hotels</t>
  </si>
  <si>
    <t>Buy 1  Get 1 - 1-Month Gym Membership</t>
  </si>
  <si>
    <t>Multiple offers cannot be combined in the same transaction.L14:L17
One voucher per person per visit.
Cannot be applied to already discounted items.
Cannot be combined with employee discounts.
Advance booking or reservation requirement.</t>
  </si>
  <si>
    <t>Reservation is recommended +974-44709999</t>
  </si>
  <si>
    <r>
      <rPr>
        <b/>
        <sz val="12"/>
        <color rgb="FFFF0000"/>
        <rFont val="Aptos Display"/>
        <family val="2"/>
      </rPr>
      <t>URBAN POINT</t>
    </r>
    <r>
      <rPr>
        <sz val="12"/>
        <rFont val="Aptos Display"/>
        <family val="2"/>
      </rPr>
      <t xml:space="preserve">
• Buy 1 Night Deluxe Room with Breakfast Get 1 Free – SAVE QAR 700</t>
    </r>
  </si>
  <si>
    <t>Buy 1 Get 1 - Deluxe Room Staycation</t>
  </si>
  <si>
    <t>500 QAR</t>
  </si>
  <si>
    <t>Multiple offers cannot be combined in the same transaction.
One voucher per person per visit.
Cannot be applied to already discounted items.
Cannot be combined with employee discounts.
Advance booking or reservation requirement.</t>
  </si>
  <si>
    <t>Subject to availability 
Reservation is recommended +974-44709999</t>
  </si>
  <si>
    <r>
      <t xml:space="preserve">Shaza Hotels - </t>
    </r>
    <r>
      <rPr>
        <b/>
        <sz val="12"/>
        <color rgb="FFFF0000"/>
        <rFont val="Aptos Display"/>
        <family val="2"/>
      </rPr>
      <t>Crystal Ballroom</t>
    </r>
  </si>
  <si>
    <t>30% Off - Catering Orders</t>
  </si>
  <si>
    <t>Multiple offers cannot be combined in the same transaction.
One voucher per person per visit.
Cannot be applied to already discounted items.
Cannot be combined with employee discounts.</t>
  </si>
  <si>
    <r>
      <t xml:space="preserve">Reservation is Mandatory 15 days before the event +97455256275
Minimum 50 Pax
</t>
    </r>
    <r>
      <rPr>
        <b/>
        <sz val="12"/>
        <rFont val="Aptos Display"/>
        <family val="2"/>
      </rPr>
      <t xml:space="preserve">ORIGINAL PRICE: 200 QAR/PAX
OFFER PRICE: 160 QAR/PAX </t>
    </r>
  </si>
  <si>
    <t>Delta Hotels by Marriott City Center Doha</t>
  </si>
  <si>
    <t>Buy 1  Get 1- Pool Pass</t>
  </si>
  <si>
    <t>25% Off - 1-year Couple Membership</t>
  </si>
  <si>
    <t>6000 QAR</t>
  </si>
  <si>
    <t>4,500 QAR</t>
  </si>
  <si>
    <t>25% Off -  6-Month Couple Membership</t>
  </si>
  <si>
    <t>4000 QAR</t>
  </si>
  <si>
    <t>3,000 QAR</t>
  </si>
  <si>
    <t>Ms. Joy advised to approve the offer - Sarah</t>
  </si>
  <si>
    <t>Give us an offer that is valid everyday.. not only friday.. this is still an insecure offer than competitors
Ms. Joy advised to approve the offer - Sarah</t>
  </si>
  <si>
    <t>DATE SUBMITTED FOR REVIEW: JUL 02, 2026</t>
  </si>
  <si>
    <t>Burger Guys Restaurant</t>
  </si>
  <si>
    <t>Buy 1 Get 1 Free  - Grilled Chicken Combo or Crunchy Chicken Combo.</t>
  </si>
  <si>
    <t>Offer Valid only for Delivery / Take away.
Offer Valid only for Dine-in (Not valid on Delivery / Take away).
Multiple offers cannot be combined in the same transaction.
One voucher per person per visit.
One voucher per table/group/bill.
Cannot be applied to already discounted items.
Cannot be combined with employee discounts.</t>
  </si>
  <si>
    <t>Available everyday</t>
  </si>
  <si>
    <r>
      <rPr>
        <b/>
        <sz val="12"/>
        <color rgb="FFFF0000"/>
        <rFont val="Aptos Display"/>
        <family val="2"/>
      </rPr>
      <t>URBAN POINT</t>
    </r>
    <r>
      <rPr>
        <sz val="12"/>
        <rFont val="Aptos Display"/>
        <family val="2"/>
      </rPr>
      <t xml:space="preserve">
Buy 1 Single Smashed Burher Get 1 Free
Buy 1 Chicken Nuggets Get 1 Free
Buy 1 Majlis Box Get 1 Appetizer Box Free
Buy Any Burger Meal Get Fries Free</t>
    </r>
  </si>
  <si>
    <t>Buy 1 Get 1 - Refreshing Iced Tea</t>
  </si>
  <si>
    <t>One voucher per table/group/bill.
Offer Valid only for Dine-in (Not valid on Delivery / Take away).
Offer Valid only for Delivery / Take away.</t>
  </si>
  <si>
    <t>Haala Perfurmes</t>
  </si>
  <si>
    <t>Buy 1 Get 1 - Bunniyah Perfumes Collection</t>
  </si>
  <si>
    <t>89 QAR</t>
  </si>
  <si>
    <t>Multiple offers cannot be combined in the same transaction.
One voucher per table/group/bill.
Multiple offers cannot be combined in the same transaction.
One voucher per table/group/bill.</t>
  </si>
  <si>
    <t>Buy 1 Get 1 - Shaghaf Al Ward Perfume</t>
  </si>
  <si>
    <t>Multiple offers cannot be combined in the same transaction.
One voucher per table/group/bill.
One voucher per person per visit.
Cannot be applied to already discounted items.
Cannot be combined with employee discounts.</t>
  </si>
  <si>
    <t>Buy 2 Get 1 - Arabian Perfume  Collection</t>
  </si>
  <si>
    <t>320 QAR</t>
  </si>
  <si>
    <t>Buy 2 Get 1 - French Perfume Collection</t>
  </si>
  <si>
    <t>260 QAR</t>
  </si>
  <si>
    <t>Spend 350 QAR &amp; Get 30% Off</t>
  </si>
  <si>
    <t>Badminton City</t>
  </si>
  <si>
    <t>Indoor Football Voucher - 200 QAR Per Hour (Pre Booking Required)</t>
  </si>
  <si>
    <t>Multiple offers cannot be combined in the same transaction.
One voucher per person per visit.
One voucher per table/group/bill.
Advance booking or reservation requirement.
Cannot be applied to already discounted items.
Cannot be combined with employee discounts.</t>
  </si>
  <si>
    <r>
      <t xml:space="preserve">
</t>
    </r>
    <r>
      <rPr>
        <b/>
        <sz val="12"/>
        <rFont val="Aptos Display"/>
        <family val="2"/>
      </rPr>
      <t>Special price for QL Customers</t>
    </r>
    <r>
      <rPr>
        <sz val="12"/>
        <rFont val="Aptos Display"/>
        <family val="2"/>
      </rPr>
      <t xml:space="preserve">
Bookings Subject To Availability 
Pre Book At 📱 +97466008622
Friday 7 am to 12 am. 
Saturday 7 am to 12 am. 
Sunday 4 pm to 12 am 
Monday 4 pm to 12 am 
Tuesday 4 pm to 12 am 
Wednesday 4 pm to 12 am 
Thursday 4 pm to 12 am</t>
    </r>
  </si>
  <si>
    <t>I dont understand the offer. So what is the deals value? it says 200 per hour voucher... how much is the original rate?</t>
  </si>
  <si>
    <t xml:space="preserve">The prices quoted at the store varies as per timing depending on the time of the day and day of of the week. Therefore, they have given us a fixed flat rate, hence the 200 QAR being a voucher. 
</t>
  </si>
  <si>
    <t>Outdoor Football Voucher -  Now At 200 QAR Per Hour (Pre Booking Required)</t>
  </si>
  <si>
    <t>Indoor Basketball Voucher -  Now At 200 QAR Per Hour (Pre Booking Required)</t>
  </si>
  <si>
    <t>Indoor Cricket Voucher -  Now At 200 QAR Per Hour (Pre Booking Required)</t>
  </si>
  <si>
    <t>Badminton Voucher - Now At 50 QAR Per Person Per Hour (Pre Booking Required)</t>
  </si>
  <si>
    <t xml:space="preserve">The prices quoted at the store varies as per timing depending on the time of the day and day of of the week. Therefore, they have given us a fixed flat rate, hence the 50 QAR being a voucher. 
</t>
  </si>
  <si>
    <t>Pickleball Voucher -  Now At 50 QAR Per Person Per Hour (Pre Booking Required)</t>
  </si>
  <si>
    <t>Multiple offers cannot be combined in the same transaction.
One voucher per person per visit.
Advance booking or reservation requirement.
Cannot be applied to already discounted items.
Cannot be combined with employee discounts.</t>
  </si>
  <si>
    <t xml:space="preserve">
Special price for QL Customers
Bookings Subject To Availability 
Pre Book At 📱 +97466008622
Friday 7 am to 12 am. 
Saturday 7 am to 12 am. 
Sunday 4 pm to 12 am 
Monday 4 pm to 12 am 
Tuesday 4 pm to 12 am 
Wednesday 4 pm to 12 am 
Thursday 4 pm to 12 am</t>
  </si>
  <si>
    <t>Magnolia Bakery</t>
  </si>
  <si>
    <t>Buy 1 Main Menu Item - Get 1 Drinks Free</t>
  </si>
  <si>
    <t>Offer Valid only for Dine-in (Not valid on Delivery / Take away).
Cannot be applied to already discounted items.
Cannot be combined with employee discounts.</t>
  </si>
  <si>
    <r>
      <t xml:space="preserve">Pullman Hotels - </t>
    </r>
    <r>
      <rPr>
        <sz val="12"/>
        <color rgb="FFFF0000"/>
        <rFont val="Aptos Display"/>
        <family val="2"/>
      </rPr>
      <t>The Avenue</t>
    </r>
  </si>
  <si>
    <t xml:space="preserve">Buy 1 Breakfast Buffet  - Get 1 Free (The Avenue) </t>
  </si>
  <si>
    <t>115 QAR</t>
  </si>
  <si>
    <t>Offer Valid only for Dine-in (Not valid on Delivery / Take away).; Multiple offers cannot be combined in the same transaction.
Advance booking or reservation requirement.; Cannot be applied to already discounted items.; Cannot be combined with employee discounts.</t>
  </si>
  <si>
    <t>Available daily from 6:30 AM to 10:30 AM</t>
  </si>
  <si>
    <r>
      <rPr>
        <b/>
        <sz val="12"/>
        <color rgb="FFFF0000"/>
        <rFont val="Aptos Display"/>
        <family val="2"/>
      </rPr>
      <t>ENTERTAINER</t>
    </r>
    <r>
      <rPr>
        <sz val="12"/>
        <rFont val="Aptos Display"/>
        <family val="2"/>
      </rPr>
      <t xml:space="preserve">
Avenue
Buy 1 Get 1 Free — Breakfast Buffet (Reusable) — Valid until 30 Dec 2026
Buy 1 Get 1 Free — Lunch Buffet (Reusable) — Valid until 30 Dec 2026
Buy 1 Get 1 Free — Buffet — Valid until 30 Dec 2026</t>
    </r>
  </si>
  <si>
    <t>Buy 1 Lunch Buffet - Get 1 Free (The Avenue)</t>
  </si>
  <si>
    <r>
      <t xml:space="preserve">Pullman Hotels - </t>
    </r>
    <r>
      <rPr>
        <sz val="12"/>
        <color rgb="FFFF0000"/>
        <rFont val="Aptos Display"/>
        <family val="2"/>
      </rPr>
      <t>Pullman Fit</t>
    </r>
  </si>
  <si>
    <t>Buy 1 Month Gym Membership - Get 1 Month Free</t>
  </si>
  <si>
    <t>720 QAR</t>
  </si>
  <si>
    <t>One voucher per person per visit.
Advance booking or reservation requirement.
Cannot be combined with employee discounts.
Cannot be applied to already discounted items.</t>
  </si>
  <si>
    <t>In-store purchase only Actual savings are based on items purchased The complimentary membership or service must be of equal or lesser value</t>
  </si>
  <si>
    <r>
      <rPr>
        <b/>
        <sz val="12"/>
        <color rgb="FFFF0000"/>
        <rFont val="Aptos Display"/>
        <family val="2"/>
      </rPr>
      <t>URBAN POINT</t>
    </r>
    <r>
      <rPr>
        <sz val="12"/>
        <rFont val="Aptos Display"/>
        <family val="2"/>
      </rPr>
      <t xml:space="preserve">
Pullman Fit
Buy 1 Month Gym Membership Get 1 Free — SAVE QAR 720
Buy 3 Months Gym Membership Get 3 Months Free — SAVE QAR 1720
Buy 6 Months Gym Membership Get 6 Months Free — SAVE QAR 2850
</t>
    </r>
    <r>
      <rPr>
        <b/>
        <sz val="12"/>
        <color rgb="FFFF0000"/>
        <rFont val="Aptos Display"/>
        <family val="2"/>
      </rPr>
      <t>ENTERTAINER</t>
    </r>
    <r>
      <rPr>
        <sz val="12"/>
        <rFont val="Aptos Display"/>
        <family val="2"/>
      </rPr>
      <t xml:space="preserve">
Pullman Fit
Buy 1 Get 1 Free — 1-Month Gym Membership — Valid until 30 Dec 2026
Buy 1 Get 1 Free — 3-Month Gym Membership — Valid until 30 Dec 2026
Buy 1 Get 1 Free — 6-Month Gym Membership — Valid until 30 Dec 2026</t>
    </r>
  </si>
  <si>
    <r>
      <t xml:space="preserve">Pullman Hotels - </t>
    </r>
    <r>
      <rPr>
        <sz val="12"/>
        <color rgb="FFFF0000"/>
        <rFont val="Aptos Display"/>
        <family val="2"/>
      </rPr>
      <t>The Score</t>
    </r>
  </si>
  <si>
    <t>Buy 1  Main Course - Get 1 Free</t>
  </si>
  <si>
    <t>Offer Valid only for Dine-in (Not valid on Delivery / Take away).
Multiple offers cannot be combined in the same transaction.
One voucher per person per visit.
Cannot be applied to already discounted items.
Cannot be combined with employee discounts.</t>
  </si>
  <si>
    <t>Actual savings are based on items purchased The complimentary item must be of equal or lesser value</t>
  </si>
  <si>
    <r>
      <rPr>
        <b/>
        <sz val="12"/>
        <color rgb="FFFF0000"/>
        <rFont val="Aptos Display"/>
        <family val="2"/>
      </rPr>
      <t>URBAN POINT</t>
    </r>
    <r>
      <rPr>
        <sz val="12"/>
        <rFont val="Aptos Display"/>
        <family val="2"/>
      </rPr>
      <t xml:space="preserve">
The Score
Buy 1 Beverage Get 1 Free — SAVE QAR 35
</t>
    </r>
    <r>
      <rPr>
        <b/>
        <sz val="12"/>
        <color rgb="FFFF0000"/>
        <rFont val="Aptos Display"/>
        <family val="2"/>
      </rPr>
      <t>ENTERTAINER</t>
    </r>
    <r>
      <rPr>
        <sz val="12"/>
        <rFont val="Aptos Display"/>
        <family val="2"/>
      </rPr>
      <t xml:space="preserve">
The Score
Buy 1 Beverage Get 1 Free — SAVE QAR 35</t>
    </r>
  </si>
  <si>
    <t>Alijarah Driving Academy</t>
  </si>
  <si>
    <t>10% Off - All Driving Courses</t>
  </si>
  <si>
    <t>Education &amp; Learniing</t>
  </si>
  <si>
    <t>Discounts</t>
  </si>
  <si>
    <t>2250 QAR</t>
  </si>
  <si>
    <t>Advance booking or reservation requirement.</t>
  </si>
  <si>
    <t>Toys 4 Joy</t>
  </si>
  <si>
    <t>20% Off - Total Bill at Toys 4 Joy</t>
  </si>
  <si>
    <t>Shopping &amp; Retails</t>
  </si>
  <si>
    <r>
      <t xml:space="preserve">URBAN POINT
</t>
    </r>
    <r>
      <rPr>
        <sz val="12"/>
        <color theme="1"/>
        <rFont val="Aptos Display"/>
        <family val="2"/>
      </rPr>
      <t>Toys 4 Joy
Spend QAR 100 Save QAR 20
Spend QAR 250 Save QAR 50
Spend QAR 500 Save QAR 110
Spend QAR 1000 Save QAR 250
Buy 1 Any Stadium Puzzles Get 1 Free — SAVE QAR 69
30% Off on Any Play Doh or Any Arabic &amp; Islamic Range — SAVE QAR 40</t>
    </r>
  </si>
  <si>
    <t>25% off - ALL-INCLUSIVE SUMMER GETAWAY 2026</t>
  </si>
  <si>
    <t>bundle</t>
  </si>
  <si>
    <t>Multiple offers cannot be combined in the same transaction.Offer is not applicable on public holidays &amp; all special events.; Cannot be applied to already discounted items.</t>
  </si>
  <si>
    <t>All benefits are valid during the stay period only.
Rooms and rates are subject to availability.
Hotel terms and conditions apply.</t>
  </si>
  <si>
    <t>21-06-2026</t>
  </si>
  <si>
    <t>Buy 1 Get 1 Free - Day Pass - 1 Meal + Pool + Gym Access</t>
  </si>
  <si>
    <t>Pool &amp; Beach Access</t>
  </si>
  <si>
    <t>Buy 1 Get 1 on Burgers</t>
  </si>
  <si>
    <t>Offer Valid only for Dine-in (Not valid on Delivery / Take away).; One voucher per person per visit.; One voucher per table/group/bill, Cannot be applied to already discounted items.; Cannot be combined with employee discounts.; Offer is not applicable on public holidays &amp; all special events.</t>
  </si>
  <si>
    <t xml:space="preserve">30% off On A Month's Staycation </t>
  </si>
  <si>
    <t>Multiple offers cannot be combined in the same transaction.; One voucher per person per visit,Advance booking or reservation requirement.; Cannot be applied to already discounted items.</t>
  </si>
  <si>
    <t>Buy 1 Get 1 on Breakfast Buffet</t>
  </si>
  <si>
    <t>Offer Valid only for Dine-in (Not valid on Delivery / Take away).; Multiple offers cannot be combined in the same transaction.; One voucher per person per visit.; One voucher per table/group/bill,Cannot be applied to already discounted items.; Cannot be combined with employee discounts.; Advance booking or reservation requirement.</t>
  </si>
  <si>
    <t>Spend 200qr and get 1 Momos / Mix Appetizer free</t>
  </si>
  <si>
    <t>Offer Valid only for Dine-in (Not valid on Delivery / Take away).; Multiple offers cannot be combined in the same transaction.; One voucher per table/group/bill.; One voucher per person per visit, Offer is not applicable on public holidays &amp; all special events.; Cannot be applied to already discounted items.; Cannot be combined with employee discounts.</t>
  </si>
  <si>
    <t>Buy  Mix Seafood platter and get one fish finger free</t>
  </si>
  <si>
    <t>Micro Health Laboratories</t>
  </si>
  <si>
    <t>Hypertension Profile</t>
  </si>
  <si>
    <t>Wellness Centers</t>
  </si>
  <si>
    <t>Multiple offers cannot be combined in the same transaction.; One voucher per person per visit. Cannot be applied to already discounted items.; Cannot be combined with employee discounts.</t>
  </si>
  <si>
    <t>Basic Thyroid Profile</t>
  </si>
  <si>
    <t>Basic Hepatitis Profile</t>
  </si>
  <si>
    <t>Basic OrthoScreen</t>
  </si>
  <si>
    <t>One voucher per person per visit.; Multiple offers cannot be combined in the same transaction. Cannot be applied to already discounted items.; Cannot be combined with employee discounts.</t>
  </si>
  <si>
    <t>Essentials Health Checkup</t>
  </si>
  <si>
    <t>Basic Lifestyle Checkup</t>
  </si>
  <si>
    <t>Cardiac Profile</t>
  </si>
  <si>
    <t>Hepatitis B Profile</t>
  </si>
  <si>
    <t>Advanced Metabolic Profile</t>
  </si>
  <si>
    <t>Basic Polycystic Ovarian Profile</t>
  </si>
  <si>
    <t>Advanced Thyroid Profile</t>
  </si>
  <si>
    <t>Advanced OrthoScreen</t>
  </si>
  <si>
    <t>Advanced Lifestyle Checkup</t>
  </si>
  <si>
    <t>Hepa Screen</t>
  </si>
  <si>
    <t>Master Health Checkup</t>
  </si>
  <si>
    <t>Advanced Kidney Profile</t>
  </si>
  <si>
    <t>Advanced Liver Profile</t>
  </si>
  <si>
    <t>Advanced Hepatitis Profile</t>
  </si>
  <si>
    <t>Basic Metabolic Profile</t>
  </si>
  <si>
    <t>Sportsman Profile</t>
  </si>
  <si>
    <t>DATE SUBMITTED FOR REVIEW: JUNE 14, 2026</t>
  </si>
  <si>
    <t>Tadawi Medical Center</t>
  </si>
  <si>
    <t>Perfect Smile Veneer Deal - Buy 1 Get `1</t>
  </si>
  <si>
    <t>Multiple offers cannot be combined in the same transaction. 
Advance booking or reservation requirement.
Cannot be applied to already discounted items.</t>
  </si>
  <si>
    <t>Two Tranches - Valid for 8 Weeks</t>
  </si>
  <si>
    <r>
      <rPr>
        <b/>
        <sz val="12"/>
        <color rgb="FFFF0000"/>
        <rFont val="Aptos Display"/>
        <family val="2"/>
      </rPr>
      <t>URBAN POINT</t>
    </r>
    <r>
      <rPr>
        <sz val="12"/>
        <rFont val="Aptos Display"/>
        <family val="2"/>
      </rPr>
      <t xml:space="preserve">
Buy 1 HydraFacial Treatment Get 1 Free
Buy 1 HydraFacial Treatment Face &amp; Neck Get 1 Free 
Buy 1 Classic Facial Treatment Get 1 Free
Buy 1 Carbon Peel Face Treatment Get 1 Free 
Buy 1 Chemical Cold Peeling Treatment Get 1 Free
Buy 1 Full Body Hair Removal without Abdomen &amp; Back Get 1 Free 
Buy 1 Laser Under Arm Hair Removal Get 1 Free 
Buy 1 Derma Pen and Mesotheraphy Treatment Get 1 Free 
Buy 1 Iron IV Drip Treatment Get 1 Free
Buy 1 Multivitamin IV Drip Treatment Get 1 Free
Buy 1 Physiotherapy Treatment Session Get 1 Free
Buy 1 BTL Body Contouring for Double Chin or Neck Get 1 Free 
Buy 1 Dental Scaling and Polishing Treatment Get 1 Free 
Buy 1 Tooth Veneer Get 1 Free 
Buy 3 Units of Botox Get 3 Free 
Buy 1 Koko Dermaviduals Sunscreen Get 1 Free 
</t>
    </r>
    <r>
      <rPr>
        <b/>
        <sz val="12"/>
        <color rgb="FFFF0000"/>
        <rFont val="Aptos Display"/>
        <family val="2"/>
      </rPr>
      <t>ENTERTAINER</t>
    </r>
    <r>
      <rPr>
        <sz val="12"/>
        <rFont val="Aptos Display"/>
        <family val="2"/>
      </rPr>
      <t xml:space="preserve"> 
Tadawi Medical Center – Qatar Monthly Offers 2026 (Reusable, B1G1 Free)
Tooth Veneer
Hydration IV Drip Treatment
Tadawi Medical Center – Qatar 2026 (B1G1 Free, Valid until 30 Dec 2026)
Dental Consultation &amp; Deep Cleaning
HydraFacial
PhysioTherapy Session
</t>
    </r>
    <r>
      <rPr>
        <b/>
        <sz val="12"/>
        <color rgb="FFFF0000"/>
        <rFont val="Aptos Display"/>
        <family val="2"/>
      </rPr>
      <t xml:space="preserve">
MY BOOK
</t>
    </r>
    <r>
      <rPr>
        <sz val="12"/>
        <rFont val="Aptos Display"/>
        <family val="2"/>
      </rPr>
      <t xml:space="preserve">
Tadawi Medical Center – B1G1 Free
Laser HR Full Body
BTL Exilis
Tadawi Medical Center – Amount Discount
Save min 225 QAR on Spectra Carbon Treatment
Save min 90 QAR on Dental Treatments
Save min 150 QAR on Scaling Treatment
Save Min 150 QAR on Facial Treatment</t>
    </r>
  </si>
  <si>
    <t>Upper Lip Laser Glow at 54% off</t>
  </si>
  <si>
    <t>Multiple offers cannot be combined in the same transaction.
One voucher per person per visit.
Advance booking or reservation requirement. 
Cannot be applied to already discounted items.
Cannot be combined with employee discounts.</t>
  </si>
  <si>
    <t>Double Clean Dental Offer - Buy 1 Get 1</t>
  </si>
  <si>
    <t>Multiple offers cannot be combined in the same transaction.
Cannot be applied to already discounted items.  
Advance booking or reservation requirement.
Cannot be combined with employee discounts.</t>
  </si>
  <si>
    <t>55% Off on Laser Hair Removal - Female Face</t>
  </si>
  <si>
    <t>400</t>
  </si>
  <si>
    <t>Multiple offers cannot be combined in the same transaction.
One voucher per person per visit.  
Advance booking or reservation requirement. 
Cannot be applied to already discounted items.
Cannot be combined with employee discounts.</t>
  </si>
  <si>
    <t>Smooth Laser Underarm Hair Removal Deal – 55% OFF</t>
  </si>
  <si>
    <t>220</t>
  </si>
  <si>
    <t>Botox 3+3 Special</t>
  </si>
  <si>
    <t>180</t>
  </si>
  <si>
    <t>Multiple offers cannot be combined in the same transaction.
Advance booking or reservation requirement. 
Cannot be applied to already discounted items.
Cannot be combined with employee discounts.</t>
  </si>
  <si>
    <t>Two Tranches - Valid for 6 Weeks</t>
  </si>
  <si>
    <t>Iron IV Drip Treatment-Buy 1 Get 1 Free</t>
  </si>
  <si>
    <t>500</t>
  </si>
  <si>
    <t>Glow Boost Carbon Peel Deal - Buy 1 Get 1</t>
  </si>
  <si>
    <t>600</t>
  </si>
  <si>
    <t>Radiant Skin Facial Deal - Buy 1 Get 1</t>
  </si>
  <si>
    <t>HydraGlow Duo Deal - Buy 1 Get 1</t>
  </si>
  <si>
    <t>950</t>
  </si>
  <si>
    <t xml:space="preserve">Double Chin-BTL </t>
  </si>
  <si>
    <t>Multiple offers cannot be combined in the same transaction.
Cannot be combined with employee discounts.
Cannot be applied to already discounted items.</t>
  </si>
  <si>
    <t>Neck &amp; Décolleté Sculpt BTL Deal</t>
  </si>
  <si>
    <t>900</t>
  </si>
  <si>
    <t>Inbody Analysis Offer</t>
  </si>
  <si>
    <t>150</t>
  </si>
  <si>
    <t>Total Wellness Diet Package Deal</t>
  </si>
  <si>
    <t>750</t>
  </si>
  <si>
    <t>Vitamin C IV Infusion Offer</t>
  </si>
  <si>
    <t>1000</t>
  </si>
  <si>
    <t>Hydration IV Infusion Offer</t>
  </si>
  <si>
    <t>MultiVitamins IV Infusion Offer</t>
  </si>
  <si>
    <t>2000</t>
  </si>
  <si>
    <t>Dermapen Session Deal</t>
  </si>
  <si>
    <t>1200</t>
  </si>
  <si>
    <t>Male Laser Full Body Hair Removal Offer</t>
  </si>
  <si>
    <t>2800</t>
  </si>
  <si>
    <t>Female Laser Full Body Hair Removal @ 64% Off</t>
  </si>
  <si>
    <t>45% Off - Dental Implant</t>
  </si>
  <si>
    <t>90% Off - Braces Installation</t>
  </si>
  <si>
    <t>Dental Bleaching Zoom Offer</t>
  </si>
  <si>
    <t>DATE SUBMITTED FOR REVIEW: MAY 19, 2026</t>
  </si>
  <si>
    <t>New Offer</t>
  </si>
  <si>
    <t>Mayfair Hospitality - Gentlemen of London</t>
  </si>
  <si>
    <t>Buy Haircut and Shave - Get Ear &amp; Nose Wax Free</t>
  </si>
  <si>
    <t>Buy Haircut and Shave - Get 1 Free</t>
  </si>
  <si>
    <r>
      <rPr>
        <b/>
        <sz val="12"/>
        <color rgb="FFFF0000"/>
        <rFont val="Aptos Display"/>
        <family val="2"/>
      </rPr>
      <t>URBAN POINT</t>
    </r>
    <r>
      <rPr>
        <sz val="12"/>
        <rFont val="Aptos Display"/>
        <family val="2"/>
      </rPr>
      <t xml:space="preserve">
Buy 1 Pure Marine Purifying Deep Cleansing Facial Get 1 Free – Save QAR 300
Buy 1 Manicure &amp; Pedicure Get 1 Free – Save QAR 180
Buy 1 Wash, Haircut, Shave &amp; Styling Get 1 Free – Save QAR 215
Buy 1 Spa Pedicure &amp; Spa Manicure Get 1 Free – Save QAR 450
</t>
    </r>
    <r>
      <rPr>
        <b/>
        <sz val="12"/>
        <color rgb="FFFF0000"/>
        <rFont val="Aptos Display"/>
        <family val="2"/>
      </rPr>
      <t>ENTERTAINER</t>
    </r>
    <r>
      <rPr>
        <sz val="12"/>
        <rFont val="Aptos Display"/>
        <family val="2"/>
      </rPr>
      <t xml:space="preserve">
Qatar Monthly Offers 2026 (Reusable):
Buy 1 Pure Marine Purifying Deep Cleansing Facial Get 1 Free
Buy 1 Wash &amp; Haircut Get 1 Free
Qatar 2026 (Valid until 30 Dec 2026):
Buy 1 Wash, Haircut, Shave &amp; Styling Get 1 Free
Buy 1 Manicure &amp; Pedicure Get 1 Free
Buy 1 Wash &amp; Haircut Get 1 Free
</t>
    </r>
  </si>
  <si>
    <t>Buy Manicure &amp; Pedicure - Get a Foot Scrub for Free</t>
  </si>
  <si>
    <t>Buy Manicure &amp; Pedicure - Get 1 Free</t>
  </si>
  <si>
    <t>15% Discount on Total Bill</t>
  </si>
  <si>
    <t>Mayfair Hospitality - CAF Pearl</t>
  </si>
  <si>
    <t>Buy Any Coffee - Get a Cake for Free</t>
  </si>
  <si>
    <t>Offer Valid only for Dine-in (Not Valid for Delivery/Take away)
Multiple offers cannot be combined in the same transaction.
One voucher per person per visit.
Cannot be combined with employee discounts.
Cannot be applied to already discounted items.</t>
  </si>
  <si>
    <t>The complimentary item must be of equal or lesser value.</t>
  </si>
  <si>
    <r>
      <rPr>
        <b/>
        <sz val="12"/>
        <color rgb="FFFF0000"/>
        <rFont val="Aptos Display"/>
        <family val="2"/>
      </rPr>
      <t>ENTERTAINER</t>
    </r>
    <r>
      <rPr>
        <sz val="12"/>
        <rFont val="Aptos Display"/>
        <family val="2"/>
      </rPr>
      <t xml:space="preserve">
Buy 1 Main Course Get 1 Free</t>
    </r>
  </si>
  <si>
    <t>15% Off - Total Dining Bill</t>
  </si>
  <si>
    <t>Mayfair Hospitality - The Londoner</t>
  </si>
  <si>
    <t>Buy 1 Get - Maincourse</t>
  </si>
  <si>
    <t>Buy 1 Get 1 - Pizza Treat</t>
  </si>
  <si>
    <t>20% Off - Total Dining Bill</t>
  </si>
  <si>
    <t>Mayfair Hospitality - The Clubhouse</t>
  </si>
  <si>
    <t>Buy 1 Get - Maincourse Feast</t>
  </si>
  <si>
    <r>
      <rPr>
        <b/>
        <sz val="12"/>
        <color rgb="FFFF0000"/>
        <rFont val="Aptos Display"/>
        <family val="2"/>
      </rPr>
      <t>URBAN POINT</t>
    </r>
    <r>
      <rPr>
        <sz val="12"/>
        <rFont val="Aptos Display"/>
        <family val="2"/>
      </rPr>
      <t xml:space="preserve">
Buy 1 Main Course Get 1 Free – Save QAR 90
Buy 1 Main Course Get 1 Free – Save QAR 90
Buy 1 Main Course Get 1 Free – Save QAR 90
</t>
    </r>
    <r>
      <rPr>
        <b/>
        <sz val="12"/>
        <color rgb="FFFF0000"/>
        <rFont val="Aptos Display"/>
        <family val="2"/>
      </rPr>
      <t>ENTERTAINER</t>
    </r>
    <r>
      <rPr>
        <sz val="12"/>
        <rFont val="Aptos Display"/>
        <family val="2"/>
      </rPr>
      <t xml:space="preserve">
Qatar Monthly Offers 2026 (Reusable):
Buy 1 Breakfast Menu Item Get 1 Free
Qatar 2026 (Valid until 30 Dec 2026):
Buy 1 Main Course Get 1 Free
Buy 1 Main Course Get 1 Free
Buy 1 Main Course Get 1 Free
</t>
    </r>
    <r>
      <rPr>
        <b/>
        <sz val="12"/>
        <color rgb="FFFF0000"/>
        <rFont val="Aptos Display"/>
        <family val="2"/>
      </rPr>
      <t>MY BOOK</t>
    </r>
    <r>
      <rPr>
        <sz val="12"/>
        <rFont val="Aptos Display"/>
        <family val="2"/>
      </rPr>
      <t xml:space="preserve">
B1G1 Free:
Main Course
Appetizer
</t>
    </r>
  </si>
  <si>
    <t>Buy 1 Get 1 - Pizza Deal</t>
  </si>
  <si>
    <t>DATE SUBMITTED FOR REVIEW: MAY 31, 2026</t>
  </si>
  <si>
    <t>RADISSON BLU - Cabana Club</t>
  </si>
  <si>
    <t>Single 1 Month All Access Pass - 25% Off</t>
  </si>
  <si>
    <r>
      <rPr>
        <b/>
        <sz val="12"/>
        <color rgb="FFFF0000"/>
        <rFont val="Aptos Display"/>
        <family val="2"/>
      </rPr>
      <t>URBAN POINT</t>
    </r>
    <r>
      <rPr>
        <sz val="12"/>
        <rFont val="Aptos Display"/>
        <family val="2"/>
      </rPr>
      <t xml:space="preserve">
Pool Access
25% Off on Weekday Kid Pool Access – SAVE QAR 19
25% Off on Weekday Adult Pool Access – SAVE QAR 25
25% Off on Weekend Adult Pool Access – SAVE QAR 38
25% Off on Weekend Kid Pool Access – SAVE QAR 25
Buy 1 Adult Pool Pass with Breakfast Buffet or Lunch Buffet Get 1 Free – SAVE QAR 200
Buy 1 Child Pool Pass with Breakfast Buffet or Lunch Buffet Get 1 Free – SAVE QAR 125
Spa &amp; Massage
Buy 1 90min Body Scrub &amp; Swedish Massage Get 1 Free 
Buy 1 90min Body Scrub &amp; Deep Tissue Massage Get 1 Free 
Buy 1 120min Body Scrub &amp; Aroma Massage Get 1 Free
Buy 1 120min Body Scrub; Massage &amp; Refresh Facial Get 1 Free
Buy 1 90min Deep Tissue &amp; Refresh Facial Get 1 Free 
Gym &amp; Fitness
25% Off the 1 Month Single Gym Membership – SAVE QAR 250
25% Off on 1 Month Couple Membership – SAVE QAR 375
25% Off on 1 Month Family Membership – SAVE QAR 500
Buy 1 Session of Personal Gym Training Get 1 Free
Buy 1 Session of Swimming Class Get 1 Free 
</t>
    </r>
    <r>
      <rPr>
        <b/>
        <sz val="12"/>
        <rFont val="Aptos Display"/>
        <family val="2"/>
      </rPr>
      <t xml:space="preserve">
</t>
    </r>
    <r>
      <rPr>
        <b/>
        <sz val="12"/>
        <color rgb="FFFF0000"/>
        <rFont val="Aptos Display"/>
        <family val="2"/>
      </rPr>
      <t xml:space="preserve">ENTERTAINER
</t>
    </r>
    <r>
      <rPr>
        <b/>
        <sz val="12"/>
        <rFont val="Aptos Display"/>
        <family val="2"/>
      </rPr>
      <t xml:space="preserve">
</t>
    </r>
    <r>
      <rPr>
        <sz val="12"/>
        <rFont val="Aptos Display"/>
        <family val="2"/>
      </rPr>
      <t xml:space="preserve">Qatar Monthly Offers 2026 (Reusable – Buy 1 Get 1 Free)
Weekend Pool Pass
Pool Pass
Weekday Pool Pass
Qatar 2026 (Buy 1 Get 1 Free – Valid until 30 Dec 2026)
Swimming Class
90min Aroma Massage &amp; Scrub
90min Deep Tissue Massage &amp; Scrub
Personal Training Session
Personal Training Session
90min Swedish Massage &amp; Scrub
</t>
    </r>
    <r>
      <rPr>
        <b/>
        <sz val="12"/>
        <rFont val="Aptos Display"/>
        <family val="2"/>
      </rPr>
      <t xml:space="preserve">
</t>
    </r>
    <r>
      <rPr>
        <b/>
        <sz val="12"/>
        <color rgb="FFFF0000"/>
        <rFont val="Aptos Display"/>
        <family val="2"/>
      </rPr>
      <t xml:space="preserve">MY BOOK
</t>
    </r>
    <r>
      <rPr>
        <sz val="12"/>
        <rFont val="Aptos Display"/>
        <family val="2"/>
      </rPr>
      <t>Discount</t>
    </r>
    <r>
      <rPr>
        <b/>
        <sz val="12"/>
        <rFont val="Aptos Display"/>
        <family val="2"/>
      </rPr>
      <t xml:space="preserve">
</t>
    </r>
    <r>
      <rPr>
        <sz val="12"/>
        <rFont val="Aptos Display"/>
        <family val="2"/>
      </rPr>
      <t>25% off on Weekday Pool Access – Adult
25% off on Weekday Pool Access – Kid
25% off on Weekend Pool Access – Adult
Weekend Pool Access – Kid
25% off on 1-Month Single Membership
25% off on 1-Month Couple Membership
25% off on 1-Month Family Membership
B1G1 Free
Body Scrub, Massage &amp; Refresh Facial (120 min)
Deep Tissue &amp; Refresh Facial (90 min)
Pool Access with Buffet Breakfast or Lunch (Adult)
Pool Access with Buffet Breakfast or Lunch (Kids)
90 Mins. Deep Tissue Massage &amp; Scrub
120 Min. Aroma Massage &amp; Scrub
90 Mins. Swedish Massage and Scrub
Personal Gym Training (1 Session)
Swimming Class (1 Session)</t>
    </r>
  </si>
  <si>
    <t>Couples 1 Month All Access Pass - 25% Off</t>
  </si>
  <si>
    <t>Weekday Pool Access Adults - 30% Off</t>
  </si>
  <si>
    <t>Available on - Sunday, Monday, Tuesday, Wednesday, Thursday</t>
  </si>
  <si>
    <t>Weekend Pool Access Adults - 30% Off</t>
  </si>
  <si>
    <t>Available on - Friday, Saturday</t>
  </si>
  <si>
    <t>90 Mins Deep Tissue &amp; Refresh Facial - Buy 1 Get 1</t>
  </si>
  <si>
    <t>350 QAR</t>
  </si>
  <si>
    <t>Two Tranches - Valid for 4 Weeks</t>
  </si>
  <si>
    <t>Family 1 Month All Access Pass- 25% Off</t>
  </si>
  <si>
    <t>120 Mins Body Scrub,Massage &amp; Refresh Facial - Buy 1 Get 1</t>
  </si>
  <si>
    <t>Kids Weekday Pool Access  - 30% Off</t>
  </si>
  <si>
    <t>Kids Weekend Pool Access - 30% Off</t>
  </si>
  <si>
    <t>1 Month Personal Gym Training at 25% Off</t>
  </si>
  <si>
    <t>For 12 Sessions</t>
  </si>
  <si>
    <t>90 Min Body Scrub &amp; Deep Tissue Massage - Buy 1 Get 1</t>
  </si>
  <si>
    <t>365 QAR</t>
  </si>
  <si>
    <t>Multiple offers cannot be combined in the same transaction. 
Advance booking or reservation requirement. 
Cannot be applied to already discounted items.
Cannot be combined with employee discounts.</t>
  </si>
  <si>
    <t>Two Tranches - Valid for 4 Weeks
Available Everyday</t>
  </si>
  <si>
    <t>90 Min Body Scrub &amp; Swedish Massage - Buy 1 Get 1</t>
  </si>
  <si>
    <t>340 QAR</t>
  </si>
  <si>
    <t>120 Mins Body Scrub &amp; Aroma Massage</t>
  </si>
  <si>
    <t>420 QAR</t>
  </si>
  <si>
    <t xml:space="preserve">Multiple offers cannot be combined in the same transaction. 
Cannot be applied to already discounted items.
</t>
  </si>
  <si>
    <t>1 Session Personal Gym Training - Buy 1 Get 1</t>
  </si>
  <si>
    <t xml:space="preserve">1 Session Swimming Class - Buy 1 Get 1 </t>
  </si>
  <si>
    <t>1 Month Swimming Classes Package at 25% Off</t>
  </si>
  <si>
    <t>1120 QAR</t>
  </si>
  <si>
    <t>90 Mins Aroma Message At 30% Off</t>
  </si>
  <si>
    <t>280 QAR</t>
  </si>
  <si>
    <t>90 Mins Hot Stone Message At 30% Off</t>
  </si>
  <si>
    <t>55 Mins Deep Massage at 30% off</t>
  </si>
  <si>
    <t>215 QAR</t>
  </si>
  <si>
    <t>HILTON DOHA - Mawasem</t>
  </si>
  <si>
    <t xml:space="preserve">Breakfast Buffet </t>
  </si>
  <si>
    <t>Offer Valid only for Dine-in (Not valid on Delivery / Take away). 
Multiple offers cannot be combined in the same transaction.
One voucher per person per visit.
Offer Valid only for Delivery / Take away.
Cannot be combined with employee discounts.
Cannot be applied to already discounted items.
Advance booking or reservation requirement.</t>
  </si>
  <si>
    <t>Available Everyday
From 6:30AM - 11:00AM</t>
  </si>
  <si>
    <r>
      <rPr>
        <b/>
        <sz val="12"/>
        <color rgb="FFFF0000"/>
        <rFont val="Aptos Display"/>
        <family val="2"/>
      </rPr>
      <t>URBAN POINT</t>
    </r>
    <r>
      <rPr>
        <sz val="12"/>
        <rFont val="Aptos Display"/>
        <family val="2"/>
      </rPr>
      <t xml:space="preserve">
Buy 1 Breakfast Buffet Get 1 Free – SAVE QAR 125
Buy 1 Friday Brunch Buffet Get 1 Free – SAVE QAR 300
Buy 1 Breakfast Buffet Get 1 Free – SAVE QAR 125
Buy 1 Friday Brunch Buffet Get 1 Free – SAVE QAR 300
Buy 1 Thursday Seafood Night Buffet Get 1 Free – SAVE QAR 300
Buy 1 Friday International Dinner Buffet Get 1 Free – SAVE QAR 200
</t>
    </r>
    <r>
      <rPr>
        <b/>
        <sz val="12"/>
        <color rgb="FFFF0000"/>
        <rFont val="Aptos Display"/>
        <family val="2"/>
      </rPr>
      <t>MY BOOK</t>
    </r>
    <r>
      <rPr>
        <sz val="12"/>
        <rFont val="Aptos Display"/>
        <family val="2"/>
      </rPr>
      <t xml:space="preserve">
Mawasem – Hilton Doha (B1G1 Free)
Breakfast Buffet
Friday Family Brunch Buffet (Soft Beverage)
Friday Family Brunch Buffet (Enhanced Beverage)
Seafood Night Buffet (Friday)
</t>
    </r>
    <r>
      <rPr>
        <b/>
        <sz val="12"/>
        <color rgb="FFFF0000"/>
        <rFont val="Aptos Display"/>
        <family val="2"/>
      </rPr>
      <t>ENTERTAINER</t>
    </r>
    <r>
      <rPr>
        <sz val="12"/>
        <rFont val="Aptos Display"/>
        <family val="2"/>
      </rPr>
      <t xml:space="preserve">
Mawasem – Qatar Monthly Offers 2026 
(Reusable, B1G1 Free)
Friday Family Brunch
Friday International Dinner Buffet
Eid Al Adha Lunch Buffet
Thursday Seafood Night
Mawasem – Qatar 2026 
(B1G1 Free, Valid until 30 Dec 2026)
Breakfast Buffet
Breakfast Buffet
Breakfast Buffet</t>
    </r>
  </si>
  <si>
    <t>This is okay. But can they add Saturday Brunch??  BOGO</t>
  </si>
  <si>
    <t xml:space="preserve">International Dinner Buffet </t>
  </si>
  <si>
    <t>Available Everyday
From 7:00PM - 10:30PM</t>
  </si>
  <si>
    <t xml:space="preserve">Seafood Night Dinner Buffet </t>
  </si>
  <si>
    <t>Offer Valid only for Dine-in (Not valid on Delivery / Take away).
One voucher per person per visit.
One voucher per table/group/bill.
Cannot be applied to already discounted items.
Cannot be combined with employee discounts.</t>
  </si>
  <si>
    <t>Available Every Thursday
From - 7:00PM - 10:30 PM</t>
  </si>
  <si>
    <t>HILTON DOHA - Trader Vic's Doha</t>
  </si>
  <si>
    <t xml:space="preserve">Soft Package </t>
  </si>
  <si>
    <t>325 QAR</t>
  </si>
  <si>
    <t>Available Every Friday
From 1:00PM - 4:00PM</t>
  </si>
  <si>
    <r>
      <rPr>
        <b/>
        <sz val="12"/>
        <color rgb="FFFF0000"/>
        <rFont val="Aptos Display"/>
        <family val="2"/>
      </rPr>
      <t xml:space="preserve">URBAN POINT
</t>
    </r>
    <r>
      <rPr>
        <sz val="12"/>
        <color rgb="FF000000"/>
        <rFont val="Aptos Display"/>
        <family val="2"/>
      </rPr>
      <t xml:space="preserve">
Buy 1 Trader Vics Favourite Get 1 Free – SAVE QAR 200
Buy 1 Signature Curries Get 1 Free – SAVE QAR 120
Buy 1 Wood Fried Oven Item Get 1 Free – SAVE QAR 170
Buy 1 Friday or Saturday Brunch Get 1 Free – SAVE QAR 325
Buy 1 Friday or Saturday Brunch Get 1 Free – SAVE QAR 325
</t>
    </r>
    <r>
      <rPr>
        <b/>
        <sz val="12"/>
        <color rgb="FFFF0000"/>
        <rFont val="Aptos Display"/>
        <family val="2"/>
      </rPr>
      <t xml:space="preserve">MY BOOK
</t>
    </r>
    <r>
      <rPr>
        <sz val="12"/>
        <color rgb="FF000000"/>
        <rFont val="Aptos Display"/>
        <family val="2"/>
      </rPr>
      <t xml:space="preserve">
Trader Vic's – Hilton Doha (B1G1 Free)
Main Menu Item
Friday Brunch (Soft Beverage)
Friday Brunch (Enhance Beverage)
Saturday Late Brunch (Soft Beverage)
Saturday Late Brunch (Enhance Beverage)
Saturday Late Brunch
Friday Brunch (Premium Package)
Grand Spring Brunch – Regular Package with Enhanced Beverage
Grand Spring Brunch – Premium Package with Sparkling Grapes
</t>
    </r>
    <r>
      <rPr>
        <b/>
        <sz val="12"/>
        <color rgb="FFFF0000"/>
        <rFont val="Aptos Display"/>
        <family val="2"/>
      </rPr>
      <t xml:space="preserve">ENTERTAINER
</t>
    </r>
    <r>
      <rPr>
        <sz val="12"/>
        <color rgb="FF000000"/>
        <rFont val="Aptos Display"/>
        <family val="2"/>
      </rPr>
      <t xml:space="preserve">
Trader Vic's Doha – Qatar Monthly Offers 2026 (Reusable, B1G1 Free)
Friday Luau Brunch
Friday Grand Spring Eid Special Brunch
Friday Grand Spring Eid Special Brunch
Friday Grand Spring Eid Special Brunch
Saturday Luau Brunch
Trader Vic's Doha – Qatar 2026 (B1G1 Free, Valid until 30 Dec 2026)
Main Course
Main Course
Main Course</t>
    </r>
  </si>
  <si>
    <t xml:space="preserve">Regular Package With Enhanced Beverage </t>
  </si>
  <si>
    <t>Premuim Package with Sparkling Grapes</t>
  </si>
  <si>
    <t>395 QAR</t>
  </si>
  <si>
    <t xml:space="preserve">Main Course </t>
  </si>
  <si>
    <t xml:space="preserve">One voucher per person per visit.
One voucher per table/group/bill.
Cannot be applied to already discounted items.
Cannot be combined with employee discounts.
</t>
  </si>
  <si>
    <t>Available Everyday
From 12:00PM - 2:00AM</t>
  </si>
  <si>
    <t>Existing Merchant</t>
  </si>
  <si>
    <t>Desert Falls Water &amp; Adventure Park</t>
  </si>
  <si>
    <t>Buy 1 Get 1 - Sea Caves Water Park Access (Adult)</t>
  </si>
  <si>
    <t>Multiple offers cannot be combined in the same transaction.
One voucher per person per visit.
Offer is not applicable on pubic holidays &amp; special events.
Cannot be combined with employee discounts.
Cannot be applied to already discounted items.</t>
  </si>
  <si>
    <r>
      <t xml:space="preserve">Offer is valid from June 1 2026 until August 2026.
Offer excludes access to other attractions such canyoning cliff jumping, laser tag, go karting and scuba diving.
Offer not available during weekend, EID public holidays and black out date.
Desert Falls Water &amp; Adventure Park Terms &amp; Conditions Apply.
</t>
    </r>
    <r>
      <rPr>
        <i/>
        <sz val="12"/>
        <color rgb="FFFF0000"/>
        <rFont val="Aptos Display"/>
        <family val="2"/>
      </rPr>
      <t>These are expired offers for renewal.</t>
    </r>
  </si>
  <si>
    <r>
      <rPr>
        <b/>
        <sz val="12"/>
        <color rgb="FFFF0000"/>
        <rFont val="Aptos Display"/>
        <family val="2"/>
      </rPr>
      <t>URBAN POINT</t>
    </r>
    <r>
      <rPr>
        <sz val="12"/>
        <rFont val="Aptos Display"/>
        <family val="2"/>
      </rPr>
      <t xml:space="preserve">
Buy 1 Adult Waterpark Access Get 1 Free – Save QAR 250
Buy 1 Junior Waterpark Access Get 1 Free – Save QAR 195
</t>
    </r>
    <r>
      <rPr>
        <b/>
        <sz val="12"/>
        <color rgb="FFFF0000"/>
        <rFont val="Aptos Display"/>
        <family val="2"/>
      </rPr>
      <t>ENTERTAINER</t>
    </r>
    <r>
      <rPr>
        <sz val="12"/>
        <rFont val="Aptos Display"/>
        <family val="2"/>
      </rPr>
      <t xml:space="preserve">
Qatar 2026 (Valid until 30 Dec 2026):
Buy 1 Admission Get 1 Free
Buy 1 Admission Get 1 Free
Buy 1 Admission Get 1 Free
</t>
    </r>
    <r>
      <rPr>
        <b/>
        <sz val="12"/>
        <color rgb="FFFF0000"/>
        <rFont val="Aptos Display"/>
        <family val="2"/>
      </rPr>
      <t xml:space="preserve">MY BOOK
</t>
    </r>
    <r>
      <rPr>
        <sz val="12"/>
        <rFont val="Aptos Display"/>
        <family val="2"/>
      </rPr>
      <t>B1G1 Free:
Waterpark Access (Adult) – 2 Persons
Waterpark Access (Junior) – 2 Persons</t>
    </r>
  </si>
  <si>
    <t>So the offer is not in the main entrance of the park? only one of the attractions in the park?  we need same value as entertainer</t>
  </si>
  <si>
    <t xml:space="preserve">the offer we gave similar to the entertainer , its bogo on general admission of sea caves waterpark  all rides and slide the waterpark are included , not to mention as well as the beach area </t>
  </si>
  <si>
    <t>Buy 1 Get 1 - Sea Caves Water Park Access (Junior)</t>
  </si>
  <si>
    <t>195 QAR</t>
  </si>
  <si>
    <t>the offer we gave similar to the entertainer , its bogo on general admission of sea caves waterpark all rides and slide the waterpark are included , not to mention as well as the beach area</t>
  </si>
  <si>
    <t>Meryal Water Park Qetaifan Island</t>
  </si>
  <si>
    <t>Unlimited Season Pass 2026</t>
  </si>
  <si>
    <t>2,100 QAR</t>
  </si>
  <si>
    <t>1,499 QAR</t>
  </si>
  <si>
    <t>Annual Pass offer on Qatar Living Deals! Annual Pass: QAR 1,499 only, Regular Ticket Price: QAR 350 per entry for one day
Kindly note taking food and beverages into Meryal Waterpark is strictly prohibited. 
You will be asked to dispose of any food and beverages that you are carrying upon entry to the park. 
• If any of your party has special dietary requirements, please bring these to our attention at the time of booking. 
• Please note that the daily operational hours are from 10 AM to 06 PM only. (Closed on Mondays). The timings are subject to change and we advise the guest to check with our customer support to confirm the timings. 
• Please note that our waterpark is now cashless; only credit/debit cards and mobile payments are accepted inside the park. 
• Appropriate swimwear is required when using the facilities within Meryal Waterpark and the beach – thongs, transparent bathing suits, underwear, denim, and very loose clothing such as abaya, dishdash, or similar are not permitted in the water. 
• All other charges such as additional admissions, lockers, towels, food, and beverages are not included in the ticket price. 
• Pleases carry Valid ID proof like a Passport, Qatari ID, or Driving License. 
• Children aged 3 years and below 1.2 meters in height are considered Juniors. 
• Guests above 1.2 meters in height are considered adults. 
• Children aged 2.99 years and below are complimentary. 
• All guests below 14 years old must be accompanied by an adult. 
The price of QAR 2,100 is calculated based on a minimum average of one visit per month. However, guests are entitled to enjoy unlimited access to the waterpark during operational days throughout the validity of the pass.</t>
  </si>
  <si>
    <r>
      <rPr>
        <b/>
        <sz val="12"/>
        <color rgb="FFFF0000"/>
        <rFont val="Aptos Display"/>
        <family val="2"/>
      </rPr>
      <t xml:space="preserve">URBAN POINT
</t>
    </r>
    <r>
      <rPr>
        <sz val="12"/>
        <rFont val="Aptos Display"/>
        <family val="2"/>
      </rPr>
      <t xml:space="preserve">
Buy Water Park Ticket Get 1 Free - Save 350 QAR
</t>
    </r>
    <r>
      <rPr>
        <b/>
        <sz val="12"/>
        <color rgb="FFFF0000"/>
        <rFont val="Aptos Display"/>
        <family val="2"/>
      </rPr>
      <t xml:space="preserve">ENTERTAINER
</t>
    </r>
    <r>
      <rPr>
        <sz val="12"/>
        <rFont val="Aptos Display"/>
        <family val="2"/>
      </rPr>
      <t xml:space="preserve">Buy 1 Get 1 Admission
</t>
    </r>
    <r>
      <rPr>
        <b/>
        <sz val="12"/>
        <color rgb="FFFF0000"/>
        <rFont val="Aptos Display"/>
        <family val="2"/>
      </rPr>
      <t xml:space="preserve">MY BOOK
</t>
    </r>
    <r>
      <rPr>
        <sz val="12"/>
        <rFont val="Aptos Display"/>
        <family val="2"/>
      </rPr>
      <t>Buy 1 Get 1 Water Park Ticket</t>
    </r>
  </si>
  <si>
    <t>They offer others BOGO. Ours should be same or better. 2nd feedback: please give them 1 carousel post, no need to make photo shoot... they can give photo.  I need BOGO. Otherwise, people will use  entertainer as its BOGO...</t>
  </si>
  <si>
    <t>They confirmed they will continue with the current offer of QAR 230 for now and would like to evaluate the campaign performance during the trial phase before considering a Buy 1 Get 1 offer. They mentioned that the B1G1 opportunity could be reviewed in the future</t>
  </si>
  <si>
    <t>Meryal Waterpark Admission Ticket</t>
  </si>
  <si>
    <t>230 QAR</t>
  </si>
  <si>
    <t>Qatar Living Deals! Special Offer Price: QAR 230 only Regular Gate Price: QAR 350 
Kindly note taking food and beverages into Meryal Waterpark is strictly prohibited. 
You will be asked to dispose of any food and beverages that you are carrying upon entry to the park. 
• If any of your party has special dietary requirements, please bring these to our attention at the time of booking. 
• Please note that the daily operational hours are from 10 AM to 06 PM only. (Closed on Mondays). The timings are subject to change and we advise the guest to check with our customer support to confirm the timings. 
• Please note that our waterpark is now cashless; only credit/debit cards and mobile payments are accepted inside the park. 
• Appropriate swimwear is required when using the facilities within Meryal Waterpark and the beach – thongs, transparent bathing suits, underwear, denim, and very loose clothing such as abaya, dishdash, or similar are not permitted in the water. 
• All other charges such as additional admissions, lockers, towels, food, and beverages are not included in the ticket price. 
• Pleases carry Valid ID proof like a Passport, Qatari ID, or Driving License. 
• Children aged 3 years and below 1.2 meters in height are considered Juniors. 
• Guests above 1.2 meters in height are considered adults. 
• Children aged 2.99 years and below are complimentary. 
• All guests below 14 years old must be accompanied by an adult. 
The price of QAR 2,100 is calculated based on a minimum average of one visit per month. However, guests are entitled to enjoy unlimited access to the waterpark during operational days throughout the validity of the pass.</t>
  </si>
  <si>
    <t>They offer BOGO in other platform. Should be same with us.  what they offernow is 33%.. very insecure compared to other platforms. Let them offer yealry than monthly.. they can limit number of redemption</t>
  </si>
  <si>
    <r>
      <rPr>
        <b/>
        <sz val="12"/>
        <color rgb="FFFF0000"/>
        <rFont val="Aptos Display"/>
        <family val="2"/>
      </rPr>
      <t>URBAN POINT</t>
    </r>
    <r>
      <rPr>
        <sz val="12"/>
        <rFont val="Aptos Display"/>
        <family val="2"/>
      </rPr>
      <t xml:space="preserve">
Buy 1 Main Course Get 1 Free – Save QAR 30
Buy 1 Chaat Get 1 Free – Save QAR 20
Buy 1 Main Course Get 1 Dessert and Beverage Free – Save QAR 20</t>
    </r>
  </si>
  <si>
    <t>Make it BOGO</t>
  </si>
  <si>
    <t>Make it BOGO -  foot scrub not that value adding. they can add this but I need BOGO from their salon</t>
  </si>
  <si>
    <t>50% Off - Parasailing + Kayaking  Offer</t>
  </si>
  <si>
    <r>
      <rPr>
        <b/>
        <sz val="12"/>
        <color rgb="FF00B050"/>
        <rFont val="Aptos Display"/>
        <family val="2"/>
      </rPr>
      <t xml:space="preserve">50% Discount Accepted by the merchant </t>
    </r>
    <r>
      <rPr>
        <sz val="12"/>
        <color rgb="FF1F497D"/>
        <rFont val="Aptos Display"/>
        <family val="2"/>
      </rPr>
      <t xml:space="preserve">Originally listed as two separate offers: a 20% Parasailing discount and a Parasailing + Free Kayaking bundle. Both were renegotiated and merged into one stronger offer. Customer receives 50% off a Parasailing session + Kayaking session included in the same booking. Discount increased from 20% to 50% following CEO review — competitor platforms offer B1G1 on similar activities. </t>
    </r>
  </si>
  <si>
    <t>20% Discount - Mangrove Kayaking Offer</t>
  </si>
  <si>
    <t>240 QAR</t>
  </si>
  <si>
    <r>
      <rPr>
        <b/>
        <sz val="12"/>
        <color rgb="FFFF0000"/>
        <rFont val="Aptos Display"/>
        <family val="2"/>
      </rPr>
      <t>Rejected</t>
    </r>
    <r>
      <rPr>
        <sz val="12"/>
        <color rgb="FF1F497D"/>
        <rFont val="Aptos Display"/>
        <family val="2"/>
      </rPr>
      <t>. Merchant felt the cost of offering 50% was too high.</t>
    </r>
  </si>
  <si>
    <t>ATV Ride – 35% Off Adventure</t>
  </si>
  <si>
    <r>
      <rPr>
        <b/>
        <sz val="12"/>
        <color rgb="FF00B050"/>
        <rFont val="Aptos Display"/>
        <family val="2"/>
      </rPr>
      <t xml:space="preserve">Updated from 20% to 35%. </t>
    </r>
    <r>
      <rPr>
        <sz val="12"/>
        <color rgb="FF1F497D"/>
        <rFont val="Aptos Display"/>
        <family val="2"/>
      </rPr>
      <t>Competitor Urban Point offers B1G1; 35% is competitive. Client confirmed.</t>
    </r>
  </si>
  <si>
    <t>Enjoy 50% Off – Half-Day Desert Safari</t>
  </si>
  <si>
    <t>50% Discount Accepted by the merchant</t>
  </si>
  <si>
    <t>Torba Farm</t>
  </si>
  <si>
    <t>Farm Fun for Less – Adult Entry Now at QAR 50 (Save 33%) (WAS 75 QAR)</t>
  </si>
  <si>
    <t>Travel &amp; Leisure</t>
  </si>
  <si>
    <t>One voucher per person per visit.
Offer is not applicable on public holidays &amp; all special events.
Advance booking or reservation requirement.
Cannot be applied to already discounted items.
Cannot be combined with employee discounts.</t>
  </si>
  <si>
    <t>Discounted entry fee Includes the farm tour, kids’ activities, and feeding the animals.
Valid on Sunday, Monday, Tuesday, Wednesday, Thursday &amp; Saturday (Friday not included)</t>
  </si>
  <si>
    <t>33% is quite odd. If they can make it 50 % as well same with kids</t>
  </si>
  <si>
    <t>Client said this is the last price they can offer. They will add more offers later on.</t>
  </si>
  <si>
    <t>Symphonys Artisanal Bakery</t>
  </si>
  <si>
    <t>Buy 1 Get 1 - Pasta Dishes</t>
  </si>
  <si>
    <t>Multiple offers cannot be combined in the same transaction.
Cannot be applied to already discounted items
Cannot be combined with employee discount</t>
  </si>
  <si>
    <t>Available Everyday
Higher value item will be billed All rules like previous Offers.</t>
  </si>
  <si>
    <t>Buy 1 Get 1 - Sandwiches</t>
  </si>
  <si>
    <t>Enjoy 20% Off Your Total Bill!</t>
  </si>
  <si>
    <t>Multiple offers cannot be combined in the same transaction
One voucher per table/group/bill
One voucher per person per visit
Cannot be applied to already discounted items
Cannot be combined with employee discount</t>
  </si>
  <si>
    <t>Available Everyday</t>
  </si>
  <si>
    <t>Please request 25% - as most of corporate discount is 25%</t>
  </si>
  <si>
    <t>Its the max they can do at the moment.Got additional  2 new buy 1 get 1 offers instead</t>
  </si>
  <si>
    <t>Maison De Sushi</t>
  </si>
  <si>
    <t xml:space="preserve">Wednesday Deal: Buy 1 Get 1 - Rainbow Jumbo Maki </t>
  </si>
  <si>
    <t>116 QAR</t>
  </si>
  <si>
    <t>Offer Valid only for Dine-in (Not Valid for Delivery/Take away)
Multiple offers cannot be combined in the same transaction
One voucher per table/group/bill
Offer is not applicable on public holidays &amp; all special events
Cannot be applied to already discounted items
Cannot be combined with employee discount</t>
  </si>
  <si>
    <t>One offer can be used by two people, up to a maximum of 3offers can be redeemed  for a group of 8 people or more. (See the table) 
No. of People in Table    - 2 3 4 5 6 7 8 
No. of Claims Can Use  - 1 1 2 2 3 3 3 
-The Least expensive item (as listed on the offer) will be deducted.  
-Offers are not redeemed for delivery or takeaway. 
-Offers excluding the Weekends and Public Holidays as announced by Qatari government. 
Available on Wednesdays</t>
  </si>
  <si>
    <t>They should offer everyday.  They offer everyday in Urban Point</t>
  </si>
  <si>
    <t>These are premium items and part of a planned rotation, with a different item offered each day to encourage customers to return and explore the menu. While also having offers that are available everyday</t>
  </si>
  <si>
    <t>Wednesday Feast: Buy 1 Get 1 - American Style Steak</t>
  </si>
  <si>
    <t>69 QAR</t>
  </si>
  <si>
    <t>Offer Valid only for Dine-in (Not Valid for Delivery/Take away)
Multiple offers cannot be combined in the same transaction
One voucher per table/group/bill
Offer is not applicable on public holidays &amp; all special events
Cannot be applied to already discounted items
Cannot be combined with employee discoun</t>
  </si>
  <si>
    <t>Happy Boat Treat - Sushi Boat + Complimentary Ice Cream</t>
  </si>
  <si>
    <t>90 QAR</t>
  </si>
  <si>
    <t>Offer Valid only for Dine-in (Not Valid for Delivery/Take away)
Multiple offers cannot be combined in the same transaction
One voucher per table/group/bill
Cannot be applied to already discounted items
Cannot be combined with employee discount</t>
  </si>
  <si>
    <t>One offer can be used by two people, up to a maximum of 3offers can be redeemed  for a group of 8 people or more. (See the table) 
No. of People in Table    - 2 3 4 5 6 7 8 
No. of Claims Can Use  - 1 1 2 2 3 3 3 
-The Least expensive item (as listed on the offer) will be deducted.  
-Offers are not redeemed for delivery or takeaway. 
-Offers excluding the Weekends and Public Holidays as announced by Qatari government. 
Available Everyday</t>
  </si>
  <si>
    <t>Rejected</t>
  </si>
  <si>
    <t>Ice cream as complimentary?? I dont think people will eat for free ice cream. Icre cream in IKEA is 1 rial only..... Eithe rthey make this BOGO... or dont offer this. REJECT</t>
  </si>
  <si>
    <t>The meal is intended for a single person and the ice cream is for 18QAR individually.Your call.</t>
  </si>
  <si>
    <t>Maison De Beaute</t>
  </si>
  <si>
    <t>Special Massage Deal</t>
  </si>
  <si>
    <t>Beauty Salons</t>
  </si>
  <si>
    <t>One voucher per person per visit
Cannot be applied to already discounted items
Cannot be combined with employee discount</t>
  </si>
  <si>
    <t>Make it atleast 25%</t>
  </si>
  <si>
    <t>This is meant to be a voucher offer but and mistakenly selected discount. Corrections are applied.</t>
  </si>
  <si>
    <t>Majlis Sushi Experience - Mjlis Sushi + Medium Crab Salad + 2 Mojitos</t>
  </si>
  <si>
    <t>259 QAR</t>
  </si>
  <si>
    <t>Buy 1 Get 1 - Berlin/Milan Sushi Special (3+3 Pieces)</t>
  </si>
  <si>
    <t>Desi Dhaba</t>
  </si>
  <si>
    <t>Lunch Time Offer: Buy 1 Get 1 - Rice/Biryani</t>
  </si>
  <si>
    <t>Offer Valid only for Dine-in (Not Valid for Delivery/Take away)
Cannot be applied to already discounted items.
Cannot be combined with employee discounts.</t>
  </si>
  <si>
    <t>Available during lunch hours only
Available from 11:30am - 3pm 
The Least expensive item (as listed on the offer) will be deducted.
Available in all branches
Available Everyday</t>
  </si>
  <si>
    <t>Dinner: Buy 1 Get 1 - Maincourse Feast</t>
  </si>
  <si>
    <t>Available from 3pm - Closing 
The Least expensive item (as listed on the offer) will be deducted.
Available Everyday</t>
  </si>
  <si>
    <t>53% Off - Permanent Blow Dry Treatment</t>
  </si>
  <si>
    <t>755 QAR</t>
  </si>
  <si>
    <t>Advance booking or reservation requirement.
Cannot be combined with employee discounts.
Cannot be applied to already discounted items.</t>
  </si>
  <si>
    <t>Advance Booking Mandatory Call and ask before treatment and beautician availability 
All Days available Except Mondays</t>
  </si>
  <si>
    <t>28% Off - Wednesday Deal - Lash &amp; Unwind</t>
  </si>
  <si>
    <t>Cannot be combined with employee discounts.
Advance booking or reservation requirement.
Cannot be applied to already discounted items.</t>
  </si>
  <si>
    <t>Advance Booking Mandatory Call and ask before treatment and beautician availability
Available only on Wednesdays</t>
  </si>
  <si>
    <t>Bestie Deal: Buy 1 Get 1 Gel Manicure</t>
  </si>
  <si>
    <t>Advance Booking Mandatory Call and ask before treatment and beautician availability
Available Everyday</t>
  </si>
  <si>
    <t>Gadget Store</t>
  </si>
  <si>
    <t>37% Off Premium iPhone Back Glass Repair - Now at 250 QAR</t>
  </si>
  <si>
    <t>Home Services</t>
  </si>
  <si>
    <t>Cannot be combined with employee discounts.</t>
  </si>
  <si>
    <t>Available also for Home Service
Maintenance service for all types of  iPhone back glass repair.
Available Everyday</t>
  </si>
  <si>
    <t>Regency Fleets</t>
  </si>
  <si>
    <t>Buy 1 Get 1 - Car Rental Offer</t>
  </si>
  <si>
    <t>One voucher per customer per visit.
One offer can be claimed per transaction/bill only.
Offer can be claimed once per day per user.
Claim validation is subject to Qatar Living voucher verification and Regency Fleets approval.
Cannot be combined with other promotions or discounts.</t>
  </si>
  <si>
    <t>Valid for selected vehicle categories only.
Driver and documentation requirements apply as per Regency Fleets policy.
Offer is not valid for multiple tranches or split redemption.
Offer is subject to vehicle availability.
Rent one (1) vehicle/day and get one (1) additional rental day free.
Free rental day must be used within the same transaction and validity period.
Delivery/collection fees, Fuel, traffic violations, parking fees, excess mileage, and additional charges are excluded from the offer.</t>
  </si>
  <si>
    <t>Hilton Doha Hotel - Eforea Spa</t>
  </si>
  <si>
    <t>Buy 1 Get 1 - Moroccan Hammam Journey (50 mins)</t>
  </si>
  <si>
    <t>450 QAR</t>
  </si>
  <si>
    <t>Cannot be applied to already discounted items
Cannot be combined with employee discounts.</t>
  </si>
  <si>
    <t>The customer and one friend/guest can avail and redeem the offer together
Offers are not accepted during holidays and public holidays unless outlet allows.</t>
  </si>
  <si>
    <t>Buy 1 Get 1 - Signature Massage (80 mins)</t>
  </si>
  <si>
    <t>520 QAR</t>
  </si>
  <si>
    <t>Buy 1 Get 1 - Elemis Anti-Aging Facial (60 mins)</t>
  </si>
  <si>
    <t>Buy 1 Get 1 - Pool &amp; Beach Day Pass</t>
  </si>
  <si>
    <t>Buy 1 Get 1 - 1 Month Membership (Gym, Pool, Beach &amp; Thermal Facilities)</t>
  </si>
  <si>
    <t>Basta - Lusail Boulevard</t>
  </si>
  <si>
    <t>Buy 1 Get 1 - Main Course Treat</t>
  </si>
  <si>
    <t>Cannot be applied to already discounted items
Cannot be combined with employee discount</t>
  </si>
  <si>
    <t xml:space="preserve">Buy 1 Get 1 - Salad Lovers' Treat </t>
  </si>
  <si>
    <t xml:space="preserve">Buy 1 Get 1 - Dessert Delight </t>
  </si>
  <si>
    <t> Basta - MOQ</t>
  </si>
  <si>
    <t xml:space="preserve">Buy 1 Get 1 - Main Course Feast </t>
  </si>
  <si>
    <t xml:space="preserve">Buy 1 Get 1 - Salad Special </t>
  </si>
  <si>
    <t xml:space="preserve">Buy 1 Get 1 - Desert Lovers' Deal </t>
  </si>
  <si>
    <t> Divan - Lusail Boulevard</t>
  </si>
  <si>
    <t xml:space="preserve">Buy 1 Get 1 - Main Course Special </t>
  </si>
  <si>
    <t>Buy 1 Get 1 - Kebab Feast (Excluding Mixed Kebab Platter)</t>
  </si>
  <si>
    <t xml:space="preserve">Buy 1 Get 1 - Appetizer Treat </t>
  </si>
  <si>
    <t> Divan - MOQ</t>
  </si>
  <si>
    <t xml:space="preserve">Buy 1 Get 1 - Main Course Madness </t>
  </si>
  <si>
    <t>Buy 1 Get 1 - Smoky Kebab Special  (Excluding Mixed Kebab Platter)</t>
  </si>
  <si>
    <t xml:space="preserve">Buy 1 Get 1 - Appetizer Picks </t>
  </si>
  <si>
    <t>Jwala - Medina Centrale</t>
  </si>
  <si>
    <t xml:space="preserve">Buy 1 Get 1 - Main Course Combo </t>
  </si>
  <si>
    <t xml:space="preserve">Buy 1 Get 1 - Starter Special </t>
  </si>
  <si>
    <t xml:space="preserve">Buy 1 Get 1 - Dessert Special </t>
  </si>
  <si>
    <t>Jwala - Mall of Qatar</t>
  </si>
  <si>
    <t xml:space="preserve">Buy 1 Get 1 - Main Course Delight </t>
  </si>
  <si>
    <t xml:space="preserve">Buy 1 Get 1 - Starter Picks </t>
  </si>
  <si>
    <t xml:space="preserve">Buy 1 Get 1 - Sweet Dessert Treats </t>
  </si>
  <si>
    <t>Karaki Lounge - Lusail Boulevard</t>
  </si>
  <si>
    <t xml:space="preserve">Buy 1 Get 1 - Main Course Favorites </t>
  </si>
  <si>
    <t xml:space="preserve">Buy 1 Get 1 - Dessert Bliss </t>
  </si>
  <si>
    <t xml:space="preserve">Buy 1 Get 1 - Karak Special </t>
  </si>
  <si>
    <t>Karaki Lounge - MOQ</t>
  </si>
  <si>
    <t xml:space="preserve">Buy 1 Get 1 - Main Course Bonanza </t>
  </si>
  <si>
    <t xml:space="preserve">Sweet Delight - Buy 1 Dessert Get 1 Free </t>
  </si>
  <si>
    <t xml:space="preserve">Tea Lovers' Pick - Buy 1 Karak Get 1 Free </t>
  </si>
  <si>
    <t> El&amp;N London - Msheireb</t>
  </si>
  <si>
    <t xml:space="preserve">Buy 1 Get 1 - Focaccia Treat </t>
  </si>
  <si>
    <t xml:space="preserve">Buy 1 Get 1 - Dessert Cravings </t>
  </si>
  <si>
    <t xml:space="preserve">Buy 1 Get 1 - Beverage Special </t>
  </si>
  <si>
    <t> Bib - Medina Centrale</t>
  </si>
  <si>
    <t xml:space="preserve">Buy 1 Get 1 - Burger Bonanza </t>
  </si>
  <si>
    <t xml:space="preserve">Buy 1 Burger - Get 1 Starter for Free </t>
  </si>
  <si>
    <t xml:space="preserve">Buy 1 Get 1 - Cool Drinks Deal </t>
  </si>
  <si>
    <t>Black Tap</t>
  </si>
  <si>
    <t xml:space="preserve">Buy 1 Get 1 - Ultimate Burger Deal </t>
  </si>
  <si>
    <t xml:space="preserve">Buy 1 Get 1 - Chicken Wings Feast </t>
  </si>
  <si>
    <t xml:space="preserve">Buy 1 Get 1 - Starter Feast </t>
  </si>
  <si>
    <t>Baladna - MOQ</t>
  </si>
  <si>
    <t xml:space="preserve">Buy 1 Get 1 - Main Course Indulgence </t>
  </si>
  <si>
    <t> Baladna Exp - Medina Centrale</t>
  </si>
  <si>
    <t xml:space="preserve">Buy 1 Get 1 - Main Dish Delight </t>
  </si>
  <si>
    <t> Damasca - Souq Waqif</t>
  </si>
  <si>
    <t xml:space="preserve">Buy 1 Get 1 - Signature Main Course </t>
  </si>
  <si>
    <t> Debs W Remman - Medina Centrale</t>
  </si>
  <si>
    <t xml:space="preserve">Buy 1 Get 1 - Delicious Mains </t>
  </si>
  <si>
    <t> Debs W Remman - MOQ</t>
  </si>
  <si>
    <t xml:space="preserve">Dine &amp; Enjoy - Buy 1 Get 1 Main Course </t>
  </si>
  <si>
    <t>Joury</t>
  </si>
  <si>
    <t xml:space="preserve">Buy 1 Get 1 - Flavor Packed Mains </t>
  </si>
  <si>
    <t>Smat</t>
  </si>
  <si>
    <t xml:space="preserve">Buy 1 Get 1 - Savory Main Course </t>
  </si>
  <si>
    <t>Gahwetna</t>
  </si>
  <si>
    <t xml:space="preserve">Buy 1 Get 1 - Main Course Celebration </t>
  </si>
  <si>
    <t xml:space="preserve">Buy 1 Get 1 - Dessert Crave </t>
  </si>
  <si>
    <t> Moka Café - The View Hospital</t>
  </si>
  <si>
    <t xml:space="preserve">Buy 1 Get 1 - Ultimate Refreshment </t>
  </si>
  <si>
    <t xml:space="preserve">Buy 1 Get 1 - Dessert Fantasy Treat </t>
  </si>
  <si>
    <t> Moka Café - World of Wonders</t>
  </si>
  <si>
    <t xml:space="preserve">Buy 1 Get 1 - Refreshing Beverages </t>
  </si>
  <si>
    <t xml:space="preserve">Buy 1 Get 1 - Dessert Duo Delight </t>
  </si>
  <si>
    <t> Moka Caffe - Medina Centrale</t>
  </si>
  <si>
    <t xml:space="preserve">Buy 1 Get 1 - Chilled Beverages </t>
  </si>
  <si>
    <t xml:space="preserve">Sugar Delight - Buy 1 Dessert Get 1 Free </t>
  </si>
  <si>
    <t> Moka Caffe - Mall of Qatar</t>
  </si>
  <si>
    <t xml:space="preserve">Buy 1 Get 1 - Beverage Delight </t>
  </si>
  <si>
    <t xml:space="preserve">Buy 1 Get 1 - Sweet Dessert Bliss </t>
  </si>
  <si>
    <t>Maia Cafe - Lusail Boulevard</t>
  </si>
  <si>
    <t xml:space="preserve">Buy 1 Get 1 - Pizza, Pasta &amp; Salad Treat </t>
  </si>
  <si>
    <t> Maia - Medina Centrale</t>
  </si>
  <si>
    <t xml:space="preserve">Buy 1 Get 1 - Waffles, Pancakes &amp; Crepes </t>
  </si>
  <si>
    <t> Maia - MOQ</t>
  </si>
  <si>
    <t xml:space="preserve">Buy 1 Get 1 – Pizza, Pasta &amp; Salad </t>
  </si>
  <si>
    <t> Maia Lounge - Souq Waqif</t>
  </si>
  <si>
    <t xml:space="preserve">Buy 1 Get 1 - Pizza, Pasta &amp; Greens </t>
  </si>
  <si>
    <t> Sazeli - Medina Centrale</t>
  </si>
  <si>
    <t xml:space="preserve">Buy 1 Get 1 Free - Hearty Main Course Meals </t>
  </si>
  <si>
    <t xml:space="preserve">Buy 1 Get 1 Free - Irresistible Sweet Treats </t>
  </si>
  <si>
    <t> Sazeli - MOQ</t>
  </si>
  <si>
    <t xml:space="preserve">Buy 1 Get 1 - Mezze Feast (Whole Portion) </t>
  </si>
  <si>
    <t xml:space="preserve">Buy 1 Get 1 - Classic Dessert Favorites </t>
  </si>
  <si>
    <t xml:space="preserve">Buy 1 Get 1 - Classic Beef Saslik Grill Offer </t>
  </si>
  <si>
    <t> Usta - Lusail Boulevard</t>
  </si>
  <si>
    <t xml:space="preserve">Buy 1 Get 1 Free - Flavorful Main Course Picks </t>
  </si>
  <si>
    <t> Usta - MOQ</t>
  </si>
  <si>
    <t xml:space="preserve">Buy 1 Get 1 - Classic Main Course Favorites </t>
  </si>
  <si>
    <t> Usta - Souq Waqif</t>
  </si>
  <si>
    <t xml:space="preserve">Buy 1 Get 1 – Rich &amp; Savory Main Course </t>
  </si>
  <si>
    <t>KidzMondo</t>
  </si>
  <si>
    <t>Buy 1 Kid Ticket - Get 1 Ticket Free</t>
  </si>
  <si>
    <t>155 QAR</t>
  </si>
  <si>
    <t>Buy 1 VIP Kid Ticket - Get 1 Ticket Free</t>
  </si>
  <si>
    <t>175 QAR</t>
  </si>
  <si>
    <t>Buy 1 Toddler Ticket - Get 1 Ticket Free</t>
  </si>
  <si>
    <t>Buy 1 Adult Ticket - Get 1 Ticket Free</t>
  </si>
  <si>
    <t> Megapolis</t>
  </si>
  <si>
    <t>33% Off VIP Pass - 199 QAR (Was 299 QAR)</t>
  </si>
  <si>
    <t>Recharge 250 QAR – Get 100 QAR Bonus</t>
  </si>
  <si>
    <t>Recharge 500 QAR – Get 250 QAR Bonus</t>
  </si>
  <si>
    <t> Rush - MOQ</t>
  </si>
  <si>
    <t>Buy 1 One-Hour Ticket - Get 1 Free (100 QAR)</t>
  </si>
  <si>
    <t>Buy 1 Two-Hour Ticket - Get 1 Free (180 QAR)</t>
  </si>
  <si>
    <t>180 QAR</t>
  </si>
  <si>
    <t> World of Wonders - Lusail Boulevard</t>
  </si>
  <si>
    <t>15% Off VIP Pass - 149 QAR (Was 175 QAR)</t>
  </si>
  <si>
    <t> Minipolis</t>
  </si>
  <si>
    <t>50% Off - Limited Access Pass for 125 QAR (Was 250 QAR)</t>
  </si>
  <si>
    <t>Buy 1 Get 1 - Soft Play Area</t>
  </si>
  <si>
    <t>Spend 200 QAR – Get a Free Meal</t>
  </si>
  <si>
    <t>DATE SUBMITTED FOR REVIEW: MAY 17, 2026</t>
  </si>
  <si>
    <r>
      <rPr>
        <sz val="12"/>
        <color rgb="FFFF0000"/>
        <rFont val="Aptos Display"/>
        <family val="2"/>
      </rPr>
      <t xml:space="preserve">They offer others BOGO. Ours should be same or better. 
</t>
    </r>
    <r>
      <rPr>
        <b/>
        <sz val="12"/>
        <color rgb="FFFF0000"/>
        <rFont val="Aptos Display"/>
        <family val="2"/>
      </rPr>
      <t xml:space="preserve">2nd feedback: please give them 1 carousel post, no need to make photo shoot... they can give photo.  I need BOGO. Otherwise, people will use  entertainer as its BOGO... MY NEW COMMENT: </t>
    </r>
  </si>
  <si>
    <t>2nd feedback: please give them 1 carousel post, no need to make photo shoot... they can give photo.  I need BOGO. Otherwise, people will use  entertainer as its BOGO…</t>
  </si>
  <si>
    <r>
      <rPr>
        <sz val="12"/>
        <color rgb="FF1F497D"/>
        <rFont val="Aptos Display"/>
        <family val="2"/>
      </rPr>
      <t xml:space="preserve"> 
</t>
    </r>
    <r>
      <rPr>
        <b/>
        <sz val="12"/>
        <color rgb="FFFF0000"/>
        <rFont val="Aptos Display"/>
        <family val="2"/>
      </rPr>
      <t xml:space="preserve">NEW FEEDBACK:
</t>
    </r>
    <r>
      <rPr>
        <sz val="12"/>
        <color rgb="FF1F497D"/>
        <rFont val="Aptos Display"/>
        <family val="2"/>
      </rPr>
      <t xml:space="preserve">
</t>
    </r>
    <r>
      <rPr>
        <b/>
        <sz val="12"/>
        <color rgb="FF1F497D"/>
        <rFont val="Aptos Display"/>
        <family val="2"/>
      </rPr>
      <t>While we appreciate the opportunity, we would unfortunately not be able to extend a Buy 1 Get 1 offer without a minimum guaranteed redemption commitment. Our BOGO partnerships are based on either proven production history or agreed minimum volumes.
Should Qatar Living be open to discussing a minimum guaranteed redemption agreement, we would be happy to revisit the opportunity and explore extending the BOGO offer accordingly.
In the meantime, we believe the current rate of QAR 230 per ticket remains a highly competitive offer compared to our gate rate of QAR 350 and online rate of QAR 300.</t>
    </r>
  </si>
  <si>
    <t xml:space="preserve">They offer BOGO in other platform. Should be same with us.  what they offernow is 33%.. very insecure compared to other platforms. Let them offer yealry than monthly.. they can limit number of redemption.  Then no need to onboard them now.... </t>
  </si>
  <si>
    <t>x</t>
  </si>
  <si>
    <t>Buy 1 Full BBQ Platter - Get 1 Mojito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</si>
</sst>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x14ac:knownFonts="1">
    <font>
      <sz val="11"/>
      <color theme="1"/>
      <name val="Calibri"/>
      <family val="2"/>
      <charset val="1"/>
    </font>
    <font>
      <b/>
      <sz val="16"/>
      <color theme="0"/>
      <name val="Aptos Display"/>
      <family val="2"/>
    </font>
    <font>
      <sz val="11"/>
      <color theme="1"/>
      <name val="Aptos Display"/>
      <family val="2"/>
    </font>
    <font>
      <i/>
      <sz val="11"/>
      <color theme="1"/>
      <name val="Aptos Display"/>
      <family val="2"/>
    </font>
    <font>
      <b/>
      <sz val="12"/>
      <color rgb="FFFFFFFF"/>
      <name val="Aptos Display"/>
      <family val="2"/>
    </font>
    <font>
      <sz val="12"/>
      <color theme="1"/>
      <name val="Aptos Display"/>
      <family val="2"/>
    </font>
    <font>
      <sz val="12"/>
      <name val="Aptos Display"/>
      <family val="2"/>
    </font>
    <font>
      <sz val="12"/>
      <color rgb="FFFF0000"/>
      <name val="Aptos Display"/>
      <family val="2"/>
    </font>
    <font>
      <b/>
      <sz val="10"/>
      <color rgb="FFFFFFFF"/>
      <name val="Aptos Display"/>
      <family val="2"/>
    </font>
    <font>
      <i/>
      <sz val="12"/>
      <name val="Aptos Display"/>
      <family val="2"/>
    </font>
    <font>
      <i/>
      <sz val="12"/>
      <color rgb="FFFF0000"/>
      <name val="Aptos Display"/>
      <family val="2"/>
    </font>
    <font>
      <sz val="11"/>
      <color rgb="FFFF0000"/>
      <name val="Aptos Display"/>
      <family val="2"/>
    </font>
    <font>
      <b/>
      <sz val="10"/>
      <color theme="0"/>
      <name val="Aptos Display"/>
      <family val="2"/>
    </font>
    <font>
      <b/>
      <sz val="9"/>
      <color rgb="FFFFFFFF"/>
      <name val="Aptos Display"/>
      <family val="2"/>
    </font>
    <font>
      <b/>
      <sz val="12"/>
      <name val="Aptos Display"/>
      <family val="2"/>
    </font>
    <font>
      <b/>
      <sz val="11"/>
      <color theme="1"/>
      <name val="Aptos Display"/>
      <family val="2"/>
    </font>
    <font>
      <sz val="12"/>
      <color rgb="FF000000"/>
      <name val="Aptos Narrow"/>
      <family val="2"/>
    </font>
    <font>
      <sz val="8"/>
      <name val="Calibri"/>
      <family val="2"/>
      <charset val="1"/>
    </font>
    <font>
      <b/>
      <sz val="12"/>
      <color theme="1"/>
      <name val="Aptos Display"/>
      <family val="2"/>
    </font>
    <font>
      <i/>
      <sz val="11"/>
      <color rgb="FFFF0000"/>
      <name val="Aptos Display"/>
      <family val="2"/>
    </font>
    <font>
      <sz val="12"/>
      <color rgb="FF1F497D"/>
      <name val="Aptos Display"/>
      <family val="2"/>
    </font>
    <font>
      <sz val="12"/>
      <color theme="3"/>
      <name val="Aptos Display"/>
      <family val="2"/>
    </font>
    <font>
      <sz val="12"/>
      <color rgb="FFFF0000"/>
      <name val="Calibri"/>
      <family val="2"/>
      <scheme val="minor"/>
    </font>
    <font>
      <b/>
      <sz val="16"/>
      <color theme="3"/>
      <name val="Aptos Display"/>
      <family val="2"/>
    </font>
    <font>
      <i/>
      <sz val="11"/>
      <color theme="3"/>
      <name val="Aptos Display"/>
      <family val="2"/>
    </font>
    <font>
      <sz val="11"/>
      <color theme="3"/>
      <name val="Aptos Display"/>
      <family val="2"/>
    </font>
    <font>
      <b/>
      <sz val="12"/>
      <color theme="0"/>
      <name val="Aptos Display"/>
      <family val="2"/>
    </font>
    <font>
      <b/>
      <sz val="12"/>
      <color rgb="FF00B050"/>
      <name val="Aptos Display"/>
      <family val="2"/>
    </font>
    <font>
      <b/>
      <sz val="12"/>
      <color rgb="FFFF0000"/>
      <name val="Aptos Display"/>
      <family val="2"/>
    </font>
    <font>
      <sz val="12"/>
      <color theme="1"/>
      <name val="Calibri"/>
      <family val="2"/>
      <scheme val="minor"/>
    </font>
    <font>
      <sz val="12"/>
      <color rgb="FF00B050"/>
      <name val="Aptos Display"/>
      <family val="2"/>
    </font>
    <font>
      <b/>
      <i/>
      <sz val="12"/>
      <color rgb="FFFF0000"/>
      <name val="Calibri"/>
      <family val="2"/>
      <scheme val="minor"/>
    </font>
    <font>
      <sz val="12"/>
      <color rgb="FF000000"/>
      <name val="Aptos Display"/>
      <family val="2"/>
    </font>
    <font>
      <b/>
      <sz val="12"/>
      <color rgb="FF1F497D"/>
      <name val="Aptos Display"/>
      <family val="2"/>
    </font>
    <font>
      <b/>
      <sz val="13"/>
      <color rgb="FFFFFFFF"/>
      <name val="Arial"/>
      <family val="2"/>
    </font>
    <font>
      <sz val="11"/>
      <color rgb="FF000000"/>
      <name val="Calibri"/>
      <family val="2"/>
      <charset val="1"/>
    </font>
    <font>
      <b/>
      <sz val="11"/>
      <color rgb="FFFFFFFF"/>
      <name val="Arial"/>
      <family val="2"/>
    </font>
    <font>
      <b/>
      <sz val="14"/>
      <name val="Arial"/>
      <family val="2"/>
    </font>
    <font>
      <sz val="10"/>
      <name val="Arial"/>
      <family val="2"/>
    </font>
    <font>
      <sz val="10"/>
      <color rgb="FF006100"/>
      <name val="Arial"/>
      <family val="2"/>
    </font>
    <font>
      <sz val="10"/>
      <color rgb="FF1F4E78"/>
      <name val="Arial"/>
      <family val="2"/>
    </font>
    <font>
      <sz val="10"/>
      <color rgb="FF9C6500"/>
      <name val="Arial"/>
      <family val="2"/>
    </font>
    <font>
      <sz val="12"/>
      <color rgb="FF000000"/>
      <name val="Calibri"/>
      <family val="2"/>
    </font>
    <font>
      <b/>
      <sz val="12"/>
      <color rgb="FF00B050"/>
      <name val="Arial"/>
      <family val="2"/>
    </font>
    <font>
      <sz val="16"/>
      <color rgb="FFFF0000"/>
      <name val="Calibri"/>
      <family val="2"/>
      <charset val="1"/>
    </font>
    <font>
      <b/>
      <sz val="12"/>
      <color theme="6" tint="-0.249977111117893"/>
      <name val="Aptos Display"/>
      <family val="2"/>
    </font>
    <font>
      <b/>
      <sz val="16"/>
      <color rgb="FFFFFFFF"/>
      <name val="Aptos Display"/>
      <family val="2"/>
    </font>
    <font>
      <sz val="10"/>
      <color rgb="FFFF0000"/>
      <name val="Arial"/>
      <family val="2"/>
    </font>
    <font>
      <sz val="9"/>
      <color indexed="81"/>
      <name val="Tahoma"/>
      <family val="2"/>
    </font>
    <font>
      <b/>
      <sz val="9"/>
      <color indexed="81"/>
      <name val="Tahoma"/>
      <family val="2"/>
    </font>
    <font>
      <sz val="11"/>
      <color theme="4" tint="-0.249977111117893"/>
      <name val="Aptos Display"/>
      <family val="2"/>
    </font>
    <font>
      <b/>
      <i/>
      <sz val="12"/>
      <color rgb="FFFF0000"/>
      <name val="Aptos Display"/>
      <family val="2"/>
    </font>
    <font>
      <b/>
      <sz val="16"/>
      <name val="Aptos Display"/>
      <family val="2"/>
    </font>
    <font>
      <b/>
      <i/>
      <sz val="11"/>
      <color rgb="FFFF0000"/>
      <name val="Calibri"/>
      <family val="2"/>
    </font>
    <font>
      <b/>
      <i/>
      <sz val="11"/>
      <color rgb="FFFF0000"/>
      <name val="Aptos Display"/>
      <family val="2"/>
    </font>
    <font>
      <sz val="10"/>
      <name val="Aptos Display"/>
      <family val="2"/>
    </font>
    <font>
      <sz val="9"/>
      <name val="Aptos Display"/>
      <family val="2"/>
    </font>
    <font>
      <b/>
      <sz val="9"/>
      <name val="Aptos Display"/>
      <family val="2"/>
    </font>
    <font>
      <b/>
      <sz val="10"/>
      <name val="Aptos Display"/>
      <family val="2"/>
    </font>
    <font>
      <sz val="11"/>
      <name val="Aptos Display"/>
      <family val="2"/>
    </font>
    <font>
      <b/>
      <sz val="11"/>
      <name val="Aptos Display"/>
      <family val="2"/>
    </font>
    <font>
      <sz val="7"/>
      <color rgb="FF0F1729"/>
      <name val="Arial"/>
      <family val="2"/>
    </font>
    <font>
      <b/>
      <sz val="11"/>
      <color rgb="FFFFFFFF"/>
      <name val="Aptos Display"/>
      <family val="2"/>
    </font>
    <font>
      <b/>
      <i/>
      <sz val="11"/>
      <color rgb="FFFFFFFF"/>
      <name val="Aptos Display"/>
      <family val="2"/>
    </font>
    <font>
      <b/>
      <i/>
      <sz val="11"/>
      <color theme="1"/>
      <name val="Aptos Display"/>
      <family val="2"/>
    </font>
    <font>
      <sz val="12"/>
      <color rgb="FF0000FF"/>
      <name val="Aptos Display"/>
      <family val="2"/>
    </font>
    <font>
      <b/>
      <sz val="12"/>
      <color rgb="FF000000"/>
      <name val="Aptos Display"/>
      <family val="2"/>
    </font>
    <font>
      <sz val="11"/>
      <color rgb="FF0000FF"/>
      <name val="Aptos Display"/>
      <family val="2"/>
    </font>
  </fonts>
  <fills count="12">
    <fill>
      <patternFill patternType="none"/>
    </fill>
    <fill>
      <patternFill patternType="gray125"/>
    </fill>
    <fill>
      <patternFill patternType="solid">
        <fgColor theme="3"/>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C6EFCE"/>
        <bgColor rgb="FF000000"/>
      </patternFill>
    </fill>
    <fill>
      <patternFill patternType="solid">
        <fgColor rgb="FFFFEB9C"/>
        <bgColor rgb="FF000000"/>
      </patternFill>
    </fill>
    <fill>
      <patternFill patternType="solid">
        <fgColor rgb="FFB1A0C7"/>
        <bgColor indexed="64"/>
      </patternFill>
    </fill>
    <fill>
      <patternFill patternType="solid">
        <fgColor rgb="FF1F497D"/>
        <bgColor indexed="64"/>
      </patternFill>
    </fill>
  </fills>
  <borders count="95">
    <border>
      <left/>
      <right/>
      <top/>
      <bottom/>
      <diagonal/>
    </border>
    <border>
      <left style="thick">
        <color auto="1"/>
      </left>
      <right style="thick">
        <color auto="1"/>
      </right>
      <top style="thick">
        <color auto="1"/>
      </top>
      <bottom style="thick">
        <color auto="1"/>
      </bottom>
      <diagonal/>
    </border>
    <border>
      <left style="thick">
        <color theme="1"/>
      </left>
      <right style="thick">
        <color theme="1"/>
      </right>
      <top style="thick">
        <color theme="1"/>
      </top>
      <bottom/>
      <diagonal/>
    </border>
    <border>
      <left style="thin">
        <color theme="1"/>
      </left>
      <right style="thin">
        <color theme="1"/>
      </right>
      <top style="thick">
        <color auto="1"/>
      </top>
      <bottom style="thin">
        <color theme="1"/>
      </bottom>
      <diagonal/>
    </border>
    <border>
      <left style="thin">
        <color theme="1"/>
      </left>
      <right style="thin">
        <color theme="1"/>
      </right>
      <top style="thin">
        <color theme="1"/>
      </top>
      <bottom style="thin">
        <color theme="1"/>
      </bottom>
      <diagonal/>
    </border>
    <border>
      <left style="thick">
        <color theme="1"/>
      </left>
      <right/>
      <top style="thick">
        <color theme="1"/>
      </top>
      <bottom style="thick">
        <color auto="1"/>
      </bottom>
      <diagonal/>
    </border>
    <border>
      <left/>
      <right/>
      <top style="thick">
        <color theme="1"/>
      </top>
      <bottom style="thick">
        <color auto="1"/>
      </bottom>
      <diagonal/>
    </border>
    <border>
      <left/>
      <right style="thick">
        <color theme="1"/>
      </right>
      <top style="thick">
        <color theme="1"/>
      </top>
      <bottom style="thick">
        <color auto="1"/>
      </bottom>
      <diagonal/>
    </border>
    <border>
      <left style="thin">
        <color theme="1"/>
      </left>
      <right style="thin">
        <color theme="1"/>
      </right>
      <top/>
      <bottom style="thin">
        <color theme="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ck">
        <color auto="1"/>
      </top>
      <bottom style="thin">
        <color auto="1"/>
      </bottom>
      <diagonal/>
    </border>
    <border>
      <left/>
      <right style="thin">
        <color theme="1"/>
      </right>
      <top style="thick">
        <color auto="1"/>
      </top>
      <bottom style="thin">
        <color theme="1"/>
      </bottom>
      <diagonal/>
    </border>
    <border>
      <left/>
      <right style="thin">
        <color theme="1"/>
      </right>
      <top style="thin">
        <color theme="1"/>
      </top>
      <bottom style="thin">
        <color theme="1"/>
      </bottom>
      <diagonal/>
    </border>
    <border>
      <left/>
      <right style="thin">
        <color theme="1"/>
      </right>
      <top style="thin">
        <color theme="1"/>
      </top>
      <bottom/>
      <diagonal/>
    </border>
    <border>
      <left/>
      <right style="thin">
        <color auto="1"/>
      </right>
      <top style="thin">
        <color auto="1"/>
      </top>
      <bottom style="thin">
        <color auto="1"/>
      </bottom>
      <diagonal/>
    </border>
    <border>
      <left/>
      <right/>
      <top style="thick">
        <color auto="1"/>
      </top>
      <bottom style="thin">
        <color theme="1"/>
      </bottom>
      <diagonal/>
    </border>
    <border>
      <left/>
      <right/>
      <top style="thin">
        <color theme="1"/>
      </top>
      <bottom style="thin">
        <color theme="1"/>
      </bottom>
      <diagonal/>
    </border>
    <border>
      <left/>
      <right/>
      <top style="thin">
        <color theme="1"/>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theme="1"/>
      </bottom>
      <diagonal/>
    </border>
    <border>
      <left style="thin">
        <color theme="1"/>
      </left>
      <right/>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auto="1"/>
      </left>
      <right style="thin">
        <color theme="1"/>
      </right>
      <top style="thick">
        <color auto="1"/>
      </top>
      <bottom style="thin">
        <color auto="1"/>
      </bottom>
      <diagonal/>
    </border>
    <border>
      <left style="thin">
        <color theme="1"/>
      </left>
      <right style="thin">
        <color auto="1"/>
      </right>
      <top style="thick">
        <color auto="1"/>
      </top>
      <bottom style="thin">
        <color auto="1"/>
      </bottom>
      <diagonal/>
    </border>
    <border>
      <left style="thin">
        <color auto="1"/>
      </left>
      <right style="thin">
        <color theme="1"/>
      </right>
      <top style="thin">
        <color auto="1"/>
      </top>
      <bottom style="thin">
        <color auto="1"/>
      </bottom>
      <diagonal/>
    </border>
    <border>
      <left style="thin">
        <color theme="1"/>
      </left>
      <right style="thin">
        <color auto="1"/>
      </right>
      <top style="thin">
        <color auto="1"/>
      </top>
      <bottom style="thin">
        <color auto="1"/>
      </bottom>
      <diagonal/>
    </border>
    <border>
      <left style="thin">
        <color auto="1"/>
      </left>
      <right style="thin">
        <color theme="1"/>
      </right>
      <top style="thin">
        <color auto="1"/>
      </top>
      <bottom style="thin">
        <color theme="1"/>
      </bottom>
      <diagonal/>
    </border>
    <border>
      <left style="thin">
        <color theme="1"/>
      </left>
      <right style="thin">
        <color auto="1"/>
      </right>
      <top style="thin">
        <color auto="1"/>
      </top>
      <bottom style="thin">
        <color theme="1"/>
      </bottom>
      <diagonal/>
    </border>
    <border>
      <left/>
      <right style="thin">
        <color auto="1"/>
      </right>
      <top style="thin">
        <color auto="1"/>
      </top>
      <bottom/>
      <diagonal/>
    </border>
    <border>
      <left style="thin">
        <color theme="1"/>
      </left>
      <right style="thin">
        <color auto="1"/>
      </right>
      <top style="thin">
        <color auto="1"/>
      </top>
      <bottom/>
      <diagonal/>
    </border>
    <border>
      <left style="thin">
        <color theme="1"/>
      </left>
      <right style="thin">
        <color auto="1"/>
      </right>
      <top/>
      <bottom/>
      <diagonal/>
    </border>
    <border>
      <left style="thin">
        <color theme="1"/>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theme="1"/>
      </right>
      <top style="thin">
        <color auto="1"/>
      </top>
      <bottom/>
      <diagonal/>
    </border>
    <border>
      <left style="thin">
        <color auto="1"/>
      </left>
      <right style="thin">
        <color theme="1"/>
      </right>
      <top/>
      <bottom style="thin">
        <color auto="1"/>
      </bottom>
      <diagonal/>
    </border>
    <border>
      <left style="thin">
        <color auto="1"/>
      </left>
      <right style="thin">
        <color theme="1"/>
      </right>
      <top/>
      <bottom/>
      <diagonal/>
    </border>
    <border>
      <left style="thin">
        <color theme="1"/>
      </left>
      <right style="thin">
        <color theme="1"/>
      </right>
      <top style="thin">
        <color theme="1"/>
      </top>
      <bottom/>
      <diagonal/>
    </border>
    <border>
      <left style="thick">
        <color theme="1"/>
      </left>
      <right style="thick">
        <color theme="1"/>
      </right>
      <top style="thick">
        <color theme="1"/>
      </top>
      <bottom style="thick">
        <color theme="1"/>
      </bottom>
      <diagonal/>
    </border>
    <border>
      <left style="thick">
        <color theme="1"/>
      </left>
      <right/>
      <top style="thick">
        <color theme="1"/>
      </top>
      <bottom/>
      <diagonal/>
    </border>
    <border>
      <left style="thick">
        <color auto="1"/>
      </left>
      <right/>
      <top style="thick">
        <color auto="1"/>
      </top>
      <bottom style="thick">
        <color auto="1"/>
      </bottom>
      <diagonal/>
    </border>
    <border>
      <left style="thin">
        <color theme="1"/>
      </left>
      <right style="thin">
        <color theme="1"/>
      </right>
      <top style="thick">
        <color auto="1"/>
      </top>
      <bottom/>
      <diagonal/>
    </border>
    <border>
      <left style="thin">
        <color theme="1"/>
      </left>
      <right style="thin">
        <color theme="1"/>
      </right>
      <top/>
      <bottom/>
      <diagonal/>
    </border>
    <border>
      <left style="thick">
        <color auto="1"/>
      </left>
      <right style="thick">
        <color auto="1"/>
      </right>
      <top style="thick">
        <color auto="1"/>
      </top>
      <bottom/>
      <diagonal/>
    </border>
    <border>
      <left style="thin">
        <color auto="1"/>
      </left>
      <right style="thin">
        <color theme="1"/>
      </right>
      <top style="thick">
        <color auto="1"/>
      </top>
      <bottom/>
      <diagonal/>
    </border>
    <border>
      <left style="thin">
        <color auto="1"/>
      </left>
      <right style="thin">
        <color auto="1"/>
      </right>
      <top style="thick">
        <color auto="1"/>
      </top>
      <bottom/>
      <diagonal/>
    </border>
    <border>
      <left style="thin">
        <color theme="1"/>
      </left>
      <right style="thin">
        <color auto="1"/>
      </right>
      <top style="thick">
        <color auto="1"/>
      </top>
      <bottom/>
      <diagonal/>
    </border>
    <border>
      <left/>
      <right style="thin">
        <color auto="1"/>
      </right>
      <top/>
      <bottom style="thin">
        <color auto="1"/>
      </bottom>
      <diagonal/>
    </border>
    <border>
      <left/>
      <right/>
      <top/>
      <bottom style="thin">
        <color auto="1"/>
      </bottom>
      <diagonal/>
    </border>
    <border>
      <left/>
      <right style="thin">
        <color theme="1"/>
      </right>
      <top/>
      <bottom style="thin">
        <color theme="1"/>
      </bottom>
      <diagonal/>
    </border>
    <border>
      <left style="thin">
        <color theme="1"/>
      </left>
      <right/>
      <top style="thick">
        <color auto="1"/>
      </top>
      <bottom/>
      <diagonal/>
    </border>
    <border>
      <left style="thin">
        <color auto="1"/>
      </left>
      <right/>
      <top style="thin">
        <color auto="1"/>
      </top>
      <bottom/>
      <diagonal/>
    </border>
    <border>
      <left style="thin">
        <color auto="1"/>
      </left>
      <right/>
      <top style="thick">
        <color auto="1"/>
      </top>
      <bottom/>
      <diagonal/>
    </border>
    <border>
      <left/>
      <right style="thick">
        <color theme="1"/>
      </right>
      <top style="thick">
        <color theme="1"/>
      </top>
      <bottom/>
      <diagonal/>
    </border>
    <border>
      <left style="thick">
        <color auto="1"/>
      </left>
      <right/>
      <top style="thick">
        <color auto="1"/>
      </top>
      <bottom/>
      <diagonal/>
    </border>
    <border>
      <left/>
      <right/>
      <top style="thick">
        <color theme="1"/>
      </top>
      <bottom/>
      <diagonal/>
    </border>
    <border>
      <left style="thin">
        <color theme="1"/>
      </left>
      <right/>
      <top/>
      <bottom/>
      <diagonal/>
    </border>
    <border>
      <left style="thin">
        <color auto="1"/>
      </left>
      <right/>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theme="1"/>
      </left>
      <right style="medium">
        <color indexed="64"/>
      </right>
      <top style="medium">
        <color indexed="64"/>
      </top>
      <bottom style="medium">
        <color indexed="64"/>
      </bottom>
      <diagonal/>
    </border>
    <border>
      <left style="thick">
        <color auto="1"/>
      </left>
      <right style="thick">
        <color theme="1"/>
      </right>
      <top style="medium">
        <color indexed="64"/>
      </top>
      <bottom style="medium">
        <color indexed="64"/>
      </bottom>
      <diagonal/>
    </border>
    <border>
      <left style="thin">
        <color theme="1"/>
      </left>
      <right/>
      <top style="thick">
        <color auto="1"/>
      </top>
      <bottom style="thin">
        <color theme="1"/>
      </bottom>
      <diagonal/>
    </border>
    <border>
      <left style="thick">
        <color auto="1"/>
      </left>
      <right style="thick">
        <color auto="1"/>
      </right>
      <top style="medium">
        <color indexed="64"/>
      </top>
      <bottom/>
      <diagonal/>
    </border>
    <border>
      <left style="thick">
        <color theme="1"/>
      </left>
      <right/>
      <top style="thick">
        <color theme="1"/>
      </top>
      <bottom style="medium">
        <color indexed="64"/>
      </bottom>
      <diagonal/>
    </border>
    <border>
      <left/>
      <right/>
      <top style="thick">
        <color theme="1"/>
      </top>
      <bottom style="medium">
        <color indexed="64"/>
      </bottom>
      <diagonal/>
    </border>
    <border>
      <left/>
      <right style="thick">
        <color theme="1"/>
      </right>
      <top style="thick">
        <color theme="1"/>
      </top>
      <bottom style="medium">
        <color indexed="64"/>
      </bottom>
      <diagonal/>
    </border>
    <border>
      <left/>
      <right/>
      <top/>
      <bottom style="thin">
        <color theme="1"/>
      </bottom>
      <diagonal/>
    </border>
    <border>
      <left/>
      <right style="thin">
        <color theme="1"/>
      </right>
      <top style="thick">
        <color auto="1"/>
      </top>
      <bottom/>
      <diagonal/>
    </border>
    <border>
      <left style="thick">
        <color auto="1"/>
      </left>
      <right style="thick">
        <color theme="1"/>
      </right>
      <top style="thick">
        <color theme="1"/>
      </top>
      <bottom style="thick">
        <color auto="1"/>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
      <left/>
      <right style="thick">
        <color auto="1"/>
      </right>
      <top style="thick">
        <color auto="1"/>
      </top>
      <bottom style="thick">
        <color auto="1"/>
      </bottom>
      <diagonal/>
    </border>
    <border>
      <left/>
      <right/>
      <top style="thick">
        <color indexed="64"/>
      </top>
      <bottom style="thick">
        <color indexed="64"/>
      </bottom>
      <diagonal/>
    </border>
    <border>
      <left style="thin">
        <color rgb="FFBFBFBF"/>
      </left>
      <right style="thin">
        <color rgb="FFBFBFBF"/>
      </right>
      <top style="thin">
        <color rgb="FFBFBFBF"/>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top style="thin">
        <color rgb="FF000000"/>
      </top>
      <bottom/>
      <diagonal/>
    </border>
    <border>
      <left/>
      <right/>
      <top style="thick">
        <color auto="1"/>
      </top>
      <bottom style="thick">
        <color theme="1"/>
      </bottom>
      <diagonal/>
    </border>
    <border>
      <left style="thick">
        <color auto="1"/>
      </left>
      <right style="medium">
        <color indexed="64"/>
      </right>
      <top style="thick">
        <color auto="1"/>
      </top>
      <bottom style="thick">
        <color auto="1"/>
      </bottom>
      <diagonal/>
    </border>
    <border>
      <left style="thin">
        <color auto="1"/>
      </left>
      <right/>
      <top/>
      <bottom/>
      <diagonal/>
    </border>
    <border>
      <left/>
      <right style="thin">
        <color theme="1"/>
      </right>
      <top/>
      <bottom/>
      <diagonal/>
    </border>
  </borders>
  <cellStyleXfs count="2">
    <xf numFmtId="0" fontId="0" fillId="0" borderId="0"/>
    <xf numFmtId="0" fontId="29" fillId="0" borderId="0"/>
  </cellStyleXfs>
  <cellXfs count="586">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vertical="center"/>
    </xf>
    <xf numFmtId="0" fontId="5" fillId="0" borderId="0" xfId="0" applyFont="1"/>
    <xf numFmtId="0" fontId="5" fillId="0" borderId="0" xfId="0" applyFont="1" applyAlignment="1">
      <alignment vertical="center"/>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6" fillId="0" borderId="4" xfId="0" applyFont="1" applyBorder="1" applyAlignment="1">
      <alignment horizontal="center" vertical="center" wrapText="1"/>
    </xf>
    <xf numFmtId="0" fontId="6" fillId="0" borderId="4" xfId="0" applyFont="1" applyBorder="1" applyAlignment="1">
      <alignment vertical="center" wrapText="1"/>
    </xf>
    <xf numFmtId="0" fontId="8" fillId="3"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3" fillId="0" borderId="0" xfId="0" applyFont="1" applyAlignment="1">
      <alignment horizontal="center"/>
    </xf>
    <xf numFmtId="0" fontId="7" fillId="0" borderId="3" xfId="0" applyFont="1" applyBorder="1" applyAlignment="1">
      <alignment vertical="center" wrapText="1"/>
    </xf>
    <xf numFmtId="0" fontId="7" fillId="0" borderId="4" xfId="0" applyFont="1" applyBorder="1" applyAlignment="1">
      <alignment vertical="center" wrapText="1"/>
    </xf>
    <xf numFmtId="0" fontId="11" fillId="0" borderId="0" xfId="0" applyFont="1"/>
    <xf numFmtId="0" fontId="12" fillId="3" borderId="1" xfId="0" applyFont="1" applyFill="1" applyBorder="1" applyAlignment="1">
      <alignment horizontal="center" vertical="center" wrapText="1"/>
    </xf>
    <xf numFmtId="0" fontId="6" fillId="0" borderId="4" xfId="0" applyFont="1" applyBorder="1" applyAlignment="1">
      <alignment horizontal="center" wrapText="1"/>
    </xf>
    <xf numFmtId="0" fontId="9" fillId="0" borderId="4" xfId="0" applyFont="1" applyBorder="1" applyAlignment="1">
      <alignment horizontal="center" wrapText="1"/>
    </xf>
    <xf numFmtId="0" fontId="6" fillId="0" borderId="4" xfId="0" applyFont="1" applyBorder="1" applyAlignment="1">
      <alignment wrapText="1"/>
    </xf>
    <xf numFmtId="0" fontId="7" fillId="0" borderId="4" xfId="0" applyFont="1" applyBorder="1" applyAlignment="1">
      <alignment wrapText="1"/>
    </xf>
    <xf numFmtId="0" fontId="13" fillId="3"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4" xfId="0" applyFont="1" applyBorder="1" applyAlignment="1">
      <alignment horizontal="center" vertical="center" wrapText="1"/>
    </xf>
    <xf numFmtId="10" fontId="14" fillId="0" borderId="4" xfId="0" applyNumberFormat="1" applyFont="1" applyBorder="1" applyAlignment="1">
      <alignment horizontal="center" vertical="center" wrapText="1"/>
    </xf>
    <xf numFmtId="0" fontId="14" fillId="0" borderId="4" xfId="0" applyFont="1" applyBorder="1" applyAlignment="1">
      <alignment horizontal="center" wrapText="1"/>
    </xf>
    <xf numFmtId="0" fontId="15" fillId="0" borderId="0" xfId="0" applyFont="1" applyAlignment="1">
      <alignment horizontal="center"/>
    </xf>
    <xf numFmtId="0" fontId="6" fillId="4" borderId="4" xfId="0" applyFont="1" applyFill="1" applyBorder="1" applyAlignment="1">
      <alignment horizontal="center" vertical="center" wrapText="1"/>
    </xf>
    <xf numFmtId="0" fontId="16" fillId="0" borderId="9" xfId="0" applyFont="1" applyBorder="1" applyAlignment="1">
      <alignment horizontal="center" vertical="center" wrapText="1"/>
    </xf>
    <xf numFmtId="0" fontId="16" fillId="5" borderId="9" xfId="0" applyFont="1" applyFill="1" applyBorder="1" applyAlignment="1">
      <alignment horizontal="center" vertical="center" wrapText="1"/>
    </xf>
    <xf numFmtId="0" fontId="2" fillId="0" borderId="9" xfId="0" applyFont="1" applyBorder="1" applyAlignment="1">
      <alignment horizontal="center"/>
    </xf>
    <xf numFmtId="0" fontId="11" fillId="0" borderId="9" xfId="0" applyFont="1" applyBorder="1"/>
    <xf numFmtId="0" fontId="2" fillId="0" borderId="15" xfId="0" applyFont="1" applyBorder="1" applyAlignment="1">
      <alignment horizontal="center"/>
    </xf>
    <xf numFmtId="0" fontId="6" fillId="0" borderId="11" xfId="0" applyFont="1" applyBorder="1" applyAlignment="1">
      <alignment horizontal="center" vertical="center" wrapText="1"/>
    </xf>
    <xf numFmtId="0" fontId="16"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9" xfId="0" applyFont="1" applyBorder="1" applyAlignment="1">
      <alignment horizont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wrapText="1"/>
    </xf>
    <xf numFmtId="0" fontId="2" fillId="0" borderId="19" xfId="0" applyFont="1" applyBorder="1" applyAlignment="1">
      <alignment horizontal="center"/>
    </xf>
    <xf numFmtId="0" fontId="2" fillId="0" borderId="20" xfId="0" applyFont="1" applyBorder="1" applyAlignment="1">
      <alignment horizontal="center"/>
    </xf>
    <xf numFmtId="0" fontId="6" fillId="0" borderId="21" xfId="0" applyFont="1" applyBorder="1" applyAlignment="1">
      <alignment horizontal="center" vertical="center" wrapText="1"/>
    </xf>
    <xf numFmtId="0" fontId="2" fillId="0" borderId="9" xfId="0" applyFont="1" applyBorder="1" applyAlignment="1">
      <alignment horizontal="center" vertical="center"/>
    </xf>
    <xf numFmtId="0" fontId="2" fillId="0" borderId="9" xfId="0" applyFont="1" applyBorder="1" applyAlignment="1">
      <alignment horizontal="center" vertical="center" wrapText="1"/>
    </xf>
    <xf numFmtId="0" fontId="2" fillId="0" borderId="9" xfId="0" applyFont="1" applyBorder="1" applyAlignment="1">
      <alignment horizontal="center" wrapText="1"/>
    </xf>
    <xf numFmtId="0" fontId="18" fillId="0" borderId="9"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10" fontId="14" fillId="0" borderId="23" xfId="0" applyNumberFormat="1" applyFont="1" applyBorder="1" applyAlignment="1">
      <alignment horizontal="center" vertical="center" wrapText="1"/>
    </xf>
    <xf numFmtId="0" fontId="14" fillId="0" borderId="24" xfId="0" applyFont="1" applyBorder="1" applyAlignment="1">
      <alignment horizontal="center" wrapText="1"/>
    </xf>
    <xf numFmtId="0" fontId="15" fillId="0" borderId="20" xfId="0" applyFont="1" applyBorder="1" applyAlignment="1">
      <alignment horizontal="center"/>
    </xf>
    <xf numFmtId="0" fontId="18" fillId="0" borderId="20" xfId="0" applyFont="1" applyBorder="1" applyAlignment="1">
      <alignment horizontal="center" vertical="center" wrapText="1"/>
    </xf>
    <xf numFmtId="0" fontId="15" fillId="0" borderId="0" xfId="0" applyFont="1" applyAlignment="1">
      <alignment horizontal="center" vertical="center"/>
    </xf>
    <xf numFmtId="0" fontId="10" fillId="0" borderId="11" xfId="0" applyFont="1" applyBorder="1" applyAlignment="1">
      <alignment horizontal="center" vertical="center" wrapText="1"/>
    </xf>
    <xf numFmtId="0" fontId="10" fillId="0" borderId="9" xfId="0" applyFont="1" applyBorder="1" applyAlignment="1">
      <alignment horizontal="center" vertical="center" wrapText="1"/>
    </xf>
    <xf numFmtId="0" fontId="19" fillId="0" borderId="0" xfId="0" applyFont="1" applyAlignment="1">
      <alignment horizontal="center"/>
    </xf>
    <xf numFmtId="0" fontId="6" fillId="0" borderId="25" xfId="0" applyFont="1" applyBorder="1" applyAlignment="1">
      <alignment vertical="center" wrapText="1"/>
    </xf>
    <xf numFmtId="0" fontId="6" fillId="0" borderId="26" xfId="0" applyFont="1" applyBorder="1" applyAlignment="1">
      <alignment vertical="center" wrapText="1"/>
    </xf>
    <xf numFmtId="0" fontId="6" fillId="0" borderId="27" xfId="0" applyFont="1" applyBorder="1" applyAlignment="1">
      <alignment vertical="center" wrapText="1"/>
    </xf>
    <xf numFmtId="0" fontId="6" fillId="0" borderId="28" xfId="0" applyFont="1" applyBorder="1" applyAlignment="1">
      <alignment vertical="center" wrapText="1"/>
    </xf>
    <xf numFmtId="0" fontId="6" fillId="0" borderId="29" xfId="0" applyFont="1" applyBorder="1" applyAlignment="1">
      <alignment vertical="center" wrapText="1"/>
    </xf>
    <xf numFmtId="0" fontId="6" fillId="0" borderId="30" xfId="0" applyFont="1" applyBorder="1" applyAlignment="1">
      <alignment vertical="center" wrapText="1"/>
    </xf>
    <xf numFmtId="0" fontId="15" fillId="0" borderId="20" xfId="0" applyFont="1" applyBorder="1" applyAlignment="1">
      <alignment horizontal="center" vertical="center"/>
    </xf>
    <xf numFmtId="0" fontId="6" fillId="0" borderId="15" xfId="0" applyFont="1" applyBorder="1" applyAlignment="1">
      <alignment vertical="center" wrapText="1"/>
    </xf>
    <xf numFmtId="0" fontId="6" fillId="0" borderId="31" xfId="0" applyFont="1" applyBorder="1" applyAlignment="1">
      <alignment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7" fillId="0" borderId="14" xfId="0" applyFont="1" applyBorder="1" applyAlignment="1">
      <alignment wrapText="1"/>
    </xf>
    <xf numFmtId="0" fontId="11" fillId="0" borderId="15" xfId="0" applyFont="1" applyBorder="1"/>
    <xf numFmtId="0" fontId="6" fillId="0" borderId="11" xfId="0" applyFont="1" applyBorder="1" applyAlignment="1">
      <alignment vertical="center" wrapText="1"/>
    </xf>
    <xf numFmtId="0" fontId="5" fillId="0" borderId="11" xfId="0" applyFont="1" applyBorder="1" applyAlignment="1">
      <alignment vertical="center"/>
    </xf>
    <xf numFmtId="0" fontId="6" fillId="0" borderId="9" xfId="0" applyFont="1" applyBorder="1" applyAlignment="1">
      <alignment vertical="center" wrapText="1"/>
    </xf>
    <xf numFmtId="0" fontId="2" fillId="0" borderId="0" xfId="0" applyFont="1" applyAlignment="1">
      <alignment horizontal="center" vertical="center"/>
    </xf>
    <xf numFmtId="0" fontId="6" fillId="0" borderId="10" xfId="0" applyFont="1" applyBorder="1" applyAlignment="1">
      <alignment horizontal="center" vertical="center" wrapText="1"/>
    </xf>
    <xf numFmtId="0" fontId="6" fillId="0" borderId="40" xfId="0" applyFont="1" applyBorder="1" applyAlignment="1">
      <alignment vertical="center" wrapText="1"/>
    </xf>
    <xf numFmtId="0" fontId="6" fillId="0" borderId="0" xfId="0" applyFont="1" applyAlignment="1">
      <alignment horizontal="center" vertical="center" wrapText="1"/>
    </xf>
    <xf numFmtId="0" fontId="6" fillId="0" borderId="40" xfId="0" applyFont="1" applyBorder="1" applyAlignment="1">
      <alignment horizontal="center" vertical="center" wrapText="1"/>
    </xf>
    <xf numFmtId="0" fontId="1" fillId="2" borderId="0" xfId="0" applyFont="1" applyFill="1" applyAlignment="1">
      <alignment horizontal="center" vertical="center"/>
    </xf>
    <xf numFmtId="0" fontId="3" fillId="0" borderId="0" xfId="0" applyFont="1" applyAlignment="1">
      <alignment horizontal="center" vertical="center"/>
    </xf>
    <xf numFmtId="0" fontId="12" fillId="3" borderId="43" xfId="0" applyFont="1" applyFill="1" applyBorder="1" applyAlignment="1">
      <alignment horizontal="center" vertical="center" wrapText="1"/>
    </xf>
    <xf numFmtId="0" fontId="4" fillId="2" borderId="41" xfId="0" applyFont="1" applyFill="1" applyBorder="1" applyAlignment="1">
      <alignment horizontal="center" vertical="center" wrapText="1"/>
    </xf>
    <xf numFmtId="0" fontId="12" fillId="3" borderId="41" xfId="0" applyFont="1" applyFill="1" applyBorder="1" applyAlignment="1">
      <alignment horizontal="center" vertical="center" wrapText="1"/>
    </xf>
    <xf numFmtId="0" fontId="20" fillId="0" borderId="4" xfId="0" applyFont="1" applyBorder="1" applyAlignment="1">
      <alignment vertical="center" wrapText="1"/>
    </xf>
    <xf numFmtId="0" fontId="20" fillId="0" borderId="8" xfId="0" applyFont="1" applyBorder="1" applyAlignment="1">
      <alignment vertical="center" wrapText="1"/>
    </xf>
    <xf numFmtId="0" fontId="21" fillId="0" borderId="4" xfId="0" applyFont="1" applyBorder="1" applyAlignment="1">
      <alignment vertical="center" wrapText="1"/>
    </xf>
    <xf numFmtId="0" fontId="6" fillId="0" borderId="33"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44" xfId="0" applyFont="1" applyBorder="1" applyAlignment="1">
      <alignment horizontal="center" vertical="center" wrapText="1"/>
    </xf>
    <xf numFmtId="0" fontId="14" fillId="0" borderId="44" xfId="0" applyFont="1" applyBorder="1" applyAlignment="1">
      <alignment horizontal="center" vertical="center" wrapText="1"/>
    </xf>
    <xf numFmtId="0" fontId="14" fillId="0" borderId="45" xfId="0" applyFont="1" applyBorder="1" applyAlignment="1">
      <alignment horizontal="center" vertical="center" wrapText="1"/>
    </xf>
    <xf numFmtId="0" fontId="8" fillId="3" borderId="46" xfId="0" applyFont="1" applyFill="1" applyBorder="1" applyAlignment="1">
      <alignment horizontal="center" vertical="center" wrapText="1"/>
    </xf>
    <xf numFmtId="0" fontId="5" fillId="0" borderId="47" xfId="0" applyFont="1" applyBorder="1" applyAlignment="1">
      <alignment horizontal="center" vertical="center"/>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0" fillId="0" borderId="9" xfId="0" applyBorder="1" applyAlignment="1">
      <alignment horizontal="center" vertical="center" wrapText="1"/>
    </xf>
    <xf numFmtId="0" fontId="6" fillId="0" borderId="12" xfId="0" applyFont="1" applyBorder="1" applyAlignment="1">
      <alignment horizontal="center" vertical="center" wrapText="1"/>
    </xf>
    <xf numFmtId="0" fontId="0" fillId="0" borderId="50" xfId="0" applyBorder="1" applyAlignment="1">
      <alignment horizontal="center" vertical="center" wrapText="1"/>
    </xf>
    <xf numFmtId="0" fontId="6"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15" xfId="0" applyFont="1" applyBorder="1" applyAlignment="1">
      <alignment horizontal="center" vertical="center"/>
    </xf>
    <xf numFmtId="9" fontId="22" fillId="0" borderId="9" xfId="0" applyNumberFormat="1" applyFont="1" applyBorder="1" applyAlignment="1">
      <alignment horizontal="left" vertical="center"/>
    </xf>
    <xf numFmtId="0" fontId="22" fillId="0" borderId="9" xfId="0" applyFont="1" applyBorder="1" applyAlignment="1">
      <alignment horizontal="left" vertical="center"/>
    </xf>
    <xf numFmtId="0" fontId="7" fillId="0" borderId="4" xfId="0" applyFont="1" applyBorder="1" applyAlignment="1">
      <alignment horizontal="left" vertical="center" wrapText="1"/>
    </xf>
    <xf numFmtId="0" fontId="11" fillId="0" borderId="0" xfId="0" applyFont="1" applyAlignment="1">
      <alignment horizontal="left"/>
    </xf>
    <xf numFmtId="0" fontId="10" fillId="0" borderId="3" xfId="0" applyFont="1" applyBorder="1" applyAlignment="1">
      <alignment horizontal="center" vertical="center" wrapText="1"/>
    </xf>
    <xf numFmtId="0" fontId="23" fillId="2" borderId="0" xfId="0" applyFont="1" applyFill="1" applyAlignment="1">
      <alignment horizontal="center" vertical="center"/>
    </xf>
    <xf numFmtId="0" fontId="24" fillId="0" borderId="0" xfId="0" applyFont="1" applyAlignment="1">
      <alignment horizontal="center" vertical="center"/>
    </xf>
    <xf numFmtId="0" fontId="21" fillId="0" borderId="8" xfId="0" applyFont="1" applyBorder="1" applyAlignment="1">
      <alignment vertical="center" wrapText="1"/>
    </xf>
    <xf numFmtId="0" fontId="21" fillId="0" borderId="4" xfId="0" applyFont="1" applyBorder="1" applyAlignment="1">
      <alignment wrapText="1"/>
    </xf>
    <xf numFmtId="0" fontId="25" fillId="0" borderId="0" xfId="0" applyFont="1"/>
    <xf numFmtId="0" fontId="26" fillId="2" borderId="41" xfId="0" applyFont="1" applyFill="1" applyBorder="1" applyAlignment="1">
      <alignment horizontal="center" vertical="center" wrapText="1"/>
    </xf>
    <xf numFmtId="0" fontId="6" fillId="0" borderId="8" xfId="0" applyFont="1" applyBorder="1" applyAlignment="1">
      <alignment horizontal="center" vertical="center" wrapText="1"/>
    </xf>
    <xf numFmtId="0" fontId="9" fillId="0" borderId="8" xfId="0" applyFont="1" applyBorder="1" applyAlignment="1">
      <alignment horizontal="center" vertical="center" wrapText="1"/>
    </xf>
    <xf numFmtId="0" fontId="6" fillId="0" borderId="8" xfId="0" applyFont="1" applyBorder="1" applyAlignment="1">
      <alignment vertical="center" wrapText="1"/>
    </xf>
    <xf numFmtId="0" fontId="6" fillId="0" borderId="36" xfId="0" applyFont="1" applyBorder="1" applyAlignment="1">
      <alignment horizontal="center" vertical="center" wrapText="1"/>
    </xf>
    <xf numFmtId="0" fontId="6" fillId="0" borderId="38"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15" xfId="0" applyFont="1" applyBorder="1" applyAlignment="1">
      <alignment horizontal="center" vertical="center"/>
    </xf>
    <xf numFmtId="0" fontId="21" fillId="0" borderId="40" xfId="0" applyFont="1" applyBorder="1" applyAlignment="1">
      <alignment vertical="center" wrapText="1"/>
    </xf>
    <xf numFmtId="0" fontId="27" fillId="0" borderId="9" xfId="0" applyFont="1" applyBorder="1" applyAlignment="1">
      <alignment vertical="center"/>
    </xf>
    <xf numFmtId="0" fontId="21" fillId="0" borderId="9" xfId="0" applyFont="1" applyBorder="1" applyAlignment="1">
      <alignment vertical="center" wrapText="1"/>
    </xf>
    <xf numFmtId="0" fontId="4" fillId="2" borderId="2"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36" xfId="0" applyBorder="1" applyAlignment="1">
      <alignment horizontal="center" vertical="center" wrapText="1"/>
    </xf>
    <xf numFmtId="0" fontId="6" fillId="0" borderId="52" xfId="0" applyFont="1" applyBorder="1" applyAlignment="1">
      <alignment horizontal="center" vertical="center" wrapText="1"/>
    </xf>
    <xf numFmtId="0" fontId="6" fillId="0" borderId="36" xfId="0" applyFont="1" applyBorder="1" applyAlignment="1">
      <alignment vertical="center" wrapText="1"/>
    </xf>
    <xf numFmtId="0" fontId="6" fillId="0" borderId="23" xfId="0" applyFont="1" applyBorder="1" applyAlignment="1">
      <alignment horizontal="center" vertical="center" wrapText="1"/>
    </xf>
    <xf numFmtId="0" fontId="6" fillId="0" borderId="53" xfId="0" applyFont="1" applyBorder="1" applyAlignment="1">
      <alignment vertical="center" wrapText="1"/>
    </xf>
    <xf numFmtId="0" fontId="6" fillId="0" borderId="20" xfId="0" applyFont="1" applyBorder="1" applyAlignment="1">
      <alignment vertical="center" wrapText="1"/>
    </xf>
    <xf numFmtId="0" fontId="6" fillId="0" borderId="22" xfId="0" applyFont="1" applyBorder="1" applyAlignment="1">
      <alignment vertical="center" wrapText="1"/>
    </xf>
    <xf numFmtId="0" fontId="6" fillId="0" borderId="20" xfId="0" applyFont="1" applyBorder="1" applyAlignment="1">
      <alignment horizontal="center" vertical="center" wrapText="1"/>
    </xf>
    <xf numFmtId="0" fontId="29" fillId="0" borderId="4" xfId="1" applyBorder="1" applyAlignment="1">
      <alignment horizontal="center" vertical="center" wrapText="1"/>
    </xf>
    <xf numFmtId="0" fontId="6" fillId="0" borderId="23" xfId="0" applyFont="1" applyBorder="1" applyAlignment="1">
      <alignment vertical="center" wrapText="1"/>
    </xf>
    <xf numFmtId="0" fontId="0" fillId="0" borderId="15" xfId="0" applyBorder="1" applyAlignment="1">
      <alignment horizontal="center" vertical="center" wrapText="1"/>
    </xf>
    <xf numFmtId="0" fontId="6" fillId="0" borderId="50" xfId="0" applyFont="1" applyBorder="1" applyAlignment="1">
      <alignment vertical="center" wrapText="1"/>
    </xf>
    <xf numFmtId="0" fontId="6" fillId="0" borderId="54" xfId="0" applyFont="1" applyBorder="1" applyAlignment="1">
      <alignment horizontal="center" vertical="center" wrapText="1"/>
    </xf>
    <xf numFmtId="0" fontId="5" fillId="0" borderId="9" xfId="0" applyFont="1" applyBorder="1" applyAlignment="1">
      <alignment vertical="center" wrapText="1"/>
    </xf>
    <xf numFmtId="0" fontId="2" fillId="0" borderId="0" xfId="0" applyFont="1" applyAlignment="1">
      <alignment vertical="center" wrapText="1"/>
    </xf>
    <xf numFmtId="0" fontId="9" fillId="0" borderId="9" xfId="0" applyFont="1" applyBorder="1" applyAlignment="1">
      <alignment horizontal="center" vertical="center" wrapText="1"/>
    </xf>
    <xf numFmtId="0" fontId="6" fillId="0" borderId="53" xfId="0" applyFont="1" applyBorder="1" applyAlignment="1">
      <alignment horizontal="center" vertical="center" wrapText="1"/>
    </xf>
    <xf numFmtId="0" fontId="9" fillId="0" borderId="10" xfId="0" applyFont="1" applyBorder="1" applyAlignment="1">
      <alignment horizontal="center" vertical="center" wrapText="1"/>
    </xf>
    <xf numFmtId="0" fontId="6" fillId="0" borderId="47" xfId="0" applyFont="1" applyBorder="1" applyAlignment="1">
      <alignment horizontal="center" vertical="center" wrapText="1"/>
    </xf>
    <xf numFmtId="0" fontId="5" fillId="0" borderId="44" xfId="1" applyFont="1" applyBorder="1" applyAlignment="1">
      <alignment horizontal="center" vertical="center" wrapText="1"/>
    </xf>
    <xf numFmtId="0" fontId="29" fillId="0" borderId="8" xfId="1" applyBorder="1" applyAlignment="1">
      <alignment horizontal="center" vertical="center" wrapText="1"/>
    </xf>
    <xf numFmtId="0" fontId="5" fillId="0" borderId="9" xfId="1" applyFont="1" applyBorder="1" applyAlignment="1">
      <alignment horizontal="center" vertical="center" wrapText="1"/>
    </xf>
    <xf numFmtId="0" fontId="14" fillId="0" borderId="9" xfId="0" applyFont="1" applyBorder="1" applyAlignment="1">
      <alignment horizontal="center" vertical="center" wrapText="1"/>
    </xf>
    <xf numFmtId="0" fontId="6" fillId="0" borderId="55" xfId="0" applyFont="1" applyBorder="1" applyAlignment="1">
      <alignment horizontal="left" vertical="center" wrapText="1"/>
    </xf>
    <xf numFmtId="0" fontId="6" fillId="0" borderId="9" xfId="0" applyFont="1" applyBorder="1" applyAlignment="1">
      <alignment horizontal="left" vertical="center" wrapText="1"/>
    </xf>
    <xf numFmtId="0" fontId="4" fillId="2" borderId="56"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wrapText="1"/>
    </xf>
    <xf numFmtId="0" fontId="11" fillId="0" borderId="0" xfId="0" applyFont="1" applyAlignment="1">
      <alignment horizontal="center"/>
    </xf>
    <xf numFmtId="0" fontId="8" fillId="3" borderId="57" xfId="0" applyFont="1" applyFill="1" applyBorder="1" applyAlignment="1">
      <alignment horizontal="center" vertical="center" wrapText="1"/>
    </xf>
    <xf numFmtId="0" fontId="6" fillId="0" borderId="59" xfId="0" applyFont="1" applyBorder="1" applyAlignment="1">
      <alignment vertical="center" wrapText="1"/>
    </xf>
    <xf numFmtId="0" fontId="6" fillId="0" borderId="60" xfId="0" applyFont="1" applyBorder="1" applyAlignment="1">
      <alignment horizontal="center" vertical="center" wrapText="1"/>
    </xf>
    <xf numFmtId="0" fontId="8" fillId="3" borderId="61" xfId="0" applyFont="1" applyFill="1" applyBorder="1" applyAlignment="1">
      <alignment horizontal="center" vertical="center" wrapText="1"/>
    </xf>
    <xf numFmtId="0" fontId="8" fillId="3" borderId="62" xfId="0" applyFont="1" applyFill="1" applyBorder="1" applyAlignment="1">
      <alignment horizontal="center" vertical="center" wrapText="1"/>
    </xf>
    <xf numFmtId="0" fontId="13" fillId="3" borderId="62" xfId="0" applyFont="1" applyFill="1" applyBorder="1" applyAlignment="1">
      <alignment horizontal="center" vertical="center" wrapText="1"/>
    </xf>
    <xf numFmtId="0" fontId="12" fillId="3" borderId="62" xfId="0" applyFont="1" applyFill="1" applyBorder="1" applyAlignment="1">
      <alignment horizontal="center" vertical="center" wrapText="1"/>
    </xf>
    <xf numFmtId="0" fontId="12" fillId="3" borderId="63" xfId="0" applyFont="1" applyFill="1" applyBorder="1" applyAlignment="1">
      <alignment horizontal="center" vertical="center" wrapText="1"/>
    </xf>
    <xf numFmtId="0" fontId="7" fillId="0" borderId="22" xfId="0" applyFont="1" applyBorder="1" applyAlignment="1">
      <alignment vertical="center" wrapText="1"/>
    </xf>
    <xf numFmtId="0" fontId="7" fillId="0" borderId="23" xfId="0" applyFont="1" applyBorder="1" applyAlignment="1">
      <alignment vertical="center" wrapText="1"/>
    </xf>
    <xf numFmtId="0" fontId="7" fillId="0" borderId="23" xfId="0" applyFont="1" applyBorder="1" applyAlignment="1">
      <alignment wrapText="1"/>
    </xf>
    <xf numFmtId="0" fontId="7" fillId="0" borderId="9" xfId="0" applyFont="1" applyBorder="1" applyAlignment="1">
      <alignment vertical="center" wrapText="1"/>
    </xf>
    <xf numFmtId="0" fontId="20" fillId="0" borderId="9" xfId="0" applyFont="1" applyBorder="1" applyAlignment="1">
      <alignment vertical="center" wrapText="1"/>
    </xf>
    <xf numFmtId="0" fontId="7" fillId="0" borderId="9" xfId="0" applyFont="1" applyBorder="1" applyAlignment="1">
      <alignment wrapText="1"/>
    </xf>
    <xf numFmtId="0" fontId="7" fillId="0" borderId="9" xfId="0" applyFont="1" applyBorder="1" applyAlignment="1">
      <alignment horizontal="center" vertical="center" wrapText="1"/>
    </xf>
    <xf numFmtId="0" fontId="7" fillId="0" borderId="9" xfId="0" applyFont="1" applyBorder="1" applyAlignment="1">
      <alignment horizontal="center" wrapText="1"/>
    </xf>
    <xf numFmtId="0" fontId="20" fillId="0" borderId="36" xfId="0" applyFont="1" applyBorder="1" applyAlignment="1">
      <alignment vertical="center" wrapText="1"/>
    </xf>
    <xf numFmtId="0" fontId="12" fillId="3" borderId="64" xfId="0" applyFont="1" applyFill="1" applyBorder="1" applyAlignment="1">
      <alignment horizontal="center" vertical="center" wrapText="1"/>
    </xf>
    <xf numFmtId="0" fontId="6" fillId="0" borderId="13" xfId="0" applyFont="1" applyBorder="1" applyAlignment="1">
      <alignment horizontal="center" wrapText="1"/>
    </xf>
    <xf numFmtId="0" fontId="7" fillId="0" borderId="36" xfId="0" applyFont="1" applyBorder="1" applyAlignment="1">
      <alignment horizontal="center" vertical="center" wrapText="1"/>
    </xf>
    <xf numFmtId="0" fontId="7" fillId="0" borderId="23" xfId="0" applyFont="1" applyBorder="1" applyAlignment="1">
      <alignment horizontal="left" vertical="center" wrapText="1"/>
    </xf>
    <xf numFmtId="0" fontId="7" fillId="0" borderId="23" xfId="0" applyFont="1" applyBorder="1" applyAlignment="1">
      <alignment horizontal="left" wrapText="1"/>
    </xf>
    <xf numFmtId="0" fontId="21" fillId="0" borderId="13" xfId="0" applyFont="1" applyBorder="1" applyAlignment="1">
      <alignment vertical="center" wrapText="1"/>
    </xf>
    <xf numFmtId="0" fontId="7" fillId="0" borderId="40" xfId="0" applyFont="1" applyBorder="1" applyAlignment="1">
      <alignment horizontal="center" vertical="center" wrapText="1"/>
    </xf>
    <xf numFmtId="0" fontId="7" fillId="0" borderId="65" xfId="0" applyFont="1" applyBorder="1" applyAlignment="1">
      <alignment horizontal="left" vertical="center" wrapText="1"/>
    </xf>
    <xf numFmtId="9" fontId="22" fillId="0" borderId="20" xfId="0" applyNumberFormat="1" applyFont="1" applyBorder="1" applyAlignment="1">
      <alignment horizontal="left" vertical="center"/>
    </xf>
    <xf numFmtId="0" fontId="22" fillId="0" borderId="20" xfId="0" applyFont="1" applyBorder="1" applyAlignment="1">
      <alignment horizontal="left" vertical="center" wrapText="1"/>
    </xf>
    <xf numFmtId="0" fontId="21" fillId="0" borderId="52" xfId="0" applyFont="1" applyBorder="1" applyAlignment="1">
      <alignment vertical="center" wrapText="1"/>
    </xf>
    <xf numFmtId="0" fontId="7" fillId="0" borderId="40" xfId="0" applyFont="1" applyBorder="1" applyAlignment="1">
      <alignment wrapText="1"/>
    </xf>
    <xf numFmtId="0" fontId="6" fillId="0" borderId="60" xfId="0" applyFont="1" applyBorder="1" applyAlignment="1">
      <alignment vertical="center" wrapText="1"/>
    </xf>
    <xf numFmtId="0" fontId="6" fillId="0" borderId="24" xfId="0" applyFont="1" applyBorder="1" applyAlignment="1">
      <alignment horizontal="center" vertical="center" wrapText="1"/>
    </xf>
    <xf numFmtId="0" fontId="8" fillId="3" borderId="66" xfId="0" applyFont="1" applyFill="1" applyBorder="1" applyAlignment="1">
      <alignment horizontal="center" vertical="center" wrapText="1"/>
    </xf>
    <xf numFmtId="0" fontId="7" fillId="0" borderId="8" xfId="0" applyFont="1" applyBorder="1" applyAlignment="1">
      <alignment vertical="center" wrapText="1"/>
    </xf>
    <xf numFmtId="0" fontId="7" fillId="0" borderId="44" xfId="0" applyFont="1" applyBorder="1" applyAlignment="1">
      <alignment vertical="center" wrapText="1"/>
    </xf>
    <xf numFmtId="0" fontId="7" fillId="0" borderId="70" xfId="0" applyFont="1" applyBorder="1" applyAlignment="1">
      <alignment horizontal="center" vertical="center" wrapText="1"/>
    </xf>
    <xf numFmtId="0" fontId="20" fillId="0" borderId="40" xfId="0" applyFont="1" applyBorder="1" applyAlignment="1">
      <alignment vertical="center" wrapText="1"/>
    </xf>
    <xf numFmtId="0" fontId="20" fillId="0" borderId="9" xfId="0" applyFont="1" applyBorder="1" applyAlignment="1">
      <alignment wrapText="1"/>
    </xf>
    <xf numFmtId="0" fontId="6" fillId="0" borderId="15" xfId="0" applyFont="1" applyBorder="1" applyAlignment="1">
      <alignment horizontal="center" vertical="center" wrapText="1"/>
    </xf>
    <xf numFmtId="0" fontId="6" fillId="0" borderId="55" xfId="0" applyFont="1" applyBorder="1" applyAlignment="1">
      <alignment horizontal="center" vertical="center" wrapText="1"/>
    </xf>
    <xf numFmtId="0" fontId="6" fillId="0" borderId="71" xfId="0" applyFont="1" applyBorder="1" applyAlignment="1">
      <alignment horizontal="center" vertical="center" wrapText="1"/>
    </xf>
    <xf numFmtId="0" fontId="2" fillId="0" borderId="9" xfId="0" applyFont="1" applyBorder="1" applyAlignment="1">
      <alignment vertical="center" wrapText="1"/>
    </xf>
    <xf numFmtId="0" fontId="5" fillId="0" borderId="0" xfId="0" applyFont="1" applyAlignment="1">
      <alignment vertical="center" wrapText="1"/>
    </xf>
    <xf numFmtId="0" fontId="5" fillId="0" borderId="9" xfId="1" applyFont="1" applyBorder="1" applyAlignment="1">
      <alignment horizontal="center" vertical="center"/>
    </xf>
    <xf numFmtId="9" fontId="14" fillId="0" borderId="4" xfId="0" applyNumberFormat="1" applyFont="1" applyBorder="1" applyAlignment="1">
      <alignment horizontal="center" vertical="center" wrapText="1"/>
    </xf>
    <xf numFmtId="0" fontId="6" fillId="0" borderId="40" xfId="0" applyFont="1" applyBorder="1" applyAlignment="1">
      <alignment horizontal="center" wrapText="1"/>
    </xf>
    <xf numFmtId="0" fontId="14" fillId="0" borderId="40" xfId="0" applyFont="1" applyBorder="1" applyAlignment="1">
      <alignment horizontal="center" wrapText="1"/>
    </xf>
    <xf numFmtId="0" fontId="6" fillId="0" borderId="40" xfId="0" applyFont="1" applyBorder="1" applyAlignment="1">
      <alignment wrapText="1"/>
    </xf>
    <xf numFmtId="0" fontId="6" fillId="0" borderId="24" xfId="0" applyFont="1" applyBorder="1" applyAlignment="1">
      <alignment vertical="center" wrapText="1"/>
    </xf>
    <xf numFmtId="0" fontId="6" fillId="0" borderId="14" xfId="0" applyFont="1" applyBorder="1" applyAlignment="1">
      <alignment horizontal="center" wrapText="1"/>
    </xf>
    <xf numFmtId="0" fontId="7" fillId="0" borderId="24" xfId="0" applyFont="1" applyBorder="1" applyAlignment="1">
      <alignment wrapText="1"/>
    </xf>
    <xf numFmtId="0" fontId="11" fillId="0" borderId="10" xfId="0" applyFont="1" applyBorder="1"/>
    <xf numFmtId="0" fontId="3" fillId="0" borderId="9" xfId="0" applyFont="1" applyBorder="1" applyAlignment="1">
      <alignment horizontal="center"/>
    </xf>
    <xf numFmtId="0" fontId="15" fillId="0" borderId="9" xfId="0" applyFont="1" applyBorder="1" applyAlignment="1">
      <alignment horizontal="center"/>
    </xf>
    <xf numFmtId="0" fontId="2" fillId="0" borderId="9" xfId="0" applyFont="1" applyBorder="1"/>
    <xf numFmtId="0" fontId="11" fillId="0" borderId="9" xfId="0" applyFont="1" applyBorder="1" applyAlignment="1">
      <alignment horizontal="center"/>
    </xf>
    <xf numFmtId="0" fontId="6" fillId="0" borderId="14" xfId="0" applyFont="1" applyBorder="1" applyAlignment="1">
      <alignment horizontal="center" vertical="center" wrapText="1"/>
    </xf>
    <xf numFmtId="0" fontId="15" fillId="0" borderId="9" xfId="0" applyFont="1" applyBorder="1" applyAlignment="1">
      <alignment horizontal="center" vertical="center"/>
    </xf>
    <xf numFmtId="0" fontId="14" fillId="0" borderId="40"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20" xfId="0" applyFont="1" applyBorder="1" applyAlignment="1">
      <alignment vertical="center" wrapText="1"/>
    </xf>
    <xf numFmtId="0" fontId="6" fillId="0" borderId="20" xfId="0" applyFont="1" applyBorder="1" applyAlignment="1">
      <alignment horizontal="left" vertical="center" wrapText="1"/>
    </xf>
    <xf numFmtId="0" fontId="6" fillId="0" borderId="50" xfId="0" applyFont="1" applyBorder="1" applyAlignment="1">
      <alignment horizontal="center" vertical="center" wrapText="1"/>
    </xf>
    <xf numFmtId="0" fontId="2" fillId="0" borderId="20" xfId="0" applyFont="1" applyBorder="1" applyAlignment="1">
      <alignment vertical="center" wrapText="1"/>
    </xf>
    <xf numFmtId="0" fontId="30" fillId="0" borderId="4" xfId="0" applyFont="1" applyBorder="1" applyAlignment="1">
      <alignment horizontal="center" vertical="center" wrapText="1"/>
    </xf>
    <xf numFmtId="0" fontId="6" fillId="0" borderId="18" xfId="0" applyFont="1" applyBorder="1" applyAlignment="1">
      <alignment horizontal="center" vertical="center" wrapText="1"/>
    </xf>
    <xf numFmtId="0" fontId="7" fillId="0" borderId="40" xfId="0" applyFont="1" applyBorder="1" applyAlignment="1">
      <alignment vertical="center" wrapText="1"/>
    </xf>
    <xf numFmtId="0" fontId="7" fillId="0" borderId="45" xfId="0" applyFont="1" applyBorder="1" applyAlignment="1">
      <alignment horizontal="center" vertical="center" wrapText="1"/>
    </xf>
    <xf numFmtId="0" fontId="10" fillId="0" borderId="10" xfId="0" applyFont="1" applyBorder="1" applyAlignment="1">
      <alignment horizontal="center" vertical="center" wrapText="1"/>
    </xf>
    <xf numFmtId="9" fontId="7" fillId="0" borderId="23" xfId="0" applyNumberFormat="1" applyFont="1" applyBorder="1" applyAlignment="1">
      <alignment vertical="center" wrapText="1"/>
    </xf>
    <xf numFmtId="0" fontId="12" fillId="3" borderId="72" xfId="0" applyFont="1" applyFill="1" applyBorder="1" applyAlignment="1">
      <alignment horizontal="center" vertical="center" wrapText="1"/>
    </xf>
    <xf numFmtId="0" fontId="5" fillId="0" borderId="9" xfId="0" applyFont="1" applyBorder="1" applyAlignment="1">
      <alignment horizontal="center" vertical="center"/>
    </xf>
    <xf numFmtId="0" fontId="7" fillId="0" borderId="44" xfId="0" applyFont="1" applyBorder="1" applyAlignment="1">
      <alignment horizontal="center" vertical="center" wrapText="1"/>
    </xf>
    <xf numFmtId="9" fontId="7" fillId="0" borderId="23" xfId="0" applyNumberFormat="1"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11" fillId="0" borderId="9" xfId="0" applyFont="1" applyBorder="1" applyAlignment="1">
      <alignment horizontal="center" vertical="center"/>
    </xf>
    <xf numFmtId="0" fontId="11" fillId="0" borderId="0" xfId="0" applyFont="1" applyAlignment="1">
      <alignment horizontal="center" vertical="center"/>
    </xf>
    <xf numFmtId="0" fontId="0" fillId="0" borderId="0" xfId="0" applyAlignment="1">
      <alignment horizontal="center" vertical="center" wrapText="1"/>
    </xf>
    <xf numFmtId="0" fontId="31" fillId="6" borderId="8" xfId="1" applyFont="1" applyFill="1" applyBorder="1" applyAlignment="1">
      <alignment horizontal="center" vertical="center" wrapText="1"/>
    </xf>
    <xf numFmtId="0" fontId="31" fillId="6" borderId="4" xfId="1" applyFont="1" applyFill="1" applyBorder="1" applyAlignment="1">
      <alignment horizontal="center" vertical="center" wrapText="1"/>
    </xf>
    <xf numFmtId="9" fontId="7" fillId="0" borderId="17" xfId="0" applyNumberFormat="1"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11" fillId="0" borderId="15" xfId="0" applyFont="1" applyBorder="1" applyAlignment="1">
      <alignment horizontal="center" vertical="center"/>
    </xf>
    <xf numFmtId="0" fontId="10" fillId="0" borderId="8" xfId="0" applyFont="1" applyBorder="1" applyAlignment="1">
      <alignment horizontal="center" vertical="center" wrapText="1"/>
    </xf>
    <xf numFmtId="0" fontId="0" fillId="0" borderId="9" xfId="0" applyBorder="1" applyAlignment="1">
      <alignment wrapText="1"/>
    </xf>
    <xf numFmtId="0" fontId="15" fillId="0" borderId="15" xfId="0" applyFont="1" applyBorder="1" applyAlignment="1">
      <alignment horizontal="center"/>
    </xf>
    <xf numFmtId="0" fontId="8" fillId="3" borderId="43" xfId="0" applyFont="1" applyFill="1" applyBorder="1" applyAlignment="1">
      <alignment horizontal="center" vertical="center" wrapText="1"/>
    </xf>
    <xf numFmtId="0" fontId="8" fillId="3" borderId="75" xfId="0" applyFont="1" applyFill="1" applyBorder="1" applyAlignment="1">
      <alignment horizontal="center" vertical="center" wrapText="1"/>
    </xf>
    <xf numFmtId="0" fontId="6" fillId="0" borderId="19" xfId="0" applyFont="1" applyBorder="1" applyAlignment="1">
      <alignment horizontal="center" vertical="center" wrapText="1"/>
    </xf>
    <xf numFmtId="0" fontId="6" fillId="0" borderId="70"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6" xfId="0" applyFont="1" applyBorder="1" applyAlignment="1">
      <alignment horizontal="center" vertical="center"/>
    </xf>
    <xf numFmtId="0" fontId="14" fillId="0" borderId="36" xfId="0" applyFont="1" applyBorder="1" applyAlignment="1">
      <alignment horizontal="center" vertical="center" wrapText="1"/>
    </xf>
    <xf numFmtId="0" fontId="4" fillId="3" borderId="1" xfId="0" applyFont="1" applyFill="1" applyBorder="1" applyAlignment="1">
      <alignment horizontal="center" vertical="center" wrapText="1"/>
    </xf>
    <xf numFmtId="0" fontId="5" fillId="0" borderId="9" xfId="0" applyFont="1" applyBorder="1"/>
    <xf numFmtId="0" fontId="6" fillId="0" borderId="17" xfId="0" applyFont="1" applyBorder="1" applyAlignment="1">
      <alignment vertical="center" wrapText="1"/>
    </xf>
    <xf numFmtId="0" fontId="5" fillId="0" borderId="19" xfId="0" applyFont="1" applyBorder="1" applyAlignment="1">
      <alignment vertical="center" wrapText="1"/>
    </xf>
    <xf numFmtId="0" fontId="6" fillId="0" borderId="19" xfId="0" applyFont="1" applyBorder="1" applyAlignment="1">
      <alignment horizontal="left" vertical="center" wrapText="1"/>
    </xf>
    <xf numFmtId="0" fontId="7" fillId="0" borderId="52" xfId="0" applyFont="1" applyBorder="1" applyAlignment="1">
      <alignment horizontal="center" vertical="center" wrapText="1"/>
    </xf>
    <xf numFmtId="0" fontId="11" fillId="0" borderId="15" xfId="0" applyFont="1" applyBorder="1" applyAlignment="1">
      <alignment horizontal="center"/>
    </xf>
    <xf numFmtId="0" fontId="7" fillId="0" borderId="53"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0" xfId="0" applyFont="1" applyBorder="1" applyAlignment="1">
      <alignment horizontal="center" vertical="center" wrapText="1"/>
    </xf>
    <xf numFmtId="0" fontId="11" fillId="0" borderId="20" xfId="0" applyFont="1" applyBorder="1" applyAlignment="1">
      <alignment horizontal="center" vertical="center"/>
    </xf>
    <xf numFmtId="9" fontId="7" fillId="0" borderId="9" xfId="0" applyNumberFormat="1" applyFont="1" applyBorder="1" applyAlignment="1">
      <alignment horizontal="center" vertical="center" wrapText="1"/>
    </xf>
    <xf numFmtId="0" fontId="7" fillId="0" borderId="9" xfId="0" applyFont="1" applyBorder="1" applyAlignment="1">
      <alignment horizontal="left" vertical="center" wrapText="1"/>
    </xf>
    <xf numFmtId="0" fontId="21" fillId="0" borderId="15" xfId="0" applyFont="1" applyBorder="1" applyAlignment="1">
      <alignment vertical="center" wrapText="1"/>
    </xf>
    <xf numFmtId="0" fontId="5" fillId="0" borderId="9" xfId="0" applyFont="1" applyBorder="1" applyAlignment="1">
      <alignment vertical="center"/>
    </xf>
    <xf numFmtId="0" fontId="5" fillId="0" borderId="9" xfId="0" applyFont="1" applyBorder="1" applyAlignment="1">
      <alignment horizontal="left" vertical="center" wrapText="1"/>
    </xf>
    <xf numFmtId="0" fontId="5" fillId="0" borderId="9" xfId="0" applyFont="1" applyBorder="1" applyAlignment="1">
      <alignment wrapText="1"/>
    </xf>
    <xf numFmtId="0" fontId="18" fillId="0" borderId="15" xfId="0" applyFont="1" applyBorder="1" applyAlignment="1">
      <alignment horizontal="center" vertical="center" wrapText="1"/>
    </xf>
    <xf numFmtId="0" fontId="6" fillId="0" borderId="20" xfId="0" applyFont="1" applyBorder="1" applyAlignment="1">
      <alignment horizontal="center" wrapText="1"/>
    </xf>
    <xf numFmtId="0" fontId="18" fillId="0" borderId="9" xfId="0" applyFont="1" applyBorder="1" applyAlignment="1">
      <alignment horizontal="center" vertical="center"/>
    </xf>
    <xf numFmtId="0" fontId="5" fillId="0" borderId="36" xfId="0" applyFont="1" applyBorder="1" applyAlignment="1">
      <alignment vertical="center" wrapText="1"/>
    </xf>
    <xf numFmtId="0" fontId="6" fillId="4" borderId="36" xfId="0" applyFont="1" applyFill="1" applyBorder="1" applyAlignment="1">
      <alignment horizontal="center" vertical="center" wrapText="1"/>
    </xf>
    <xf numFmtId="0" fontId="10" fillId="4" borderId="36" xfId="0" applyFont="1" applyFill="1" applyBorder="1" applyAlignment="1">
      <alignment horizontal="center" vertical="center" wrapText="1"/>
    </xf>
    <xf numFmtId="0" fontId="9" fillId="4" borderId="36" xfId="0" applyFont="1" applyFill="1" applyBorder="1" applyAlignment="1">
      <alignment horizontal="center" vertical="center" wrapText="1"/>
    </xf>
    <xf numFmtId="0" fontId="0" fillId="4" borderId="36" xfId="0" applyFill="1" applyBorder="1" applyAlignment="1">
      <alignment horizontal="center" vertical="center" wrapText="1"/>
    </xf>
    <xf numFmtId="0" fontId="0" fillId="4" borderId="36" xfId="0" applyFill="1" applyBorder="1" applyAlignment="1">
      <alignment horizontal="center" vertical="center"/>
    </xf>
    <xf numFmtId="0" fontId="14" fillId="4" borderId="36"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0" fillId="4" borderId="9" xfId="0" applyFill="1" applyBorder="1" applyAlignment="1">
      <alignment horizontal="center" vertical="center" wrapText="1"/>
    </xf>
    <xf numFmtId="0" fontId="0" fillId="4" borderId="9" xfId="0" applyFill="1" applyBorder="1" applyAlignment="1">
      <alignment horizontal="center" vertical="center"/>
    </xf>
    <xf numFmtId="0" fontId="14" fillId="4" borderId="9" xfId="0" applyFont="1" applyFill="1" applyBorder="1" applyAlignment="1">
      <alignment horizontal="center" vertical="center" wrapText="1"/>
    </xf>
    <xf numFmtId="0" fontId="28" fillId="4" borderId="36" xfId="0" applyFont="1" applyFill="1" applyBorder="1" applyAlignment="1">
      <alignment horizontal="center" vertical="center" wrapText="1"/>
    </xf>
    <xf numFmtId="0" fontId="5" fillId="4" borderId="36" xfId="1" applyFont="1" applyFill="1" applyBorder="1" applyAlignment="1">
      <alignment horizontal="center" vertical="center" wrapText="1"/>
    </xf>
    <xf numFmtId="0" fontId="6" fillId="4" borderId="8"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6" fillId="4" borderId="40" xfId="0" applyFont="1" applyFill="1" applyBorder="1" applyAlignment="1">
      <alignment horizontal="center" wrapText="1"/>
    </xf>
    <xf numFmtId="0" fontId="14" fillId="4" borderId="40" xfId="0" applyFont="1" applyFill="1" applyBorder="1" applyAlignment="1">
      <alignment horizontal="center" vertical="center" wrapText="1"/>
    </xf>
    <xf numFmtId="0" fontId="2" fillId="4" borderId="9" xfId="0" applyFont="1" applyFill="1" applyBorder="1" applyAlignment="1">
      <alignment horizontal="center"/>
    </xf>
    <xf numFmtId="0" fontId="15" fillId="4" borderId="9" xfId="0" applyFont="1" applyFill="1" applyBorder="1" applyAlignment="1">
      <alignment horizontal="center" vertical="center"/>
    </xf>
    <xf numFmtId="0" fontId="7" fillId="0" borderId="40" xfId="0" applyFont="1" applyBorder="1" applyAlignment="1">
      <alignment horizontal="left" vertical="center" wrapText="1"/>
    </xf>
    <xf numFmtId="0" fontId="5" fillId="0" borderId="0" xfId="0" applyFont="1" applyAlignment="1">
      <alignment horizontal="center" vertical="center"/>
    </xf>
    <xf numFmtId="0" fontId="2" fillId="0" borderId="0" xfId="0" applyFont="1" applyAlignment="1">
      <alignment horizontal="center" vertical="center" wrapText="1"/>
    </xf>
    <xf numFmtId="0" fontId="35" fillId="0" borderId="0" xfId="0" applyFont="1" applyAlignment="1">
      <alignment horizontal="center" vertical="center"/>
    </xf>
    <xf numFmtId="0" fontId="36" fillId="7" borderId="77" xfId="0" applyFont="1" applyFill="1" applyBorder="1" applyAlignment="1">
      <alignment horizontal="center" vertical="center" wrapText="1"/>
    </xf>
    <xf numFmtId="0" fontId="37" fillId="0" borderId="78" xfId="0" applyFont="1" applyBorder="1" applyAlignment="1">
      <alignment horizontal="center" vertical="center" wrapText="1"/>
    </xf>
    <xf numFmtId="0" fontId="38" fillId="0" borderId="10" xfId="0" applyFont="1" applyBorder="1" applyAlignment="1">
      <alignment horizontal="center" vertical="center" wrapText="1"/>
    </xf>
    <xf numFmtId="0" fontId="35" fillId="0" borderId="10" xfId="0" applyFont="1" applyBorder="1" applyAlignment="1">
      <alignment horizontal="center" vertical="center"/>
    </xf>
    <xf numFmtId="0" fontId="35" fillId="0" borderId="10" xfId="0" applyFont="1" applyBorder="1" applyAlignment="1">
      <alignment horizontal="center" vertical="center" wrapText="1"/>
    </xf>
    <xf numFmtId="0" fontId="35" fillId="0" borderId="54" xfId="0" applyFont="1" applyBorder="1" applyAlignment="1">
      <alignment horizontal="center" vertical="center" wrapText="1"/>
    </xf>
    <xf numFmtId="0" fontId="38" fillId="0" borderId="80" xfId="0" applyFont="1" applyBorder="1" applyAlignment="1">
      <alignment horizontal="center" vertical="center" wrapText="1"/>
    </xf>
    <xf numFmtId="0" fontId="38" fillId="0" borderId="83" xfId="0" applyFont="1" applyBorder="1" applyAlignment="1">
      <alignment horizontal="center" vertical="center" wrapText="1"/>
    </xf>
    <xf numFmtId="0" fontId="38" fillId="0" borderId="80" xfId="0" applyFont="1" applyBorder="1" applyAlignment="1">
      <alignment horizontal="center" vertical="center"/>
    </xf>
    <xf numFmtId="0" fontId="39" fillId="8" borderId="31" xfId="0" applyFont="1" applyFill="1" applyBorder="1" applyAlignment="1">
      <alignment horizontal="center" vertical="center" wrapText="1"/>
    </xf>
    <xf numFmtId="0" fontId="37" fillId="0" borderId="83" xfId="0" applyFont="1" applyBorder="1" applyAlignment="1">
      <alignment horizontal="center" vertical="center" wrapText="1"/>
    </xf>
    <xf numFmtId="0" fontId="35" fillId="0" borderId="80" xfId="0" applyFont="1" applyBorder="1" applyAlignment="1">
      <alignment horizontal="center" vertical="center"/>
    </xf>
    <xf numFmtId="0" fontId="6" fillId="0" borderId="80" xfId="0" applyFont="1" applyBorder="1" applyAlignment="1">
      <alignment horizontal="center" vertical="center" wrapText="1"/>
    </xf>
    <xf numFmtId="0" fontId="35" fillId="0" borderId="78" xfId="0" applyFont="1" applyBorder="1" applyAlignment="1">
      <alignment horizontal="center" vertical="center" wrapText="1"/>
    </xf>
    <xf numFmtId="0" fontId="35" fillId="0" borderId="83" xfId="0" applyFont="1" applyBorder="1" applyAlignment="1">
      <alignment horizontal="center" vertical="center" wrapText="1"/>
    </xf>
    <xf numFmtId="0" fontId="38" fillId="0" borderId="81" xfId="0" applyFont="1" applyBorder="1" applyAlignment="1">
      <alignment horizontal="center" vertical="center" wrapText="1"/>
    </xf>
    <xf numFmtId="0" fontId="38" fillId="0" borderId="84" xfId="0" applyFont="1" applyBorder="1" applyAlignment="1">
      <alignment horizontal="center" vertical="center" wrapText="1"/>
    </xf>
    <xf numFmtId="0" fontId="38" fillId="0" borderId="81" xfId="0" applyFont="1" applyBorder="1" applyAlignment="1">
      <alignment horizontal="center" vertical="center"/>
    </xf>
    <xf numFmtId="0" fontId="41" fillId="9" borderId="85" xfId="0" applyFont="1" applyFill="1" applyBorder="1" applyAlignment="1">
      <alignment horizontal="center" vertical="center" wrapText="1"/>
    </xf>
    <xf numFmtId="0" fontId="35" fillId="0" borderId="79" xfId="0" applyFont="1" applyBorder="1" applyAlignment="1">
      <alignment horizontal="center" vertical="center"/>
    </xf>
    <xf numFmtId="0" fontId="38" fillId="0" borderId="79" xfId="0" applyFont="1" applyBorder="1" applyAlignment="1">
      <alignment horizontal="center" vertical="center" wrapText="1"/>
    </xf>
    <xf numFmtId="0" fontId="6" fillId="0" borderId="79" xfId="0" applyFont="1" applyBorder="1" applyAlignment="1">
      <alignment horizontal="center" vertical="center" wrapText="1"/>
    </xf>
    <xf numFmtId="0" fontId="42" fillId="0" borderId="79" xfId="0" applyFont="1" applyBorder="1" applyAlignment="1">
      <alignment horizontal="center" vertical="center"/>
    </xf>
    <xf numFmtId="0" fontId="42" fillId="0" borderId="78" xfId="0" applyFont="1" applyBorder="1" applyAlignment="1">
      <alignment horizontal="center" vertical="center" wrapText="1"/>
    </xf>
    <xf numFmtId="0" fontId="41" fillId="9" borderId="87" xfId="0" applyFont="1" applyFill="1" applyBorder="1" applyAlignment="1">
      <alignment horizontal="center" vertical="center" wrapText="1"/>
    </xf>
    <xf numFmtId="0" fontId="39" fillId="8" borderId="85" xfId="0" applyFont="1" applyFill="1" applyBorder="1" applyAlignment="1">
      <alignment horizontal="center" vertical="center" wrapText="1"/>
    </xf>
    <xf numFmtId="0" fontId="37" fillId="0" borderId="80" xfId="0" applyFont="1" applyBorder="1" applyAlignment="1">
      <alignment horizontal="center" vertical="center" wrapText="1"/>
    </xf>
    <xf numFmtId="0" fontId="6" fillId="0" borderId="88" xfId="0" applyFont="1" applyBorder="1" applyAlignment="1">
      <alignment horizontal="center" vertical="center" wrapText="1"/>
    </xf>
    <xf numFmtId="0" fontId="42" fillId="0" borderId="80" xfId="0" applyFont="1" applyBorder="1" applyAlignment="1">
      <alignment horizontal="center" vertical="center"/>
    </xf>
    <xf numFmtId="0" fontId="42" fillId="0" borderId="83" xfId="0" applyFont="1" applyBorder="1" applyAlignment="1">
      <alignment horizontal="center" vertical="center" wrapText="1"/>
    </xf>
    <xf numFmtId="0" fontId="42" fillId="0" borderId="79" xfId="0" applyFont="1" applyBorder="1" applyAlignment="1">
      <alignment horizontal="center" vertical="center" wrapText="1"/>
    </xf>
    <xf numFmtId="0" fontId="35" fillId="0" borderId="79" xfId="0" applyFont="1" applyBorder="1" applyAlignment="1">
      <alignment horizontal="center" vertical="center" wrapText="1"/>
    </xf>
    <xf numFmtId="0" fontId="38" fillId="0" borderId="88" xfId="0" applyFont="1" applyBorder="1" applyAlignment="1">
      <alignment horizontal="center" vertical="center"/>
    </xf>
    <xf numFmtId="0" fontId="41" fillId="9" borderId="79" xfId="0" applyFont="1" applyFill="1" applyBorder="1" applyAlignment="1">
      <alignment horizontal="center" vertical="center" wrapText="1"/>
    </xf>
    <xf numFmtId="0" fontId="42" fillId="0" borderId="80" xfId="0" applyFont="1" applyBorder="1" applyAlignment="1">
      <alignment horizontal="center" vertical="center" wrapText="1"/>
    </xf>
    <xf numFmtId="0" fontId="6" fillId="0" borderId="83" xfId="0" applyFont="1" applyBorder="1" applyAlignment="1">
      <alignment horizontal="center" vertical="center" wrapText="1"/>
    </xf>
    <xf numFmtId="0" fontId="39" fillId="8" borderId="79" xfId="0" applyFont="1" applyFill="1" applyBorder="1" applyAlignment="1">
      <alignment horizontal="center" vertical="center" wrapText="1"/>
    </xf>
    <xf numFmtId="0" fontId="37" fillId="0" borderId="79" xfId="0" applyFont="1" applyBorder="1" applyAlignment="1">
      <alignment horizontal="center" vertical="center" wrapText="1"/>
    </xf>
    <xf numFmtId="0" fontId="38" fillId="0" borderId="79" xfId="0" applyFont="1" applyBorder="1" applyAlignment="1">
      <alignment horizontal="center" vertical="center"/>
    </xf>
    <xf numFmtId="0" fontId="38" fillId="0" borderId="0" xfId="0" applyFont="1" applyAlignment="1">
      <alignment horizontal="center" vertical="center"/>
    </xf>
    <xf numFmtId="0" fontId="40" fillId="5" borderId="10" xfId="0" applyFont="1" applyFill="1" applyBorder="1" applyAlignment="1">
      <alignment horizontal="center" vertical="center"/>
    </xf>
    <xf numFmtId="0" fontId="40" fillId="5" borderId="79" xfId="0" applyFont="1" applyFill="1" applyBorder="1" applyAlignment="1">
      <alignment horizontal="center" vertical="center"/>
    </xf>
    <xf numFmtId="0" fontId="38" fillId="0" borderId="87" xfId="0" applyFont="1" applyBorder="1" applyAlignment="1">
      <alignment horizontal="center" vertical="center" wrapText="1"/>
    </xf>
    <xf numFmtId="0" fontId="35" fillId="0" borderId="80" xfId="0" applyFont="1" applyBorder="1" applyAlignment="1">
      <alignment horizontal="center" vertical="center" wrapText="1"/>
    </xf>
    <xf numFmtId="0" fontId="35" fillId="0" borderId="0" xfId="0" applyFont="1" applyAlignment="1">
      <alignment horizontal="center" vertical="center" wrapText="1"/>
    </xf>
    <xf numFmtId="0" fontId="2" fillId="0" borderId="0" xfId="0" applyFont="1" applyAlignment="1">
      <alignment horizontal="center" wrapText="1"/>
    </xf>
    <xf numFmtId="0" fontId="38" fillId="0" borderId="78" xfId="0" applyFont="1" applyBorder="1" applyAlignment="1">
      <alignment horizontal="center" vertical="center" wrapText="1"/>
    </xf>
    <xf numFmtId="0" fontId="44" fillId="0" borderId="79" xfId="0" applyFont="1" applyBorder="1" applyAlignment="1">
      <alignment horizontal="center" vertical="center"/>
    </xf>
    <xf numFmtId="0" fontId="44" fillId="0" borderId="81" xfId="0" applyFont="1" applyBorder="1" applyAlignment="1">
      <alignment horizontal="center" vertical="center"/>
    </xf>
    <xf numFmtId="0" fontId="44" fillId="0" borderId="79" xfId="0" applyFont="1" applyBorder="1" applyAlignment="1">
      <alignment horizontal="center" vertical="center" wrapText="1"/>
    </xf>
    <xf numFmtId="0" fontId="32" fillId="0" borderId="81" xfId="0" applyFont="1" applyBorder="1" applyAlignment="1">
      <alignment horizontal="center" vertical="center"/>
    </xf>
    <xf numFmtId="0" fontId="32" fillId="0" borderId="79" xfId="0" applyFont="1" applyBorder="1" applyAlignment="1">
      <alignment horizontal="center" vertical="center"/>
    </xf>
    <xf numFmtId="0" fontId="32" fillId="0" borderId="79" xfId="0" applyFont="1" applyBorder="1" applyAlignment="1">
      <alignment horizontal="center" vertical="center" wrapText="1"/>
    </xf>
    <xf numFmtId="0" fontId="32" fillId="0" borderId="80" xfId="0" applyFont="1" applyBorder="1" applyAlignment="1">
      <alignment horizontal="center" vertical="center"/>
    </xf>
    <xf numFmtId="0" fontId="32" fillId="0" borderId="80" xfId="0" applyFont="1" applyBorder="1" applyAlignment="1">
      <alignment horizontal="center" vertical="center" wrapText="1"/>
    </xf>
    <xf numFmtId="0" fontId="32" fillId="0" borderId="78" xfId="0" applyFont="1" applyBorder="1" applyAlignment="1">
      <alignment horizontal="center" vertical="center"/>
    </xf>
    <xf numFmtId="0" fontId="32" fillId="0" borderId="79" xfId="0" applyFont="1" applyBorder="1" applyAlignment="1">
      <alignment horizontal="center"/>
    </xf>
    <xf numFmtId="0" fontId="32" fillId="0" borderId="90" xfId="0" applyFont="1" applyBorder="1" applyAlignment="1">
      <alignment horizontal="center" vertical="center"/>
    </xf>
    <xf numFmtId="0" fontId="32" fillId="0" borderId="85" xfId="0" applyFont="1" applyBorder="1" applyAlignment="1">
      <alignment horizontal="center" vertical="center"/>
    </xf>
    <xf numFmtId="0" fontId="32" fillId="0" borderId="88" xfId="0" applyFont="1" applyBorder="1" applyAlignment="1">
      <alignment horizontal="center" vertical="center"/>
    </xf>
    <xf numFmtId="0" fontId="5" fillId="0" borderId="81" xfId="0" applyFont="1" applyBorder="1" applyAlignment="1">
      <alignment horizontal="center" vertical="center"/>
    </xf>
    <xf numFmtId="0" fontId="45" fillId="0" borderId="81" xfId="0" applyFont="1" applyBorder="1" applyAlignment="1">
      <alignment horizontal="center" vertical="center"/>
    </xf>
    <xf numFmtId="0" fontId="5" fillId="0" borderId="87" xfId="0" applyFont="1" applyBorder="1"/>
    <xf numFmtId="0" fontId="5" fillId="0" borderId="81" xfId="0" applyFont="1" applyBorder="1"/>
    <xf numFmtId="0" fontId="5" fillId="0" borderId="79" xfId="0" applyFont="1" applyBorder="1" applyAlignment="1">
      <alignment horizontal="center" vertical="center"/>
    </xf>
    <xf numFmtId="0" fontId="45" fillId="0" borderId="79" xfId="0" applyFont="1" applyBorder="1" applyAlignment="1">
      <alignment horizontal="center" vertical="center"/>
    </xf>
    <xf numFmtId="0" fontId="5" fillId="0" borderId="85" xfId="0" applyFont="1" applyBorder="1"/>
    <xf numFmtId="0" fontId="5" fillId="0" borderId="79" xfId="0" applyFont="1" applyBorder="1"/>
    <xf numFmtId="0" fontId="5" fillId="0" borderId="80" xfId="0" applyFont="1" applyBorder="1" applyAlignment="1">
      <alignment horizontal="center" vertical="center"/>
    </xf>
    <xf numFmtId="0" fontId="5" fillId="0" borderId="78" xfId="0" applyFont="1" applyBorder="1"/>
    <xf numFmtId="0" fontId="5" fillId="0" borderId="78" xfId="0" applyFont="1" applyBorder="1" applyAlignment="1">
      <alignment horizontal="center" vertical="center"/>
    </xf>
    <xf numFmtId="0" fontId="5" fillId="0" borderId="84" xfId="0" applyFont="1" applyBorder="1"/>
    <xf numFmtId="0" fontId="5" fillId="0" borderId="83" xfId="0" applyFont="1" applyBorder="1" applyAlignment="1">
      <alignment horizontal="center" vertical="center"/>
    </xf>
    <xf numFmtId="0" fontId="5" fillId="0" borderId="85" xfId="0" applyFont="1" applyBorder="1" applyAlignment="1">
      <alignment horizontal="center" vertical="center"/>
    </xf>
    <xf numFmtId="0" fontId="5" fillId="0" borderId="86" xfId="0" applyFont="1" applyBorder="1" applyAlignment="1">
      <alignment horizontal="center" vertical="center"/>
    </xf>
    <xf numFmtId="0" fontId="5" fillId="0" borderId="80" xfId="0" applyFont="1" applyBorder="1"/>
    <xf numFmtId="0" fontId="5" fillId="0" borderId="83" xfId="0" applyFont="1" applyBorder="1"/>
    <xf numFmtId="0" fontId="4" fillId="3" borderId="81" xfId="0" applyFont="1" applyFill="1" applyBorder="1" applyAlignment="1">
      <alignment horizontal="center" vertical="center" wrapText="1"/>
    </xf>
    <xf numFmtId="0" fontId="32" fillId="0" borderId="79" xfId="0" applyFont="1" applyBorder="1" applyAlignment="1">
      <alignment horizontal="left" vertical="center" wrapText="1"/>
    </xf>
    <xf numFmtId="0" fontId="5" fillId="0" borderId="85" xfId="0" applyFont="1" applyBorder="1" applyAlignment="1">
      <alignment vertical="center" wrapText="1"/>
    </xf>
    <xf numFmtId="0" fontId="32" fillId="0" borderId="81" xfId="0" applyFont="1" applyBorder="1" applyAlignment="1">
      <alignment horizontal="left" vertical="center" wrapText="1"/>
    </xf>
    <xf numFmtId="0" fontId="32" fillId="0" borderId="80" xfId="0" applyFont="1" applyBorder="1" applyAlignment="1">
      <alignment horizontal="left" vertical="center" wrapText="1"/>
    </xf>
    <xf numFmtId="0" fontId="32" fillId="0" borderId="9" xfId="0" applyFont="1" applyBorder="1" applyAlignment="1">
      <alignment horizontal="left" vertical="top" wrapText="1"/>
    </xf>
    <xf numFmtId="0" fontId="32" fillId="0" borderId="9" xfId="0" applyFont="1" applyBorder="1" applyAlignment="1">
      <alignment horizontal="left" vertical="center" wrapText="1"/>
    </xf>
    <xf numFmtId="0" fontId="32" fillId="0" borderId="86" xfId="0" applyFont="1" applyBorder="1" applyAlignment="1">
      <alignment horizontal="left" vertical="center" wrapText="1"/>
    </xf>
    <xf numFmtId="0" fontId="32" fillId="0" borderId="79" xfId="0" applyFont="1" applyBorder="1" applyAlignment="1">
      <alignment horizontal="left" wrapText="1"/>
    </xf>
    <xf numFmtId="0" fontId="0" fillId="0" borderId="0" xfId="0" applyAlignment="1">
      <alignment horizontal="left"/>
    </xf>
    <xf numFmtId="0" fontId="7" fillId="0" borderId="81" xfId="0" applyFont="1" applyBorder="1" applyAlignment="1">
      <alignment horizontal="center" vertical="center"/>
    </xf>
    <xf numFmtId="0" fontId="7" fillId="0" borderId="79" xfId="0" applyFont="1" applyBorder="1" applyAlignment="1">
      <alignment horizontal="center" vertical="center"/>
    </xf>
    <xf numFmtId="0" fontId="7" fillId="0" borderId="80" xfId="0" applyFont="1" applyBorder="1" applyAlignment="1">
      <alignment horizontal="center" vertical="center"/>
    </xf>
    <xf numFmtId="0" fontId="38" fillId="0" borderId="9" xfId="0" applyFont="1" applyBorder="1" applyAlignment="1">
      <alignment horizontal="center" vertical="center" wrapText="1"/>
    </xf>
    <xf numFmtId="0" fontId="5" fillId="0" borderId="88" xfId="0" applyFont="1" applyBorder="1" applyAlignment="1">
      <alignment vertical="center" wrapText="1"/>
    </xf>
    <xf numFmtId="0" fontId="45" fillId="0" borderId="80" xfId="0" applyFont="1" applyBorder="1" applyAlignment="1">
      <alignment horizontal="center" vertical="center"/>
    </xf>
    <xf numFmtId="0" fontId="7" fillId="0" borderId="80" xfId="0" applyFont="1" applyBorder="1" applyAlignment="1">
      <alignment wrapText="1"/>
    </xf>
    <xf numFmtId="0" fontId="0" fillId="0" borderId="9" xfId="0" applyBorder="1"/>
    <xf numFmtId="0" fontId="0" fillId="0" borderId="9" xfId="0" applyBorder="1" applyAlignment="1">
      <alignment horizontal="left"/>
    </xf>
    <xf numFmtId="0" fontId="7" fillId="0" borderId="81" xfId="0" applyFont="1" applyBorder="1" applyAlignment="1">
      <alignment horizontal="center" vertical="center" wrapText="1"/>
    </xf>
    <xf numFmtId="0" fontId="7" fillId="0" borderId="79" xfId="0" applyFont="1" applyBorder="1" applyAlignment="1">
      <alignment horizontal="center" vertical="center" wrapText="1"/>
    </xf>
    <xf numFmtId="0" fontId="7" fillId="0" borderId="80" xfId="0" applyFont="1" applyBorder="1" applyAlignment="1">
      <alignment horizontal="center" vertical="center" wrapText="1"/>
    </xf>
    <xf numFmtId="0" fontId="0" fillId="0" borderId="0" xfId="0" applyAlignment="1">
      <alignment wrapText="1"/>
    </xf>
    <xf numFmtId="0" fontId="47" fillId="0" borderId="79" xfId="0" applyFont="1" applyBorder="1" applyAlignment="1">
      <alignment horizontal="center" vertical="center" wrapText="1"/>
    </xf>
    <xf numFmtId="0" fontId="47" fillId="0" borderId="81" xfId="0" applyFont="1" applyBorder="1" applyAlignment="1">
      <alignment horizontal="center" vertical="center" wrapText="1"/>
    </xf>
    <xf numFmtId="0" fontId="5" fillId="0" borderId="80" xfId="0" applyFont="1" applyBorder="1" applyAlignment="1">
      <alignment vertical="center" wrapText="1"/>
    </xf>
    <xf numFmtId="0" fontId="5" fillId="0" borderId="81" xfId="0" applyFont="1" applyBorder="1" applyAlignment="1">
      <alignment horizontal="center"/>
    </xf>
    <xf numFmtId="0" fontId="5" fillId="0" borderId="79" xfId="0" applyFont="1" applyBorder="1" applyAlignment="1">
      <alignment horizontal="center"/>
    </xf>
    <xf numFmtId="0" fontId="0" fillId="0" borderId="9" xfId="0" applyBorder="1" applyAlignment="1">
      <alignment horizontal="center"/>
    </xf>
    <xf numFmtId="0" fontId="0" fillId="0" borderId="0" xfId="0" applyAlignment="1">
      <alignment horizontal="center"/>
    </xf>
    <xf numFmtId="0" fontId="7" fillId="0" borderId="80" xfId="0" applyFont="1" applyBorder="1" applyAlignment="1">
      <alignment vertical="center" wrapText="1"/>
    </xf>
    <xf numFmtId="0" fontId="35" fillId="0" borderId="78" xfId="0" applyFont="1" applyBorder="1" applyAlignment="1">
      <alignment horizontal="left" vertical="center" wrapText="1"/>
    </xf>
    <xf numFmtId="0" fontId="42" fillId="0" borderId="79" xfId="0" applyFont="1" applyBorder="1" applyAlignment="1">
      <alignment horizontal="left" vertical="center" wrapText="1"/>
    </xf>
    <xf numFmtId="0" fontId="42" fillId="0" borderId="80" xfId="0" applyFont="1" applyBorder="1" applyAlignment="1">
      <alignment horizontal="left" vertical="center" wrapText="1"/>
    </xf>
    <xf numFmtId="0" fontId="38" fillId="0" borderId="87" xfId="0" applyFont="1" applyBorder="1" applyAlignment="1">
      <alignment horizontal="left" vertical="center" wrapText="1"/>
    </xf>
    <xf numFmtId="0" fontId="38" fillId="0" borderId="79" xfId="0" applyFont="1" applyBorder="1" applyAlignment="1">
      <alignment horizontal="left" vertical="center" wrapText="1"/>
    </xf>
    <xf numFmtId="0" fontId="35" fillId="0" borderId="79" xfId="0" applyFont="1" applyBorder="1" applyAlignment="1">
      <alignment horizontal="left" vertical="center"/>
    </xf>
    <xf numFmtId="0" fontId="35"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xf>
    <xf numFmtId="0" fontId="42" fillId="0" borderId="81" xfId="0" applyFont="1" applyBorder="1" applyAlignment="1">
      <alignment horizontal="center" vertical="center"/>
    </xf>
    <xf numFmtId="0" fontId="42" fillId="0" borderId="81" xfId="0" applyFont="1" applyBorder="1" applyAlignment="1">
      <alignment horizontal="center" vertical="center" wrapText="1"/>
    </xf>
    <xf numFmtId="0" fontId="6" fillId="0" borderId="82" xfId="0" applyFont="1" applyBorder="1" applyAlignment="1">
      <alignment horizontal="center" vertical="center" wrapText="1"/>
    </xf>
    <xf numFmtId="0" fontId="42" fillId="0" borderId="81" xfId="0" applyFont="1" applyBorder="1" applyAlignment="1">
      <alignment horizontal="left" vertical="center" wrapText="1"/>
    </xf>
    <xf numFmtId="0" fontId="35" fillId="0" borderId="81" xfId="0" applyFont="1" applyBorder="1" applyAlignment="1">
      <alignment horizontal="center" vertical="center" wrapText="1"/>
    </xf>
    <xf numFmtId="0" fontId="42" fillId="0" borderId="9" xfId="0" applyFont="1" applyBorder="1" applyAlignment="1">
      <alignment horizontal="center" vertical="center" wrapText="1"/>
    </xf>
    <xf numFmtId="0" fontId="42" fillId="0" borderId="9" xfId="0" applyFont="1" applyBorder="1" applyAlignment="1">
      <alignment horizontal="center" vertical="center"/>
    </xf>
    <xf numFmtId="0" fontId="42" fillId="0" borderId="9" xfId="0" applyFont="1" applyBorder="1" applyAlignment="1">
      <alignment horizontal="left" vertical="center" wrapText="1"/>
    </xf>
    <xf numFmtId="0" fontId="35" fillId="0" borderId="9"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54" xfId="0" applyFont="1" applyBorder="1" applyAlignment="1">
      <alignment horizontal="left" vertical="center" wrapText="1"/>
    </xf>
    <xf numFmtId="0" fontId="6" fillId="0" borderId="10" xfId="0" applyFont="1" applyBorder="1" applyAlignment="1">
      <alignment vertical="center" wrapText="1"/>
    </xf>
    <xf numFmtId="0" fontId="5" fillId="0" borderId="0" xfId="1" applyFont="1" applyAlignment="1">
      <alignment vertical="center" wrapText="1"/>
    </xf>
    <xf numFmtId="0" fontId="5" fillId="0" borderId="9" xfId="1" applyFont="1" applyBorder="1" applyAlignment="1">
      <alignment vertical="center" wrapText="1"/>
    </xf>
    <xf numFmtId="0" fontId="28" fillId="0" borderId="9" xfId="0" applyFont="1" applyBorder="1" applyAlignment="1">
      <alignment vertical="center" wrapText="1"/>
    </xf>
    <xf numFmtId="0" fontId="9" fillId="0" borderId="36" xfId="0" applyFont="1" applyBorder="1" applyAlignment="1">
      <alignment horizontal="center" vertical="center" wrapText="1"/>
    </xf>
    <xf numFmtId="0" fontId="12" fillId="3" borderId="92" xfId="0" applyFont="1" applyFill="1" applyBorder="1" applyAlignment="1">
      <alignment horizontal="center" vertical="center" wrapText="1"/>
    </xf>
    <xf numFmtId="0" fontId="7" fillId="0" borderId="17" xfId="0" applyFont="1" applyBorder="1" applyAlignment="1">
      <alignment vertical="center" wrapText="1"/>
    </xf>
    <xf numFmtId="0" fontId="50" fillId="0" borderId="9" xfId="0" applyFont="1" applyBorder="1" applyAlignment="1">
      <alignment vertical="center" wrapText="1"/>
    </xf>
    <xf numFmtId="0" fontId="5" fillId="0" borderId="0" xfId="1" applyFont="1" applyAlignment="1">
      <alignment horizontal="center" vertical="center" wrapText="1"/>
    </xf>
    <xf numFmtId="0" fontId="6" fillId="0" borderId="60" xfId="0" applyFont="1" applyBorder="1" applyAlignment="1">
      <alignment horizontal="left" vertical="center" wrapText="1"/>
    </xf>
    <xf numFmtId="0" fontId="6" fillId="0" borderId="4" xfId="0" applyFont="1" applyBorder="1" applyAlignment="1">
      <alignment horizontal="left" vertical="center" wrapText="1"/>
    </xf>
    <xf numFmtId="0" fontId="6" fillId="0" borderId="23" xfId="0" applyFont="1" applyBorder="1" applyAlignment="1">
      <alignment horizontal="left" vertical="center" wrapText="1"/>
    </xf>
    <xf numFmtId="0" fontId="2" fillId="0" borderId="0" xfId="0" applyFont="1" applyAlignment="1">
      <alignment horizontal="left" vertical="center" wrapText="1"/>
    </xf>
    <xf numFmtId="0" fontId="28" fillId="0" borderId="8" xfId="0" applyFont="1" applyBorder="1" applyAlignment="1">
      <alignment horizontal="center" vertical="center" wrapText="1"/>
    </xf>
    <xf numFmtId="0" fontId="55" fillId="0" borderId="60" xfId="0" applyFont="1" applyBorder="1" applyAlignment="1">
      <alignment horizontal="left" vertical="center" wrapText="1"/>
    </xf>
    <xf numFmtId="0" fontId="56" fillId="0" borderId="60" xfId="0" applyFont="1" applyBorder="1" applyAlignment="1">
      <alignment horizontal="left" vertical="center" wrapText="1"/>
    </xf>
    <xf numFmtId="0" fontId="59" fillId="0" borderId="60" xfId="0" applyFont="1" applyBorder="1" applyAlignment="1">
      <alignment horizontal="left" vertical="center" wrapText="1"/>
    </xf>
    <xf numFmtId="0" fontId="6" fillId="0" borderId="13" xfId="0" applyFont="1" applyBorder="1" applyAlignment="1">
      <alignment horizontal="left" vertical="center" wrapText="1"/>
    </xf>
    <xf numFmtId="0" fontId="61" fillId="0" borderId="9" xfId="0" applyFont="1" applyBorder="1" applyAlignment="1">
      <alignment horizontal="right" vertical="center" wrapText="1" indent="1"/>
    </xf>
    <xf numFmtId="0" fontId="6" fillId="0" borderId="40" xfId="0" applyFont="1" applyBorder="1" applyAlignment="1">
      <alignment horizontal="left" vertical="center" wrapText="1"/>
    </xf>
    <xf numFmtId="0" fontId="28" fillId="0" borderId="4" xfId="0" applyFont="1" applyBorder="1" applyAlignment="1">
      <alignment horizontal="center" vertical="center" wrapText="1"/>
    </xf>
    <xf numFmtId="0" fontId="7" fillId="0" borderId="9" xfId="0" applyFont="1" applyBorder="1" applyAlignment="1">
      <alignment horizontal="left" vertical="center" wrapText="1" indent="1"/>
    </xf>
    <xf numFmtId="0" fontId="8" fillId="10" borderId="0" xfId="0" applyFont="1" applyFill="1" applyAlignment="1">
      <alignment horizontal="center"/>
    </xf>
    <xf numFmtId="49" fontId="59" fillId="0" borderId="60" xfId="0" applyNumberFormat="1" applyFont="1" applyBorder="1" applyAlignment="1">
      <alignment horizontal="center" vertical="center" wrapText="1"/>
    </xf>
    <xf numFmtId="49" fontId="59" fillId="0" borderId="9" xfId="0" applyNumberFormat="1" applyFont="1" applyBorder="1" applyAlignment="1">
      <alignment horizontal="center" vertical="center" wrapText="1"/>
    </xf>
    <xf numFmtId="49" fontId="59" fillId="0" borderId="4" xfId="0" applyNumberFormat="1" applyFont="1" applyBorder="1" applyAlignment="1">
      <alignment horizontal="center" vertical="center" wrapText="1"/>
    </xf>
    <xf numFmtId="49" fontId="59" fillId="0" borderId="15" xfId="0" applyNumberFormat="1" applyFont="1" applyBorder="1" applyAlignment="1">
      <alignment horizontal="center" vertical="center" wrapText="1"/>
    </xf>
    <xf numFmtId="49" fontId="59" fillId="0" borderId="13" xfId="0" applyNumberFormat="1" applyFont="1" applyBorder="1" applyAlignment="1">
      <alignment horizontal="center" vertical="center" wrapText="1"/>
    </xf>
    <xf numFmtId="49" fontId="59" fillId="0" borderId="23" xfId="0" applyNumberFormat="1" applyFont="1" applyBorder="1" applyAlignment="1">
      <alignment horizontal="center" vertical="center" wrapText="1"/>
    </xf>
    <xf numFmtId="10" fontId="28" fillId="0" borderId="4" xfId="0" applyNumberFormat="1" applyFont="1" applyBorder="1" applyAlignment="1">
      <alignment horizontal="center" vertical="center" wrapText="1"/>
    </xf>
    <xf numFmtId="0" fontId="59" fillId="0" borderId="60" xfId="0" applyFont="1" applyBorder="1" applyAlignment="1">
      <alignment horizontal="center" vertical="center" wrapText="1"/>
    </xf>
    <xf numFmtId="0" fontId="59" fillId="0" borderId="9" xfId="0" applyFont="1" applyBorder="1" applyAlignment="1">
      <alignment horizontal="center" vertical="center" wrapText="1"/>
    </xf>
    <xf numFmtId="0" fontId="59" fillId="0" borderId="4" xfId="0" applyFont="1" applyBorder="1" applyAlignment="1">
      <alignment horizontal="center" vertical="center" wrapText="1"/>
    </xf>
    <xf numFmtId="0" fontId="59" fillId="0" borderId="15" xfId="0" applyFont="1" applyBorder="1" applyAlignment="1">
      <alignment horizontal="center" vertical="center" wrapText="1"/>
    </xf>
    <xf numFmtId="0" fontId="59" fillId="0" borderId="13" xfId="0" applyFont="1" applyBorder="1" applyAlignment="1">
      <alignment horizontal="center" vertical="center" wrapText="1"/>
    </xf>
    <xf numFmtId="0" fontId="62" fillId="11" borderId="0" xfId="0" applyFont="1" applyFill="1" applyAlignment="1">
      <alignment horizontal="center"/>
    </xf>
    <xf numFmtId="0" fontId="62" fillId="10" borderId="0" xfId="0" applyFont="1" applyFill="1" applyAlignment="1">
      <alignment horizontal="center"/>
    </xf>
    <xf numFmtId="0" fontId="63" fillId="10" borderId="0" xfId="0" applyFont="1" applyFill="1" applyAlignment="1">
      <alignment horizontal="center"/>
    </xf>
    <xf numFmtId="0" fontId="64" fillId="0" borderId="0" xfId="0" applyFont="1" applyAlignment="1">
      <alignment horizontal="center"/>
    </xf>
    <xf numFmtId="0" fontId="7" fillId="0" borderId="70" xfId="0" applyFont="1" applyBorder="1" applyAlignment="1">
      <alignment vertical="center" wrapText="1"/>
    </xf>
    <xf numFmtId="0" fontId="13" fillId="3" borderId="46" xfId="0" applyFont="1" applyFill="1" applyBorder="1" applyAlignment="1">
      <alignment horizontal="center" vertical="center" wrapText="1"/>
    </xf>
    <xf numFmtId="0" fontId="14" fillId="0" borderId="93" xfId="0" applyFont="1" applyBorder="1" applyAlignment="1">
      <alignment horizontal="center" vertical="center" wrapText="1"/>
    </xf>
    <xf numFmtId="0" fontId="32" fillId="0" borderId="47" xfId="0" applyFont="1" applyBorder="1" applyAlignment="1">
      <alignment horizontal="center" vertical="center"/>
    </xf>
    <xf numFmtId="0" fontId="32" fillId="0" borderId="9" xfId="0" applyFont="1" applyBorder="1" applyAlignment="1">
      <alignment horizontal="center" vertical="center"/>
    </xf>
    <xf numFmtId="0" fontId="32" fillId="0" borderId="21" xfId="0" applyFont="1" applyBorder="1" applyAlignment="1">
      <alignment horizontal="center" vertical="center"/>
    </xf>
    <xf numFmtId="0" fontId="32" fillId="0" borderId="10" xfId="0" applyFont="1" applyBorder="1" applyAlignment="1">
      <alignment horizontal="center" vertical="center"/>
    </xf>
    <xf numFmtId="2" fontId="65" fillId="0" borderId="0" xfId="0" applyNumberFormat="1" applyFont="1" applyAlignment="1">
      <alignment horizontal="center" vertical="center"/>
    </xf>
    <xf numFmtId="0" fontId="6" fillId="0" borderId="45" xfId="0" applyFont="1" applyBorder="1" applyAlignment="1">
      <alignment horizontal="center" vertical="center" wrapText="1"/>
    </xf>
    <xf numFmtId="0" fontId="10" fillId="0" borderId="45" xfId="0" applyFont="1" applyBorder="1" applyAlignment="1">
      <alignment horizontal="center" vertical="center" wrapText="1"/>
    </xf>
    <xf numFmtId="0" fontId="9" fillId="0" borderId="35" xfId="0" applyFont="1" applyBorder="1" applyAlignment="1">
      <alignment horizontal="center" vertical="center" wrapText="1"/>
    </xf>
    <xf numFmtId="0" fontId="6" fillId="0" borderId="59" xfId="0" applyFont="1" applyBorder="1" applyAlignment="1">
      <alignment horizontal="center" vertical="center" wrapText="1"/>
    </xf>
    <xf numFmtId="0" fontId="5" fillId="0" borderId="10" xfId="1" applyFont="1" applyBorder="1" applyAlignment="1">
      <alignment horizontal="center" vertical="center" wrapText="1"/>
    </xf>
    <xf numFmtId="0" fontId="6" fillId="0" borderId="94" xfId="0" applyFont="1" applyBorder="1" applyAlignment="1">
      <alignment horizontal="center" vertical="center" wrapText="1"/>
    </xf>
    <xf numFmtId="0" fontId="28" fillId="0" borderId="45" xfId="0" applyFont="1" applyBorder="1" applyAlignment="1">
      <alignment horizontal="center" vertical="center" wrapText="1"/>
    </xf>
    <xf numFmtId="0" fontId="5" fillId="0" borderId="10" xfId="0" applyFont="1" applyBorder="1" applyAlignment="1">
      <alignment vertical="center" wrapText="1"/>
    </xf>
    <xf numFmtId="0" fontId="59" fillId="0" borderId="93" xfId="0" applyFont="1" applyBorder="1" applyAlignment="1">
      <alignment horizontal="center" vertical="center" wrapText="1"/>
    </xf>
    <xf numFmtId="0" fontId="7" fillId="0" borderId="18" xfId="0" applyFont="1" applyBorder="1" applyAlignment="1">
      <alignment vertical="center" wrapText="1"/>
    </xf>
    <xf numFmtId="0" fontId="7" fillId="0" borderId="10" xfId="0" applyFont="1" applyBorder="1" applyAlignment="1">
      <alignment horizontal="center" vertical="center" wrapText="1"/>
    </xf>
    <xf numFmtId="0" fontId="7" fillId="0" borderId="35" xfId="0" applyFont="1" applyBorder="1" applyAlignment="1">
      <alignment horizontal="center" vertical="center" wrapText="1"/>
    </xf>
    <xf numFmtId="0" fontId="28" fillId="0" borderId="9" xfId="0" applyFont="1" applyBorder="1" applyAlignment="1">
      <alignment horizontal="center" vertical="center" wrapText="1"/>
    </xf>
    <xf numFmtId="0" fontId="62" fillId="11" borderId="9" xfId="0" applyFont="1" applyFill="1" applyBorder="1" applyAlignment="1">
      <alignment horizontal="center"/>
    </xf>
    <xf numFmtId="0" fontId="62" fillId="10" borderId="9" xfId="0" applyFont="1" applyFill="1" applyBorder="1" applyAlignment="1">
      <alignment horizontal="center"/>
    </xf>
    <xf numFmtId="0" fontId="63" fillId="10" borderId="9" xfId="0" applyFont="1" applyFill="1" applyBorder="1" applyAlignment="1">
      <alignment horizontal="center"/>
    </xf>
    <xf numFmtId="0" fontId="64" fillId="0" borderId="9" xfId="0" applyFont="1" applyBorder="1" applyAlignment="1">
      <alignment horizontal="center"/>
    </xf>
    <xf numFmtId="0" fontId="19" fillId="0" borderId="9" xfId="0" applyFont="1" applyBorder="1" applyAlignment="1">
      <alignment horizontal="center"/>
    </xf>
    <xf numFmtId="0" fontId="66" fillId="0" borderId="4" xfId="0" applyFont="1" applyBorder="1" applyAlignment="1">
      <alignment horizontal="center" vertical="center" wrapText="1"/>
    </xf>
    <xf numFmtId="0" fontId="11" fillId="0" borderId="9" xfId="0" applyFont="1" applyBorder="1" applyAlignment="1">
      <alignment vertical="center"/>
    </xf>
    <xf numFmtId="2" fontId="32" fillId="0" borderId="0" xfId="0" applyNumberFormat="1" applyFont="1" applyAlignment="1">
      <alignment horizontal="center" vertical="center"/>
    </xf>
    <xf numFmtId="2" fontId="65" fillId="0" borderId="0" xfId="0" applyNumberFormat="1" applyFont="1" applyAlignment="1">
      <alignment vertical="center"/>
    </xf>
    <xf numFmtId="2" fontId="67" fillId="0" borderId="0" xfId="0" applyNumberFormat="1" applyFont="1" applyAlignment="1">
      <alignment vertical="center"/>
    </xf>
    <xf numFmtId="0" fontId="32" fillId="0" borderId="0" xfId="0" applyFont="1" applyAlignment="1">
      <alignment horizontal="center" vertical="center"/>
    </xf>
    <xf numFmtId="0" fontId="59"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5" xfId="0" applyFont="1" applyBorder="1"/>
    <xf numFmtId="0" fontId="5" fillId="0" borderId="36" xfId="0" applyFont="1" applyBorder="1"/>
    <xf numFmtId="0" fontId="66" fillId="0" borderId="48" xfId="0" applyFont="1" applyBorder="1" applyAlignment="1">
      <alignment horizontal="center" vertical="center" wrapText="1"/>
    </xf>
    <xf numFmtId="0" fontId="66" fillId="0" borderId="35" xfId="0" applyFont="1" applyBorder="1" applyAlignment="1">
      <alignment horizontal="center" vertical="center" wrapText="1"/>
    </xf>
    <xf numFmtId="0" fontId="66" fillId="0" borderId="10" xfId="0" applyFont="1" applyBorder="1" applyAlignment="1">
      <alignment horizontal="center" vertical="center" wrapText="1"/>
    </xf>
    <xf numFmtId="0" fontId="66" fillId="0" borderId="36" xfId="0" applyFont="1" applyBorder="1" applyAlignment="1">
      <alignment horizontal="center" vertical="center" wrapText="1"/>
    </xf>
    <xf numFmtId="0" fontId="1" fillId="2" borderId="43" xfId="0" applyFont="1" applyFill="1" applyBorder="1" applyAlignment="1">
      <alignment horizontal="center" vertical="center"/>
    </xf>
    <xf numFmtId="0" fontId="1" fillId="2" borderId="76" xfId="0" applyFont="1" applyFill="1" applyBorder="1" applyAlignment="1">
      <alignment horizontal="center" vertical="center"/>
    </xf>
    <xf numFmtId="0" fontId="1" fillId="2" borderId="75" xfId="0" applyFont="1" applyFill="1" applyBorder="1" applyAlignment="1">
      <alignment horizontal="center" vertical="center"/>
    </xf>
    <xf numFmtId="0" fontId="3" fillId="0" borderId="91" xfId="0" applyFont="1" applyBorder="1" applyAlignment="1">
      <alignment horizontal="center" vertical="center"/>
    </xf>
    <xf numFmtId="0" fontId="4" fillId="2" borderId="42" xfId="0" applyFont="1" applyFill="1" applyBorder="1" applyAlignment="1">
      <alignment horizontal="center" vertical="center" wrapText="1"/>
    </xf>
    <xf numFmtId="0" fontId="4" fillId="2" borderId="58" xfId="0" applyFont="1" applyFill="1" applyBorder="1" applyAlignment="1">
      <alignment horizontal="center" vertical="center" wrapText="1"/>
    </xf>
    <xf numFmtId="0" fontId="4" fillId="2" borderId="5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6" fillId="0" borderId="10" xfId="0" applyFont="1" applyBorder="1" applyAlignment="1">
      <alignment horizontal="left" vertical="center" wrapText="1"/>
    </xf>
    <xf numFmtId="0" fontId="6" fillId="0" borderId="36" xfId="0" applyFont="1" applyBorder="1" applyAlignment="1">
      <alignment horizontal="left" vertical="center" wrapText="1"/>
    </xf>
    <xf numFmtId="0" fontId="14" fillId="0" borderId="10" xfId="0" applyFont="1" applyBorder="1" applyAlignment="1">
      <alignment horizontal="left" vertical="center" wrapText="1"/>
    </xf>
    <xf numFmtId="0" fontId="14" fillId="0" borderId="36" xfId="0" applyFont="1" applyBorder="1" applyAlignment="1">
      <alignment horizontal="left" vertical="center" wrapText="1"/>
    </xf>
    <xf numFmtId="0" fontId="32" fillId="0" borderId="48" xfId="0" applyFont="1" applyBorder="1" applyAlignment="1">
      <alignment horizontal="left" vertical="center" wrapText="1"/>
    </xf>
    <xf numFmtId="0" fontId="32" fillId="0" borderId="35" xfId="0" applyFont="1" applyBorder="1" applyAlignment="1">
      <alignment horizontal="left" vertical="center" wrapText="1"/>
    </xf>
    <xf numFmtId="0" fontId="32" fillId="0" borderId="36" xfId="0" applyFont="1" applyBorder="1" applyAlignment="1">
      <alignment horizontal="left" vertical="center" wrapText="1"/>
    </xf>
    <xf numFmtId="0" fontId="6" fillId="0" borderId="35" xfId="0" applyFont="1" applyBorder="1" applyAlignment="1">
      <alignment horizontal="left" vertical="center" wrapText="1"/>
    </xf>
    <xf numFmtId="0" fontId="46" fillId="7" borderId="9" xfId="0" applyFont="1" applyFill="1" applyBorder="1" applyAlignment="1">
      <alignment horizontal="center" vertical="center"/>
    </xf>
    <xf numFmtId="0" fontId="46" fillId="7" borderId="20" xfId="0" applyFont="1" applyFill="1" applyBorder="1" applyAlignment="1">
      <alignment horizontal="center" vertical="center"/>
    </xf>
    <xf numFmtId="0" fontId="46" fillId="7" borderId="19" xfId="0" applyFont="1" applyFill="1" applyBorder="1" applyAlignment="1">
      <alignment horizontal="center" vertical="center"/>
    </xf>
    <xf numFmtId="0" fontId="46" fillId="7" borderId="15" xfId="0" applyFont="1" applyFill="1" applyBorder="1" applyAlignment="1">
      <alignment horizontal="center" vertical="center"/>
    </xf>
    <xf numFmtId="0" fontId="34" fillId="7" borderId="0" xfId="0" applyFont="1" applyFill="1" applyAlignment="1">
      <alignment horizontal="center" vertical="center"/>
    </xf>
    <xf numFmtId="0" fontId="43" fillId="0" borderId="86" xfId="0" applyFont="1" applyBorder="1" applyAlignment="1">
      <alignment horizontal="center" vertical="center" wrapText="1"/>
    </xf>
    <xf numFmtId="0" fontId="38" fillId="0" borderId="86" xfId="0" applyFont="1" applyBorder="1" applyAlignment="1">
      <alignment horizontal="center" vertical="center"/>
    </xf>
    <xf numFmtId="0" fontId="38" fillId="0" borderId="82" xfId="0" applyFont="1" applyBorder="1" applyAlignment="1">
      <alignment horizontal="left" vertical="center" wrapText="1"/>
    </xf>
    <xf numFmtId="0" fontId="38" fillId="0" borderId="80" xfId="0" applyFont="1" applyBorder="1" applyAlignment="1">
      <alignment horizontal="center" vertical="center"/>
    </xf>
    <xf numFmtId="0" fontId="38" fillId="0" borderId="80" xfId="0" applyFont="1" applyBorder="1" applyAlignment="1">
      <alignment horizontal="center" vertical="center" wrapText="1"/>
    </xf>
    <xf numFmtId="0" fontId="38" fillId="0" borderId="86" xfId="0" applyFont="1" applyBorder="1" applyAlignment="1">
      <alignment horizontal="center" vertical="center" wrapText="1"/>
    </xf>
    <xf numFmtId="0" fontId="38" fillId="0" borderId="81" xfId="0" applyFont="1" applyBorder="1" applyAlignment="1">
      <alignment horizontal="center" vertical="center" wrapText="1"/>
    </xf>
    <xf numFmtId="0" fontId="35" fillId="0" borderId="0" xfId="0" applyFont="1" applyAlignment="1">
      <alignment horizontal="center" vertical="center"/>
    </xf>
    <xf numFmtId="0" fontId="38" fillId="0" borderId="83" xfId="0" applyFont="1" applyBorder="1" applyAlignment="1">
      <alignment horizontal="center" vertical="center" wrapText="1"/>
    </xf>
    <xf numFmtId="0" fontId="38" fillId="0" borderId="82" xfId="0" applyFont="1" applyBorder="1" applyAlignment="1">
      <alignment horizontal="center" vertical="center" wrapText="1"/>
    </xf>
    <xf numFmtId="0" fontId="38" fillId="0" borderId="84" xfId="0" applyFont="1" applyBorder="1" applyAlignment="1">
      <alignment horizontal="center" vertical="center" wrapText="1"/>
    </xf>
    <xf numFmtId="0" fontId="38" fillId="0" borderId="88" xfId="0" applyFont="1" applyBorder="1" applyAlignment="1">
      <alignment horizontal="center" vertical="center"/>
    </xf>
    <xf numFmtId="0" fontId="38" fillId="0" borderId="89" xfId="0" applyFont="1" applyBorder="1" applyAlignment="1">
      <alignment horizontal="center" vertical="center"/>
    </xf>
    <xf numFmtId="0" fontId="6" fillId="0" borderId="9"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3" fillId="0" borderId="0" xfId="0" applyFont="1" applyAlignment="1">
      <alignment horizontal="center" vertical="center"/>
    </xf>
    <xf numFmtId="0" fontId="6" fillId="0" borderId="9" xfId="0" applyFont="1" applyBorder="1" applyAlignment="1">
      <alignment horizontal="left" vertical="center" wrapText="1"/>
    </xf>
    <xf numFmtId="0" fontId="6" fillId="0" borderId="48" xfId="0" applyFont="1" applyBorder="1" applyAlignment="1">
      <alignment horizontal="left" vertical="center" wrapText="1"/>
    </xf>
    <xf numFmtId="0" fontId="26" fillId="2" borderId="73" xfId="0" applyFont="1" applyFill="1" applyBorder="1" applyAlignment="1">
      <alignment horizontal="center" vertical="center" wrapText="1"/>
    </xf>
    <xf numFmtId="0" fontId="26" fillId="2" borderId="74" xfId="0" applyFont="1" applyFill="1" applyBorder="1" applyAlignment="1">
      <alignment horizontal="center" vertical="center" wrapText="1"/>
    </xf>
    <xf numFmtId="0" fontId="1" fillId="2" borderId="0" xfId="0" applyFont="1" applyFill="1" applyAlignment="1">
      <alignment horizontal="center" vertical="center"/>
    </xf>
    <xf numFmtId="0" fontId="14" fillId="0" borderId="10"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35" xfId="0" applyFont="1" applyBorder="1" applyAlignment="1">
      <alignment horizontal="left" vertical="center" wrapText="1"/>
    </xf>
    <xf numFmtId="0" fontId="52" fillId="0" borderId="10" xfId="0" applyFont="1" applyBorder="1" applyAlignment="1">
      <alignment horizontal="center" vertical="center" wrapText="1"/>
    </xf>
    <xf numFmtId="0" fontId="52" fillId="0" borderId="35" xfId="0" applyFont="1" applyBorder="1" applyAlignment="1">
      <alignment horizontal="center" vertical="center" wrapText="1"/>
    </xf>
    <xf numFmtId="0" fontId="52" fillId="0" borderId="36" xfId="0" applyFont="1" applyBorder="1" applyAlignment="1">
      <alignment horizontal="center" vertical="center" wrapText="1"/>
    </xf>
    <xf numFmtId="0" fontId="38" fillId="0" borderId="87" xfId="0" applyFont="1" applyBorder="1" applyAlignment="1">
      <alignment horizontal="center" vertical="center" wrapText="1"/>
    </xf>
    <xf numFmtId="0" fontId="43" fillId="0" borderId="81" xfId="0" applyFont="1" applyBorder="1" applyAlignment="1">
      <alignment horizontal="center" vertical="center" wrapText="1"/>
    </xf>
    <xf numFmtId="0" fontId="38" fillId="0" borderId="81" xfId="0" applyFont="1" applyBorder="1" applyAlignment="1">
      <alignment horizontal="center" vertical="center"/>
    </xf>
    <xf numFmtId="0" fontId="38" fillId="0" borderId="79" xfId="0" applyFont="1" applyBorder="1" applyAlignment="1">
      <alignment horizontal="center" vertical="center" wrapText="1"/>
    </xf>
    <xf numFmtId="0" fontId="38" fillId="0" borderId="79" xfId="0" applyFont="1" applyBorder="1" applyAlignment="1">
      <alignment horizontal="center" vertical="center"/>
    </xf>
    <xf numFmtId="0" fontId="6" fillId="0" borderId="20"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60" xfId="0" applyFont="1" applyBorder="1" applyAlignment="1">
      <alignment horizontal="center" vertical="center" wrapText="1"/>
    </xf>
    <xf numFmtId="0" fontId="4" fillId="2" borderId="67" xfId="0" applyFont="1" applyFill="1" applyBorder="1" applyAlignment="1">
      <alignment horizontal="center" vertical="center" wrapText="1"/>
    </xf>
    <xf numFmtId="0" fontId="4" fillId="2" borderId="68" xfId="0" applyFont="1" applyFill="1" applyBorder="1" applyAlignment="1">
      <alignment horizontal="center" vertical="center" wrapText="1"/>
    </xf>
    <xf numFmtId="0" fontId="4" fillId="2" borderId="69" xfId="0" applyFont="1" applyFill="1" applyBorder="1" applyAlignment="1">
      <alignment horizontal="center" vertical="center" wrapText="1"/>
    </xf>
    <xf numFmtId="0" fontId="30" fillId="0" borderId="9"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32" xfId="0" applyFont="1" applyBorder="1" applyAlignment="1">
      <alignment horizontal="left" vertical="center" wrapText="1"/>
    </xf>
    <xf numFmtId="0" fontId="6" fillId="0" borderId="34" xfId="0" applyFont="1" applyBorder="1" applyAlignment="1">
      <alignment horizontal="left" vertical="center" wrapText="1"/>
    </xf>
    <xf numFmtId="0" fontId="6" fillId="0" borderId="33"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37" xfId="0" applyFont="1" applyBorder="1" applyAlignment="1">
      <alignment horizontal="center" vertical="center" wrapText="1"/>
    </xf>
  </cellXfs>
  <cellStyles count="2">
    <cellStyle name="Normal" xfId="0" builtinId="0"/>
    <cellStyle name="Normal 2" xfId="1" xr:uid="{53A0F63A-46BE-4F27-81F6-F032B1913C17}"/>
  </cellStyles>
  <dxfs count="162">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B050"/>
      </font>
    </dxf>
    <dxf>
      <font>
        <color rgb="FFFF0000"/>
      </font>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b/>
        <i val="0"/>
        <color rgb="FF9C0006"/>
      </font>
      <fill>
        <patternFill patternType="solid">
          <fgColor indexed="64"/>
          <bgColor rgb="FFFFC7CE"/>
        </patternFill>
      </fill>
    </dxf>
    <dxf>
      <font>
        <b/>
        <i val="0"/>
        <color rgb="FF9C6500"/>
      </font>
      <fill>
        <patternFill patternType="solid">
          <fgColor indexed="64"/>
          <bgColor rgb="FFFFEB9C"/>
        </patternFill>
      </fill>
    </dxf>
    <dxf>
      <font>
        <b/>
        <i val="0"/>
        <color rgb="FF276221"/>
      </font>
      <fill>
        <patternFill patternType="solid">
          <fgColor indexed="64"/>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b/>
        <i val="0"/>
        <color rgb="FF9C0006"/>
      </font>
      <fill>
        <patternFill patternType="solid">
          <fgColor indexed="64"/>
          <bgColor rgb="FFFFC7CE"/>
        </patternFill>
      </fill>
    </dxf>
    <dxf>
      <font>
        <b/>
        <i val="0"/>
        <color rgb="FF9C6500"/>
      </font>
      <fill>
        <patternFill patternType="solid">
          <fgColor indexed="64"/>
          <bgColor rgb="FFFFEB9C"/>
        </patternFill>
      </fill>
    </dxf>
    <dxf>
      <font>
        <b/>
        <i val="0"/>
        <color rgb="FF276221"/>
      </font>
      <fill>
        <patternFill patternType="solid">
          <fgColor indexed="64"/>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6100"/>
      </font>
      <fill>
        <patternFill patternType="solid">
          <fgColor indexed="64"/>
          <bgColor rgb="FFC6EFCE"/>
        </patternFill>
      </fill>
    </dxf>
    <dxf>
      <font>
        <color rgb="FF9C0006"/>
      </font>
      <fill>
        <patternFill patternType="solid">
          <fgColor indexed="64"/>
          <bgColor rgb="FFFFC7CE"/>
        </patternFill>
      </fill>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b/>
        <i val="0"/>
        <color rgb="FF9C0006"/>
      </font>
      <fill>
        <patternFill patternType="solid">
          <fgColor indexed="64"/>
          <bgColor rgb="FFFFC7CE"/>
        </patternFill>
      </fill>
    </dxf>
    <dxf>
      <font>
        <b/>
        <i val="0"/>
        <color rgb="FF9C6500"/>
      </font>
      <fill>
        <patternFill patternType="solid">
          <fgColor indexed="64"/>
          <bgColor rgb="FFFFEB9C"/>
        </patternFill>
      </fill>
    </dxf>
    <dxf>
      <font>
        <b/>
        <i val="0"/>
        <color rgb="FF276221"/>
      </font>
      <fill>
        <patternFill patternType="solid">
          <fgColor indexed="64"/>
          <bgColor rgb="FFC6EFCE"/>
        </patternFill>
      </fill>
    </dxf>
    <dxf>
      <font>
        <color rgb="FF006100"/>
      </font>
      <fill>
        <patternFill>
          <bgColor rgb="FFC6EFCE"/>
        </patternFill>
      </fill>
    </dxf>
    <dxf>
      <font>
        <color rgb="FF9C0006"/>
      </font>
      <fill>
        <patternFill>
          <bgColor rgb="FFFFC7CE"/>
        </patternFill>
      </fill>
    </dxf>
    <dxf>
      <font>
        <color rgb="FF9C0006"/>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6100"/>
      </font>
      <fill>
        <patternFill patternType="solid">
          <fgColor indexed="64"/>
          <bgColor rgb="FFC6EFCE"/>
        </patternFill>
      </fill>
    </dxf>
    <dxf>
      <font>
        <color rgb="FF9C0006"/>
      </font>
      <fill>
        <patternFill patternType="solid">
          <fgColor indexed="64"/>
          <bgColor rgb="FFFFC7CE"/>
        </patternFill>
      </fill>
    </dxf>
    <dxf>
      <font>
        <color rgb="FF00B050"/>
      </font>
    </dxf>
    <dxf>
      <font>
        <color rgb="FFFF0000"/>
      </font>
    </dxf>
    <dxf>
      <font>
        <color rgb="FF006100"/>
      </font>
      <fill>
        <patternFill>
          <bgColor rgb="FFC6EFCE"/>
        </patternFill>
      </fill>
    </dxf>
    <dxf>
      <font>
        <color rgb="FF9C0006"/>
      </font>
      <fill>
        <patternFill>
          <bgColor rgb="FFFFC7CE"/>
        </patternFill>
      </fill>
    </dxf>
    <dxf>
      <font>
        <color rgb="FF9C0006"/>
      </font>
    </dxf>
    <dxf>
      <font>
        <color rgb="FF006100"/>
      </font>
      <fill>
        <patternFill patternType="solid">
          <fgColor indexed="64"/>
          <bgColor rgb="FFC6EFCE"/>
        </patternFill>
      </fill>
    </dxf>
    <dxf>
      <font>
        <color rgb="FF9C0006"/>
      </font>
      <fill>
        <patternFill patternType="solid">
          <fgColor indexed="64"/>
          <bgColor rgb="FFFFC7CE"/>
        </patternFill>
      </fill>
    </dxf>
    <dxf>
      <font>
        <color rgb="FFFF0000"/>
      </font>
    </dxf>
    <dxf>
      <font>
        <color rgb="FF00B05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7340"/>
      <rgbColor rgb="FF000080"/>
      <rgbColor rgb="FF7D5A0D"/>
      <rgbColor rgb="FF800080"/>
      <rgbColor rgb="FF008080"/>
      <rgbColor rgb="FFC0C0C0"/>
      <rgbColor rgb="FF808080"/>
      <rgbColor rgb="FF9999FF"/>
      <rgbColor rgb="FF993366"/>
      <rgbColor rgb="FFFFF8E1"/>
      <rgbColor rgb="FFE6F4E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7F7F7"/>
      <rgbColor rgb="FFFCE8E6"/>
      <rgbColor rgb="FFF5E6C8"/>
      <rgbColor rgb="FF99CCFF"/>
      <rgbColor rgb="FFFF99CC"/>
      <rgbColor rgb="FFCC99FF"/>
      <rgbColor rgb="FFFFCC99"/>
      <rgbColor rgb="FF3366FF"/>
      <rgbColor rgb="FF33CCCC"/>
      <rgbColor rgb="FF99CC00"/>
      <rgbColor rgb="FFFFCC00"/>
      <rgbColor rgb="FFC9A84C"/>
      <rgbColor rgb="FFFF6600"/>
      <rgbColor rgb="FF555555"/>
      <rgbColor rgb="FFAAAAAA"/>
      <rgbColor rgb="FF003366"/>
      <rgbColor rgb="FF339966"/>
      <rgbColor rgb="FF0D1B2A"/>
      <rgbColor rgb="FF1A1A1A"/>
      <rgbColor rgb="FFB31412"/>
      <rgbColor rgb="FF993366"/>
      <rgbColor rgb="FF333399"/>
      <rgbColor rgb="FF1A2F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525"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C83381E-061E-4D2A-936E-72BF2E102DDC}">
  <we:reference id="WA200009404" version="1.0.0.8" store="en-us" storeType="omex"/>
  <we:alternateReferences>
    <we:reference id="WA200009404" version="1.0.0.8" store="en-us" storeType="omex"/>
  </we:alternateReferences>
  <we:properties>
    <we:property name="claude.fileId" value="&quot;6fbae646-41fa-413e-a2f3-bc97f97d9f5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BB13E408-E44A-4282-A82A-956F2EADBF75}">
  <we:reference id="WA200010725" version="1.0.0.1" store="Omex" storeType="OMEX"/>
  <we:alternateReferences>
    <we:reference id="WA200010725" version="1.0.0.1" store="WA200010725" storeType="OMEX"/>
  </we:alternateReferences>
  <we:properties>
    <we:property name="claude.fileId" value="&quot;d7a7cb03-1b3d-44d5-9ede-6373d2f8f82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EF7FF-003C-41D5-ABA2-403AB23318C4}">
  <sheetPr>
    <tabColor rgb="FFFF0000"/>
  </sheetPr>
  <dimension ref="A1:AK66"/>
  <sheetViews>
    <sheetView showGridLines="0" tabSelected="1" topLeftCell="A7" zoomScale="55" zoomScaleNormal="55" workbookViewId="0">
      <selection activeCell="O6" sqref="O6"/>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3.54296875" style="2" customWidth="1"/>
    <col min="7" max="7" width="12.453125" style="2" customWidth="1"/>
    <col min="8" max="8" width="12.81640625" style="29" customWidth="1"/>
    <col min="9" max="9" width="13.1796875" style="29" customWidth="1"/>
    <col min="10" max="10" width="15.54296875" style="2" customWidth="1"/>
    <col min="11" max="11" width="10.81640625" style="2" customWidth="1"/>
    <col min="12" max="12" width="36" style="1" customWidth="1"/>
    <col min="13" max="13" width="46.1796875" style="298" customWidth="1"/>
    <col min="14" max="14" width="12.81640625" style="76" customWidth="1"/>
    <col min="15" max="15" width="10.81640625" style="76" customWidth="1"/>
    <col min="16" max="16" width="13.1796875" style="76" customWidth="1"/>
    <col min="17" max="17" width="47.54296875" style="76" customWidth="1"/>
    <col min="18" max="18" width="20.54296875" style="76" customWidth="1"/>
    <col min="19" max="19" width="54.81640625" style="17" customWidth="1"/>
    <col min="20" max="20" width="43.7265625" style="236" customWidth="1"/>
    <col min="21" max="21" width="16.26953125" style="159" customWidth="1"/>
    <col min="22" max="22" width="76.54296875" style="17" customWidth="1"/>
    <col min="23" max="23" width="8.54296875" style="1"/>
    <col min="24" max="36" width="0" style="1" hidden="1" customWidth="1"/>
    <col min="37" max="37" width="19.54296875" style="1" hidden="1" customWidth="1"/>
    <col min="38" max="16384" width="8.54296875" style="1"/>
  </cols>
  <sheetData>
    <row r="1" spans="1:37"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1"/>
    </row>
    <row r="2" spans="1:37" ht="37.5" customHeight="1" thickTop="1" thickBot="1" x14ac:dyDescent="0.4">
      <c r="A2" s="509" t="s">
        <v>195</v>
      </c>
      <c r="B2" s="510"/>
      <c r="C2" s="510"/>
      <c r="D2" s="510"/>
      <c r="E2" s="510"/>
      <c r="F2" s="510"/>
      <c r="G2" s="510"/>
      <c r="H2" s="510"/>
      <c r="I2" s="510"/>
      <c r="J2" s="510"/>
      <c r="K2" s="510"/>
      <c r="L2" s="510"/>
      <c r="M2" s="510"/>
      <c r="N2" s="510"/>
      <c r="O2" s="510"/>
      <c r="P2" s="510"/>
      <c r="Q2" s="510"/>
      <c r="R2" s="510"/>
      <c r="S2" s="510"/>
      <c r="T2" s="510"/>
      <c r="U2" s="510"/>
      <c r="V2" s="511"/>
    </row>
    <row r="3" spans="1:37"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row>
    <row r="4" spans="1:37" s="4" customFormat="1" ht="27.75" customHeight="1" thickTop="1" thickBot="1" x14ac:dyDescent="0.45">
      <c r="A4" s="513" t="s">
        <v>3</v>
      </c>
      <c r="B4" s="514"/>
      <c r="C4" s="514"/>
      <c r="D4" s="514"/>
      <c r="E4" s="514"/>
      <c r="F4" s="513" t="s">
        <v>4</v>
      </c>
      <c r="G4" s="514"/>
      <c r="H4" s="514"/>
      <c r="I4" s="514"/>
      <c r="J4" s="514"/>
      <c r="K4" s="515"/>
      <c r="L4" s="516" t="s">
        <v>5</v>
      </c>
      <c r="M4" s="516"/>
      <c r="N4" s="513" t="s">
        <v>6</v>
      </c>
      <c r="O4" s="514"/>
      <c r="P4" s="514"/>
      <c r="Q4" s="515"/>
      <c r="R4" s="513" t="s">
        <v>7</v>
      </c>
      <c r="S4" s="514"/>
      <c r="T4" s="515"/>
      <c r="U4" s="513" t="s">
        <v>8</v>
      </c>
      <c r="V4" s="515"/>
    </row>
    <row r="5" spans="1:37" ht="71.5" customHeight="1" thickTop="1" thickBot="1" x14ac:dyDescent="0.4">
      <c r="A5" s="10" t="s">
        <v>9</v>
      </c>
      <c r="B5" s="10" t="s">
        <v>10</v>
      </c>
      <c r="C5" s="10" t="s">
        <v>11</v>
      </c>
      <c r="D5" s="10" t="s">
        <v>12</v>
      </c>
      <c r="E5" s="10" t="s">
        <v>13</v>
      </c>
      <c r="F5" s="10" t="s">
        <v>14</v>
      </c>
      <c r="G5" s="10" t="s">
        <v>15</v>
      </c>
      <c r="H5" s="10" t="s">
        <v>16</v>
      </c>
      <c r="I5" s="10" t="s">
        <v>17</v>
      </c>
      <c r="J5" s="10" t="s">
        <v>18</v>
      </c>
      <c r="K5" s="10" t="s">
        <v>19</v>
      </c>
      <c r="L5" s="10" t="s">
        <v>20</v>
      </c>
      <c r="M5" s="10" t="s">
        <v>21</v>
      </c>
      <c r="N5" s="10" t="s">
        <v>22</v>
      </c>
      <c r="O5" s="10" t="s">
        <v>23</v>
      </c>
      <c r="P5" s="10" t="s">
        <v>24</v>
      </c>
      <c r="Q5" s="10" t="s">
        <v>25</v>
      </c>
      <c r="R5" s="468" t="s">
        <v>26</v>
      </c>
      <c r="S5" s="18" t="s">
        <v>27</v>
      </c>
      <c r="T5" s="18" t="s">
        <v>28</v>
      </c>
      <c r="U5" s="18" t="s">
        <v>29</v>
      </c>
      <c r="V5" s="433" t="s">
        <v>30</v>
      </c>
      <c r="X5" s="450" t="s">
        <v>31</v>
      </c>
      <c r="Y5" s="450" t="s">
        <v>32</v>
      </c>
      <c r="Z5" s="450" t="s">
        <v>33</v>
      </c>
      <c r="AA5" s="450" t="s">
        <v>34</v>
      </c>
      <c r="AB5" s="450" t="s">
        <v>35</v>
      </c>
      <c r="AC5" s="450" t="s">
        <v>36</v>
      </c>
      <c r="AD5" s="450" t="s">
        <v>37</v>
      </c>
      <c r="AE5" s="450" t="s">
        <v>38</v>
      </c>
      <c r="AF5" s="450" t="s">
        <v>39</v>
      </c>
      <c r="AG5" s="450" t="s">
        <v>40</v>
      </c>
      <c r="AH5" s="450" t="s">
        <v>41</v>
      </c>
      <c r="AI5" s="450" t="s">
        <v>42</v>
      </c>
      <c r="AJ5" s="450" t="s">
        <v>43</v>
      </c>
      <c r="AK5" s="450" t="s">
        <v>44</v>
      </c>
    </row>
    <row r="6" spans="1:37" s="5" customFormat="1" ht="328" customHeight="1" thickTop="1" x14ac:dyDescent="0.35">
      <c r="A6" s="117">
        <v>1</v>
      </c>
      <c r="B6" s="244" t="s">
        <v>45</v>
      </c>
      <c r="C6" s="432" t="s">
        <v>46</v>
      </c>
      <c r="D6" s="117" t="s">
        <v>196</v>
      </c>
      <c r="E6" s="436" t="s">
        <v>197</v>
      </c>
      <c r="F6" s="117" t="s">
        <v>49</v>
      </c>
      <c r="G6" s="117" t="s">
        <v>88</v>
      </c>
      <c r="H6" s="25" t="s">
        <v>198</v>
      </c>
      <c r="I6" s="441" t="s">
        <v>52</v>
      </c>
      <c r="J6" s="117" t="s">
        <v>74</v>
      </c>
      <c r="K6" s="426" t="s">
        <v>52</v>
      </c>
      <c r="L6" s="274" t="s">
        <v>199</v>
      </c>
      <c r="M6" s="458" t="str">
        <f>AB6&amp;CHAR(10)&amp;"Est. Savings: "&amp;IF(AK6&lt;&gt;"",TEXT(AK6,"0.00")&amp;" QAR",IF(AND(ISNUMBER(SEARCH(" QAR",H6)),ISNUMBER(SEARCH(" QAR",I6))),TEXT(ROUND(VALUE(SUBSTITUTE(H6," QAR",""))-VALUE(SUBSTITUTE(I6," QAR","")),2),"0.00")&amp;" QAR",IF(AND(X6&lt;&gt;"",Y6&lt;&gt;""),TEXT(ROUND((X6/100)*Y6,2),"0.00")&amp;" QAR",IF(AND(Z6&lt;&gt;"",AA6&lt;&gt;""),TEXT(ROUND(Z6*AA6,2),"0.00")&amp;" QAR",IF(X6&lt;&gt;"",IFERROR(TEXT(ROUND((X6/100)*VALUE(SUBSTITUTE(H6," QAR","")),2),"0.00")&amp;" QAR","NA"),"NA")))))</f>
        <v>Order any Sharing Boat and enjoy 1 Appetiser + 2 Drinks on the house.
Est. Savings: 77.00 QAR</v>
      </c>
      <c r="N6" s="120" t="s">
        <v>150</v>
      </c>
      <c r="O6" s="120" t="s">
        <v>150</v>
      </c>
      <c r="P6" s="162" t="s">
        <v>150</v>
      </c>
      <c r="Q6" s="521" t="s">
        <v>200</v>
      </c>
      <c r="R6" s="470" t="s">
        <v>201</v>
      </c>
      <c r="S6" s="467" t="s">
        <v>202</v>
      </c>
      <c r="T6" s="179"/>
      <c r="U6" s="179" t="s">
        <v>57</v>
      </c>
      <c r="V6" s="176"/>
      <c r="AB6" s="201" t="s">
        <v>58</v>
      </c>
      <c r="AK6" s="474">
        <v>77</v>
      </c>
    </row>
    <row r="7" spans="1:37" s="5" customFormat="1" ht="281.5" customHeight="1" x14ac:dyDescent="0.35">
      <c r="A7" s="117">
        <v>2</v>
      </c>
      <c r="B7" s="244" t="s">
        <v>45</v>
      </c>
      <c r="C7" s="432" t="s">
        <v>67</v>
      </c>
      <c r="D7" s="117" t="s">
        <v>196</v>
      </c>
      <c r="E7" s="150" t="s">
        <v>203</v>
      </c>
      <c r="F7" s="130" t="s">
        <v>49</v>
      </c>
      <c r="G7" s="117" t="s">
        <v>88</v>
      </c>
      <c r="H7" s="25" t="s">
        <v>204</v>
      </c>
      <c r="I7" s="441" t="s">
        <v>52</v>
      </c>
      <c r="J7" s="117" t="s">
        <v>74</v>
      </c>
      <c r="K7" s="426" t="s">
        <v>52</v>
      </c>
      <c r="L7" s="142" t="s">
        <v>199</v>
      </c>
      <c r="M7" s="458" t="str">
        <f t="shared" ref="M7:M17" si="0">AB7&amp;CHAR(10)&amp;"Est. Savings: "&amp;IF(AK7&lt;&gt;"",TEXT(AK7,"0.00")&amp;" QAR",IF(AND(ISNUMBER(SEARCH(" QAR",H7)),ISNUMBER(SEARCH(" QAR",I7))),TEXT(ROUND(VALUE(SUBSTITUTE(H7," QAR",""))-VALUE(SUBSTITUTE(I7," QAR","")),2),"0.00")&amp;" QAR",IF(AND(X7&lt;&gt;"",Y7&lt;&gt;""),TEXT(ROUND((X7/100)*Y7,2),"0.00")&amp;" QAR",IF(AND(Z7&lt;&gt;"",AA7&lt;&gt;""),TEXT(ROUND(Z7*AA7,2),"0.00")&amp;" QAR",IF(X7&lt;&gt;"",IFERROR(TEXT(ROUND((X7/100)*VALUE(SUBSTITUTE(H7," QAR","")),2),"0.00")&amp;" QAR","NA"),"NA")))))</f>
        <v>Mix &amp; match any 8 pieces of sushi to get 1 Appetizer free.
Est. Savings: 33.00 QAR</v>
      </c>
      <c r="N7" s="120" t="s">
        <v>150</v>
      </c>
      <c r="O7" s="120" t="s">
        <v>150</v>
      </c>
      <c r="P7" s="162" t="s">
        <v>150</v>
      </c>
      <c r="Q7" s="522"/>
      <c r="R7" s="471"/>
      <c r="S7" s="102"/>
      <c r="T7" s="174"/>
      <c r="U7" s="179" t="s">
        <v>57</v>
      </c>
      <c r="V7" s="126"/>
      <c r="Z7"/>
      <c r="AA7"/>
      <c r="AB7" s="201" t="s">
        <v>60</v>
      </c>
      <c r="AK7" s="474">
        <v>33</v>
      </c>
    </row>
    <row r="8" spans="1:37" s="5" customFormat="1" ht="281.5" customHeight="1" x14ac:dyDescent="0.35">
      <c r="A8" s="117">
        <v>3</v>
      </c>
      <c r="B8" s="13" t="s">
        <v>45</v>
      </c>
      <c r="C8" s="144" t="s">
        <v>46</v>
      </c>
      <c r="D8" s="117" t="s">
        <v>196</v>
      </c>
      <c r="E8" s="8" t="s">
        <v>205</v>
      </c>
      <c r="F8" s="8" t="s">
        <v>49</v>
      </c>
      <c r="G8" s="117" t="s">
        <v>88</v>
      </c>
      <c r="H8" s="26" t="s">
        <v>204</v>
      </c>
      <c r="I8" s="448" t="s">
        <v>52</v>
      </c>
      <c r="J8" s="8" t="s">
        <v>74</v>
      </c>
      <c r="K8" s="8" t="s">
        <v>52</v>
      </c>
      <c r="L8" s="9" t="s">
        <v>199</v>
      </c>
      <c r="M8" s="458" t="str">
        <f>AB8&amp;CHAR(10)&amp;"Est. Savings: "&amp;IF(AK8&lt;&gt;"",TEXT(AK8,"0.00")&amp;" QAR",IF(AND(ISNUMBER(SEARCH(" QAR",H8)),ISNUMBER(SEARCH(" QAR",I8))),TEXT(ROUND(VALUE(SUBSTITUTE(H8," QAR",""))-VALUE(SUBSTITUTE(I8," QAR","")),2),"0.00")&amp;" QAR",IF(AND(X8&lt;&gt;"",Y8&lt;&gt;""),TEXT(ROUND((X8/100)*Y8,2),"0.00")&amp;" QAR",IF(AND(Z8&lt;&gt;"",AA8&lt;&gt;""),TEXT(ROUND(Z8*AA8,2),"0.00")&amp;" QAR",IF(X8&lt;&gt;"",IFERROR(TEXT(ROUND((X8/100)*VALUE(SUBSTITUTE(H8," QAR","")),2),"0.00")&amp;" QAR","NA"),"NA")))))</f>
        <v>Buy any 8 pieces of sushi and get 1 Drink free.
Est. Savings: 22.00 QAR</v>
      </c>
      <c r="N8" s="120" t="s">
        <v>150</v>
      </c>
      <c r="O8" s="120" t="s">
        <v>150</v>
      </c>
      <c r="P8" s="162" t="s">
        <v>150</v>
      </c>
      <c r="Q8" s="522"/>
      <c r="R8" s="471"/>
      <c r="S8" s="434"/>
      <c r="T8" s="174"/>
      <c r="U8" s="179" t="s">
        <v>57</v>
      </c>
      <c r="V8" s="34"/>
      <c r="W8" s="3"/>
      <c r="X8" s="3"/>
      <c r="Y8" s="3"/>
      <c r="Z8" s="3"/>
      <c r="AA8" s="3"/>
      <c r="AB8" s="3" t="s">
        <v>63</v>
      </c>
      <c r="AK8" s="474">
        <v>22</v>
      </c>
    </row>
    <row r="9" spans="1:37" s="5" customFormat="1" ht="281.5" customHeight="1" x14ac:dyDescent="0.35">
      <c r="A9" s="117">
        <v>4</v>
      </c>
      <c r="B9" s="13" t="s">
        <v>45</v>
      </c>
      <c r="C9" s="144" t="s">
        <v>46</v>
      </c>
      <c r="D9" s="117" t="s">
        <v>196</v>
      </c>
      <c r="E9" s="8" t="s">
        <v>206</v>
      </c>
      <c r="F9" s="8" t="s">
        <v>49</v>
      </c>
      <c r="G9" s="117" t="s">
        <v>50</v>
      </c>
      <c r="H9" s="26" t="s">
        <v>207</v>
      </c>
      <c r="I9" s="448" t="s">
        <v>52</v>
      </c>
      <c r="J9" s="8" t="s">
        <v>74</v>
      </c>
      <c r="K9" s="8" t="s">
        <v>52</v>
      </c>
      <c r="L9" s="9" t="s">
        <v>199</v>
      </c>
      <c r="M9" s="458" t="str">
        <f t="shared" si="0"/>
        <v>Endless rolls, endless cravings! Your sushi night just got better at Sushi Minto. Valid Sunday, Monday, Tuesday &amp; Wednesday only.
Est. Savings: 139.00 QAR</v>
      </c>
      <c r="N9" s="120" t="s">
        <v>150</v>
      </c>
      <c r="O9" s="120" t="s">
        <v>150</v>
      </c>
      <c r="P9" s="162" t="s">
        <v>150</v>
      </c>
      <c r="Q9" s="522"/>
      <c r="R9" s="471"/>
      <c r="S9" s="434"/>
      <c r="T9" s="174"/>
      <c r="U9" s="179" t="s">
        <v>57</v>
      </c>
      <c r="V9" s="34"/>
      <c r="W9" s="3"/>
      <c r="X9" s="3"/>
      <c r="Y9" s="3"/>
      <c r="Z9" s="3"/>
      <c r="AA9" s="3"/>
      <c r="AB9" s="3" t="s">
        <v>208</v>
      </c>
      <c r="AK9" s="495">
        <f>VALUE(SUBSTITUTE(H9," QAR",""))</f>
        <v>139</v>
      </c>
    </row>
    <row r="10" spans="1:37" s="5" customFormat="1" ht="281.5" customHeight="1" x14ac:dyDescent="0.35">
      <c r="A10" s="117">
        <v>5</v>
      </c>
      <c r="B10" s="13" t="s">
        <v>45</v>
      </c>
      <c r="C10" s="144" t="s">
        <v>46</v>
      </c>
      <c r="D10" s="117" t="s">
        <v>196</v>
      </c>
      <c r="E10" s="8" t="s">
        <v>209</v>
      </c>
      <c r="F10" s="8" t="s">
        <v>49</v>
      </c>
      <c r="G10" s="117" t="s">
        <v>50</v>
      </c>
      <c r="H10" s="493" t="s">
        <v>154</v>
      </c>
      <c r="I10" s="448" t="s">
        <v>52</v>
      </c>
      <c r="J10" s="8" t="s">
        <v>74</v>
      </c>
      <c r="K10" s="8" t="s">
        <v>52</v>
      </c>
      <c r="L10" s="9" t="s">
        <v>199</v>
      </c>
      <c r="M10" s="458" t="str">
        <f t="shared" si="0"/>
        <v>Buy any main course item and get any main course of the same or lower price free.
Est. Savings: 49.00 QAR</v>
      </c>
      <c r="N10" s="8" t="s">
        <v>55</v>
      </c>
      <c r="O10" s="8" t="s">
        <v>150</v>
      </c>
      <c r="P10" s="132" t="s">
        <v>55</v>
      </c>
      <c r="Q10" s="523"/>
      <c r="R10" s="471"/>
      <c r="S10" s="434"/>
      <c r="T10" s="174"/>
      <c r="U10" s="179" t="s">
        <v>57</v>
      </c>
      <c r="V10" s="34"/>
      <c r="W10" s="3"/>
      <c r="X10" s="3"/>
      <c r="Y10" s="3"/>
      <c r="Z10" s="3"/>
      <c r="AA10" s="3"/>
      <c r="AB10" s="3" t="s">
        <v>210</v>
      </c>
      <c r="AK10" s="498">
        <v>49</v>
      </c>
    </row>
    <row r="11" spans="1:37" s="5" customFormat="1" ht="281.5" customHeight="1" x14ac:dyDescent="0.35">
      <c r="A11" s="117">
        <v>6</v>
      </c>
      <c r="B11" s="13" t="s">
        <v>45</v>
      </c>
      <c r="C11" s="144" t="s">
        <v>46</v>
      </c>
      <c r="D11" s="8" t="s">
        <v>211</v>
      </c>
      <c r="E11" s="8" t="s">
        <v>212</v>
      </c>
      <c r="F11" s="8" t="s">
        <v>49</v>
      </c>
      <c r="G11" s="117" t="s">
        <v>88</v>
      </c>
      <c r="H11" s="26" t="s">
        <v>213</v>
      </c>
      <c r="I11" s="448" t="s">
        <v>52</v>
      </c>
      <c r="J11" s="8" t="s">
        <v>74</v>
      </c>
      <c r="K11" s="8" t="s">
        <v>52</v>
      </c>
      <c r="L11" s="9" t="s">
        <v>199</v>
      </c>
      <c r="M11" s="458" t="str">
        <f t="shared" si="0"/>
        <v>Main Course options: Daily Persian Stew, Charcoal Grilled Kebabs, Chef's Special Kebabs, or Grilled/Fried Seafood. Free item: any Soup, Starter, or Salad.
Est. Savings: 20.00 QAR</v>
      </c>
      <c r="N11" s="8" t="s">
        <v>150</v>
      </c>
      <c r="O11" s="8" t="s">
        <v>150</v>
      </c>
      <c r="P11" s="132" t="s">
        <v>150</v>
      </c>
      <c r="Q11" s="517" t="s">
        <v>214</v>
      </c>
      <c r="R11" s="471"/>
      <c r="S11" s="434"/>
      <c r="T11" s="174"/>
      <c r="U11" s="179" t="s">
        <v>57</v>
      </c>
      <c r="V11" s="34"/>
      <c r="W11" s="3"/>
      <c r="X11" s="3"/>
      <c r="Y11" s="3"/>
      <c r="Z11" s="3"/>
      <c r="AA11" s="3"/>
      <c r="AB11" s="3" t="s">
        <v>66</v>
      </c>
      <c r="AK11" s="474">
        <v>20</v>
      </c>
    </row>
    <row r="12" spans="1:37" s="5" customFormat="1" ht="281.5" customHeight="1" x14ac:dyDescent="0.35">
      <c r="A12" s="117">
        <v>7</v>
      </c>
      <c r="B12" s="13" t="s">
        <v>45</v>
      </c>
      <c r="C12" s="144" t="s">
        <v>46</v>
      </c>
      <c r="D12" s="8" t="s">
        <v>211</v>
      </c>
      <c r="E12" s="8" t="s">
        <v>209</v>
      </c>
      <c r="F12" s="8" t="s">
        <v>49</v>
      </c>
      <c r="G12" s="117" t="s">
        <v>50</v>
      </c>
      <c r="H12" s="493" t="s">
        <v>154</v>
      </c>
      <c r="I12" s="448" t="s">
        <v>52</v>
      </c>
      <c r="J12" s="8" t="s">
        <v>74</v>
      </c>
      <c r="K12" s="8" t="s">
        <v>52</v>
      </c>
      <c r="L12" s="9" t="s">
        <v>199</v>
      </c>
      <c r="M12" s="458" t="str">
        <f t="shared" si="0"/>
        <v>Buy any Main course and get a main course of the same or lower value free.
Est. Savings: 59.00 QAR</v>
      </c>
      <c r="N12" s="8" t="s">
        <v>150</v>
      </c>
      <c r="O12" s="8" t="s">
        <v>150</v>
      </c>
      <c r="P12" s="132" t="s">
        <v>150</v>
      </c>
      <c r="Q12" s="518"/>
      <c r="R12" s="471"/>
      <c r="S12" s="434"/>
      <c r="T12" s="174"/>
      <c r="U12" s="179" t="s">
        <v>57</v>
      </c>
      <c r="V12" s="34"/>
      <c r="W12" s="3"/>
      <c r="X12" s="3"/>
      <c r="Y12" s="3"/>
      <c r="Z12" s="3"/>
      <c r="AA12" s="3"/>
      <c r="AB12" s="3" t="s">
        <v>215</v>
      </c>
      <c r="AK12" s="498">
        <v>59</v>
      </c>
    </row>
    <row r="13" spans="1:37" s="5" customFormat="1" ht="281.5" customHeight="1" x14ac:dyDescent="0.35">
      <c r="A13" s="117">
        <v>8</v>
      </c>
      <c r="B13" s="244" t="s">
        <v>45</v>
      </c>
      <c r="C13" s="432" t="s">
        <v>46</v>
      </c>
      <c r="D13" s="117" t="s">
        <v>216</v>
      </c>
      <c r="E13" s="150" t="s">
        <v>212</v>
      </c>
      <c r="F13" s="130" t="s">
        <v>49</v>
      </c>
      <c r="G13" s="117" t="s">
        <v>88</v>
      </c>
      <c r="H13" s="25" t="s">
        <v>217</v>
      </c>
      <c r="I13" s="441" t="s">
        <v>52</v>
      </c>
      <c r="J13" s="117" t="s">
        <v>74</v>
      </c>
      <c r="K13" s="426" t="s">
        <v>52</v>
      </c>
      <c r="L13" s="142" t="s">
        <v>199</v>
      </c>
      <c r="M13" s="458" t="str">
        <f t="shared" si="0"/>
        <v>Order any Main Course and get any Appetizer free.
Est. Savings: 30.00 QAR</v>
      </c>
      <c r="N13" s="120" t="s">
        <v>55</v>
      </c>
      <c r="O13" s="120" t="s">
        <v>150</v>
      </c>
      <c r="P13" s="132" t="s">
        <v>55</v>
      </c>
      <c r="Q13" s="519" t="s">
        <v>218</v>
      </c>
      <c r="R13" s="471"/>
      <c r="S13" s="434"/>
      <c r="T13" s="174"/>
      <c r="U13" s="179" t="s">
        <v>57</v>
      </c>
      <c r="V13" s="126"/>
      <c r="Z13"/>
      <c r="AA13"/>
      <c r="AB13" s="201" t="s">
        <v>219</v>
      </c>
      <c r="AK13" s="496">
        <v>30</v>
      </c>
    </row>
    <row r="14" spans="1:37" s="5" customFormat="1" ht="281.5" customHeight="1" x14ac:dyDescent="0.35">
      <c r="A14" s="117">
        <v>9</v>
      </c>
      <c r="B14" s="244" t="s">
        <v>45</v>
      </c>
      <c r="C14" s="432" t="s">
        <v>46</v>
      </c>
      <c r="D14" s="117" t="s">
        <v>216</v>
      </c>
      <c r="E14" s="150" t="s">
        <v>209</v>
      </c>
      <c r="F14" s="130" t="s">
        <v>49</v>
      </c>
      <c r="G14" s="117" t="s">
        <v>50</v>
      </c>
      <c r="H14" s="493" t="s">
        <v>154</v>
      </c>
      <c r="I14" s="441" t="s">
        <v>52</v>
      </c>
      <c r="J14" s="117" t="s">
        <v>74</v>
      </c>
      <c r="K14" s="426" t="s">
        <v>52</v>
      </c>
      <c r="L14" s="142" t="s">
        <v>199</v>
      </c>
      <c r="M14" s="458" t="str">
        <f t="shared" si="0"/>
        <v>Buy any Main course and get a main course of the same or lower value free.
Est. Savings: NA</v>
      </c>
      <c r="N14" s="120" t="s">
        <v>55</v>
      </c>
      <c r="O14" s="120" t="s">
        <v>150</v>
      </c>
      <c r="P14" s="132" t="s">
        <v>55</v>
      </c>
      <c r="Q14" s="520"/>
      <c r="R14" s="471"/>
      <c r="S14" s="434"/>
      <c r="T14" s="174"/>
      <c r="U14" s="179" t="s">
        <v>57</v>
      </c>
      <c r="V14" s="126"/>
      <c r="Z14"/>
      <c r="AA14"/>
      <c r="AB14" s="201" t="s">
        <v>215</v>
      </c>
    </row>
    <row r="15" spans="1:37" s="5" customFormat="1" ht="281.5" customHeight="1" x14ac:dyDescent="0.35">
      <c r="A15" s="117">
        <v>10</v>
      </c>
      <c r="B15" s="244" t="s">
        <v>45</v>
      </c>
      <c r="C15" s="432" t="s">
        <v>46</v>
      </c>
      <c r="D15" s="8" t="s">
        <v>220</v>
      </c>
      <c r="E15" s="150" t="s">
        <v>212</v>
      </c>
      <c r="F15" s="130" t="s">
        <v>49</v>
      </c>
      <c r="G15" s="117" t="s">
        <v>88</v>
      </c>
      <c r="H15" s="25" t="s">
        <v>65</v>
      </c>
      <c r="I15" s="441" t="s">
        <v>52</v>
      </c>
      <c r="J15" s="117" t="s">
        <v>74</v>
      </c>
      <c r="K15" s="426" t="s">
        <v>52</v>
      </c>
      <c r="L15" s="142" t="s">
        <v>199</v>
      </c>
      <c r="M15" s="458" t="str">
        <f t="shared" si="0"/>
        <v>Main Course options: Curry or Biryani. Free item: Soup, Salad, or a single-portion Tandoor starter.
Est. Savings: 27.00 QAR</v>
      </c>
      <c r="N15" s="120" t="s">
        <v>150</v>
      </c>
      <c r="O15" s="120" t="s">
        <v>150</v>
      </c>
      <c r="P15" s="132" t="s">
        <v>150</v>
      </c>
      <c r="Q15" s="519" t="s">
        <v>221</v>
      </c>
      <c r="R15" s="471"/>
      <c r="S15" s="434"/>
      <c r="T15" s="174"/>
      <c r="U15" s="179" t="s">
        <v>57</v>
      </c>
      <c r="V15" s="126"/>
      <c r="Z15"/>
      <c r="AA15"/>
      <c r="AB15" s="201" t="s">
        <v>222</v>
      </c>
      <c r="AK15" s="496">
        <v>27</v>
      </c>
    </row>
    <row r="16" spans="1:37" s="5" customFormat="1" ht="281.5" customHeight="1" x14ac:dyDescent="0.35">
      <c r="A16" s="117">
        <v>11</v>
      </c>
      <c r="B16" s="244" t="s">
        <v>45</v>
      </c>
      <c r="C16" s="432" t="s">
        <v>46</v>
      </c>
      <c r="D16" s="8" t="s">
        <v>220</v>
      </c>
      <c r="E16" s="150" t="s">
        <v>209</v>
      </c>
      <c r="F16" s="130" t="s">
        <v>49</v>
      </c>
      <c r="G16" s="117" t="s">
        <v>50</v>
      </c>
      <c r="H16" s="493" t="s">
        <v>154</v>
      </c>
      <c r="I16" s="441" t="s">
        <v>52</v>
      </c>
      <c r="J16" s="117" t="s">
        <v>74</v>
      </c>
      <c r="K16" s="426" t="s">
        <v>52</v>
      </c>
      <c r="L16" s="142" t="s">
        <v>199</v>
      </c>
      <c r="M16" s="458" t="str">
        <f t="shared" si="0"/>
        <v>Buy any Main course and get a main course of the same or lower value free.
Est. Savings: 29.00 QAR</v>
      </c>
      <c r="N16" s="120" t="s">
        <v>150</v>
      </c>
      <c r="O16" s="120" t="s">
        <v>150</v>
      </c>
      <c r="P16" s="132" t="s">
        <v>150</v>
      </c>
      <c r="Q16" s="520"/>
      <c r="R16" s="471"/>
      <c r="S16" s="434"/>
      <c r="T16" s="174"/>
      <c r="U16" s="179" t="s">
        <v>57</v>
      </c>
      <c r="V16" s="126"/>
      <c r="Z16"/>
      <c r="AA16"/>
      <c r="AB16" s="201" t="s">
        <v>215</v>
      </c>
      <c r="AK16" s="5">
        <v>29</v>
      </c>
    </row>
    <row r="17" spans="1:37" s="3" customFormat="1" ht="153" customHeight="1" x14ac:dyDescent="0.35">
      <c r="A17" s="8">
        <v>12</v>
      </c>
      <c r="B17" s="13" t="s">
        <v>45</v>
      </c>
      <c r="C17" s="144" t="s">
        <v>46</v>
      </c>
      <c r="D17" s="8" t="s">
        <v>223</v>
      </c>
      <c r="E17" s="8" t="s">
        <v>212</v>
      </c>
      <c r="F17" s="8" t="s">
        <v>49</v>
      </c>
      <c r="G17" s="8" t="s">
        <v>88</v>
      </c>
      <c r="H17" s="26" t="s">
        <v>224</v>
      </c>
      <c r="I17" s="448" t="s">
        <v>52</v>
      </c>
      <c r="J17" s="8" t="s">
        <v>74</v>
      </c>
      <c r="K17" s="8" t="s">
        <v>52</v>
      </c>
      <c r="L17" s="9" t="s">
        <v>199</v>
      </c>
      <c r="M17" s="456" t="str">
        <f t="shared" si="0"/>
        <v>Main Course options: Crepaway Special, Pizza, Salad, Burger, Sandwich, Pasta, Light Item, Savory Crepe, or Platter. Free item: any Appetizer.
Est. Savings: 35.00 QAR</v>
      </c>
      <c r="N17" s="8" t="s">
        <v>150</v>
      </c>
      <c r="O17" s="8" t="s">
        <v>150</v>
      </c>
      <c r="P17" s="132" t="s">
        <v>55</v>
      </c>
      <c r="Q17" s="517" t="s">
        <v>225</v>
      </c>
      <c r="R17" s="130"/>
      <c r="S17" s="169"/>
      <c r="T17" s="174"/>
      <c r="U17" s="179" t="s">
        <v>57</v>
      </c>
      <c r="V17" s="34"/>
      <c r="AB17" s="3" t="s">
        <v>226</v>
      </c>
      <c r="AK17" s="497">
        <v>35</v>
      </c>
    </row>
    <row r="18" spans="1:37" s="3" customFormat="1" ht="110.5" customHeight="1" x14ac:dyDescent="0.35">
      <c r="A18" s="8">
        <v>13</v>
      </c>
      <c r="B18" s="13" t="s">
        <v>45</v>
      </c>
      <c r="C18" s="144" t="s">
        <v>46</v>
      </c>
      <c r="D18" s="8" t="s">
        <v>223</v>
      </c>
      <c r="E18" s="8" t="s">
        <v>209</v>
      </c>
      <c r="F18" s="8" t="s">
        <v>49</v>
      </c>
      <c r="G18" s="8" t="s">
        <v>50</v>
      </c>
      <c r="H18" s="493" t="s">
        <v>154</v>
      </c>
      <c r="I18" s="448" t="s">
        <v>52</v>
      </c>
      <c r="J18" s="8" t="s">
        <v>74</v>
      </c>
      <c r="K18" s="8" t="s">
        <v>52</v>
      </c>
      <c r="L18" s="9" t="s">
        <v>199</v>
      </c>
      <c r="M18" s="132" t="str">
        <f>AB18&amp;CHAR(10)&amp;"Est. Savings: "&amp;IF(AK18&lt;&gt;"",TEXT(AK18,"0.00")&amp;" QAR",IF(AND(ISNUMBER(SEARCH(" QAR",H18)),ISNUMBER(SEARCH(" QAR",I18))),TEXT(ROUND(VALUE(SUBSTITUTE(H18," QAR",""))-VALUE(SUBSTITUTE(I18," QAR","")),2),"0.00")&amp;" QAR",IF(AND(X18&lt;&gt;"",Y18&lt;&gt;""),TEXT(ROUND((X18/100)*Y18,2),"0.00")&amp;" QAR",IF(AND(Z18&lt;&gt;"",AA18&lt;&gt;""),TEXT(ROUND(Z18*AA18,2),"0.00")&amp;" QAR",IF(X18&lt;&gt;"",IFERROR(TEXT(ROUND((X18/100)*VALUE(SUBSTITUTE(H18," QAR","")),2),"0.00")&amp;" QAR","NA"),"NA")))))</f>
        <v>Buy any Main course and get a main course of the same or lower value free.
Est. Savings: 50.00 QAR</v>
      </c>
      <c r="N18" s="8" t="s">
        <v>150</v>
      </c>
      <c r="O18" s="8" t="s">
        <v>150</v>
      </c>
      <c r="P18" s="132" t="s">
        <v>55</v>
      </c>
      <c r="Q18" s="518"/>
      <c r="R18" s="102"/>
      <c r="S18" s="169"/>
      <c r="T18" s="174"/>
      <c r="U18" s="179" t="s">
        <v>57</v>
      </c>
      <c r="V18" s="494"/>
      <c r="AB18" s="3" t="s">
        <v>215</v>
      </c>
      <c r="AK18" s="3">
        <v>50</v>
      </c>
    </row>
    <row r="19" spans="1:37" ht="16" hidden="1" x14ac:dyDescent="0.35">
      <c r="A19" s="463" t="s">
        <v>105</v>
      </c>
      <c r="N19" s="79"/>
      <c r="O19" s="79"/>
      <c r="P19" s="79"/>
      <c r="Q19" s="79"/>
    </row>
    <row r="20" spans="1:37" ht="16" hidden="1" x14ac:dyDescent="0.35">
      <c r="A20" s="464" t="s">
        <v>106</v>
      </c>
      <c r="B20" s="465" t="s">
        <v>107</v>
      </c>
      <c r="C20" s="465" t="s">
        <v>108</v>
      </c>
      <c r="N20" s="79"/>
      <c r="O20" s="79"/>
      <c r="P20" s="79"/>
      <c r="Q20" s="79"/>
    </row>
    <row r="21" spans="1:37" ht="16" hidden="1" x14ac:dyDescent="0.35">
      <c r="A21" s="2" t="s">
        <v>109</v>
      </c>
      <c r="B21" s="14">
        <v>65</v>
      </c>
      <c r="C21" s="14" t="s">
        <v>110</v>
      </c>
      <c r="N21" s="79"/>
      <c r="O21" s="79"/>
      <c r="P21" s="79"/>
      <c r="Q21" s="79"/>
    </row>
    <row r="22" spans="1:37" ht="16" hidden="1" x14ac:dyDescent="0.35">
      <c r="A22" s="2" t="s">
        <v>111</v>
      </c>
      <c r="B22" s="14">
        <v>65</v>
      </c>
      <c r="C22" s="14" t="s">
        <v>112</v>
      </c>
      <c r="N22" s="79"/>
      <c r="O22" s="79"/>
      <c r="P22" s="79"/>
      <c r="Q22" s="79"/>
    </row>
    <row r="23" spans="1:37" ht="16" hidden="1" x14ac:dyDescent="0.35">
      <c r="A23" s="2" t="s">
        <v>113</v>
      </c>
      <c r="B23" s="14">
        <v>65</v>
      </c>
      <c r="C23" s="14" t="s">
        <v>114</v>
      </c>
      <c r="N23" s="79"/>
      <c r="O23" s="79"/>
      <c r="P23" s="79"/>
      <c r="Q23" s="79"/>
    </row>
    <row r="24" spans="1:37" s="2" customFormat="1" ht="16" hidden="1" x14ac:dyDescent="0.35">
      <c r="A24" s="2" t="s">
        <v>115</v>
      </c>
      <c r="B24" s="14">
        <v>65</v>
      </c>
      <c r="C24" s="14" t="s">
        <v>116</v>
      </c>
      <c r="H24" s="29"/>
      <c r="I24" s="29"/>
      <c r="L24" s="1"/>
      <c r="M24" s="298"/>
      <c r="N24" s="79"/>
      <c r="O24" s="79"/>
      <c r="P24" s="79"/>
      <c r="Q24" s="79"/>
      <c r="R24" s="76"/>
      <c r="S24" s="17"/>
      <c r="T24" s="236"/>
      <c r="U24" s="159"/>
      <c r="V24" s="17"/>
      <c r="W24" s="1"/>
      <c r="X24" s="1"/>
      <c r="Y24" s="1"/>
      <c r="Z24" s="1"/>
      <c r="AA24" s="1"/>
      <c r="AB24" s="1"/>
    </row>
    <row r="25" spans="1:37" s="2" customFormat="1" ht="16" hidden="1" x14ac:dyDescent="0.35">
      <c r="A25" s="2" t="s">
        <v>117</v>
      </c>
      <c r="B25" s="14">
        <v>65</v>
      </c>
      <c r="C25" s="14" t="s">
        <v>118</v>
      </c>
      <c r="H25" s="29"/>
      <c r="I25" s="29"/>
      <c r="L25" s="1"/>
      <c r="M25" s="298"/>
      <c r="N25" s="79"/>
      <c r="O25" s="79"/>
      <c r="P25" s="79"/>
      <c r="Q25" s="79"/>
      <c r="R25" s="76"/>
      <c r="S25" s="17"/>
      <c r="T25" s="236"/>
      <c r="U25" s="159"/>
      <c r="V25" s="17"/>
      <c r="W25" s="1"/>
      <c r="X25" s="1"/>
      <c r="Y25" s="1"/>
      <c r="Z25" s="1"/>
      <c r="AA25" s="1"/>
      <c r="AB25" s="1"/>
    </row>
    <row r="26" spans="1:37" s="2" customFormat="1" ht="16" hidden="1" x14ac:dyDescent="0.35">
      <c r="A26" s="2" t="s">
        <v>119</v>
      </c>
      <c r="B26" s="14">
        <v>65</v>
      </c>
      <c r="C26" s="14" t="s">
        <v>120</v>
      </c>
      <c r="H26" s="29"/>
      <c r="I26" s="29"/>
      <c r="L26" s="1"/>
      <c r="M26" s="298"/>
      <c r="N26" s="79"/>
      <c r="O26" s="79"/>
      <c r="P26" s="79"/>
      <c r="Q26" s="79"/>
      <c r="R26" s="76"/>
      <c r="S26" s="17"/>
      <c r="T26" s="236"/>
      <c r="U26" s="159"/>
      <c r="V26" s="17"/>
      <c r="W26" s="1"/>
      <c r="X26" s="1"/>
      <c r="Y26" s="1"/>
      <c r="Z26" s="1"/>
      <c r="AA26" s="1"/>
      <c r="AB26" s="1"/>
    </row>
    <row r="27" spans="1:37" s="2" customFormat="1" ht="16" hidden="1" x14ac:dyDescent="0.35">
      <c r="A27" s="2" t="s">
        <v>121</v>
      </c>
      <c r="B27" s="14">
        <v>65</v>
      </c>
      <c r="C27" s="14" t="s">
        <v>122</v>
      </c>
      <c r="H27" s="29"/>
      <c r="I27" s="29"/>
      <c r="L27" s="1"/>
      <c r="M27" s="298"/>
      <c r="N27" s="79"/>
      <c r="O27" s="79"/>
      <c r="P27" s="79"/>
      <c r="Q27" s="79"/>
      <c r="R27" s="76"/>
      <c r="S27" s="17"/>
      <c r="T27" s="236"/>
      <c r="U27" s="159"/>
      <c r="V27" s="17"/>
      <c r="W27" s="1"/>
      <c r="X27" s="1"/>
      <c r="Y27" s="1"/>
      <c r="Z27" s="1"/>
      <c r="AA27" s="1"/>
      <c r="AB27" s="1"/>
    </row>
    <row r="28" spans="1:37" s="2" customFormat="1" ht="16" hidden="1" x14ac:dyDescent="0.35">
      <c r="A28" s="2" t="s">
        <v>123</v>
      </c>
      <c r="B28" s="14">
        <v>150</v>
      </c>
      <c r="C28" s="14" t="s">
        <v>124</v>
      </c>
      <c r="H28" s="29"/>
      <c r="I28" s="29"/>
      <c r="L28" s="1"/>
      <c r="M28" s="298"/>
      <c r="N28" s="79"/>
      <c r="O28" s="79"/>
      <c r="P28" s="79"/>
      <c r="Q28" s="79"/>
      <c r="R28" s="76"/>
      <c r="S28" s="17"/>
      <c r="T28" s="236"/>
      <c r="U28" s="159"/>
      <c r="V28" s="17"/>
      <c r="W28" s="1"/>
      <c r="X28" s="1"/>
      <c r="Y28" s="1"/>
      <c r="Z28" s="1"/>
      <c r="AA28" s="1"/>
      <c r="AB28" s="1"/>
    </row>
    <row r="29" spans="1:37" s="2" customFormat="1" ht="16" hidden="1" x14ac:dyDescent="0.35">
      <c r="A29" s="2" t="s">
        <v>125</v>
      </c>
      <c r="B29" s="14">
        <v>65</v>
      </c>
      <c r="C29" s="14" t="s">
        <v>126</v>
      </c>
      <c r="H29" s="29"/>
      <c r="I29" s="29"/>
      <c r="L29" s="1"/>
      <c r="M29" s="298"/>
      <c r="N29" s="79"/>
      <c r="O29" s="79"/>
      <c r="P29" s="79"/>
      <c r="Q29" s="79"/>
      <c r="R29" s="76"/>
      <c r="S29" s="17"/>
      <c r="T29" s="236"/>
      <c r="U29" s="159"/>
      <c r="V29" s="17"/>
      <c r="W29" s="1"/>
      <c r="X29" s="1"/>
      <c r="Y29" s="1"/>
      <c r="Z29" s="1"/>
      <c r="AA29" s="1"/>
      <c r="AB29" s="1"/>
    </row>
    <row r="30" spans="1:37" s="2" customFormat="1" ht="16" hidden="1" x14ac:dyDescent="0.35">
      <c r="A30" s="2" t="s">
        <v>127</v>
      </c>
      <c r="B30" s="14">
        <v>65</v>
      </c>
      <c r="C30" s="14" t="s">
        <v>128</v>
      </c>
      <c r="H30" s="29"/>
      <c r="I30" s="29"/>
      <c r="L30" s="1"/>
      <c r="M30" s="298"/>
      <c r="N30" s="79"/>
      <c r="O30" s="79"/>
      <c r="P30" s="79"/>
      <c r="Q30" s="79"/>
      <c r="R30" s="76"/>
      <c r="S30" s="17"/>
      <c r="T30" s="236"/>
      <c r="U30" s="159"/>
      <c r="V30" s="17"/>
      <c r="W30" s="1"/>
      <c r="X30" s="1"/>
      <c r="Y30" s="1"/>
      <c r="Z30" s="1"/>
      <c r="AA30" s="1"/>
      <c r="AB30" s="1"/>
    </row>
    <row r="31" spans="1:37" s="2" customFormat="1" ht="16" hidden="1" x14ac:dyDescent="0.35">
      <c r="A31" s="2" t="s">
        <v>129</v>
      </c>
      <c r="B31" s="14">
        <v>325</v>
      </c>
      <c r="C31" s="14" t="s">
        <v>130</v>
      </c>
      <c r="H31" s="29"/>
      <c r="I31" s="29"/>
      <c r="L31" s="1"/>
      <c r="M31" s="298"/>
      <c r="N31" s="79"/>
      <c r="O31" s="79"/>
      <c r="P31" s="79"/>
      <c r="Q31" s="79"/>
      <c r="R31" s="76"/>
      <c r="S31" s="17"/>
      <c r="T31" s="236"/>
      <c r="U31" s="159"/>
      <c r="V31" s="17"/>
      <c r="W31" s="1"/>
      <c r="X31" s="1"/>
      <c r="Y31" s="1"/>
      <c r="Z31" s="1"/>
      <c r="AA31" s="1"/>
      <c r="AB31" s="1"/>
    </row>
    <row r="32" spans="1:37" s="2" customFormat="1" ht="16" hidden="1" x14ac:dyDescent="0.35">
      <c r="A32" s="2" t="s">
        <v>131</v>
      </c>
      <c r="B32" s="14">
        <v>325</v>
      </c>
      <c r="C32" s="14" t="s">
        <v>132</v>
      </c>
      <c r="H32" s="29"/>
      <c r="I32" s="29"/>
      <c r="L32" s="1"/>
      <c r="M32" s="298"/>
      <c r="N32" s="79"/>
      <c r="O32" s="79"/>
      <c r="P32" s="79"/>
      <c r="Q32" s="79"/>
      <c r="R32" s="76"/>
      <c r="S32" s="17"/>
      <c r="T32" s="236"/>
      <c r="U32" s="159"/>
      <c r="V32" s="17"/>
      <c r="W32" s="1"/>
      <c r="X32" s="1"/>
      <c r="Y32" s="1"/>
      <c r="Z32" s="1"/>
      <c r="AA32" s="1"/>
      <c r="AB32" s="1"/>
    </row>
    <row r="33" spans="1:28" s="2" customFormat="1" ht="16" hidden="1" x14ac:dyDescent="0.35">
      <c r="A33" s="2" t="s">
        <v>133</v>
      </c>
      <c r="B33" s="14">
        <v>52</v>
      </c>
      <c r="C33" s="14" t="s">
        <v>134</v>
      </c>
      <c r="H33" s="29"/>
      <c r="I33" s="29"/>
      <c r="L33" s="1"/>
      <c r="M33" s="298"/>
      <c r="N33" s="79"/>
      <c r="O33" s="79"/>
      <c r="P33" s="79"/>
      <c r="Q33" s="79"/>
      <c r="R33" s="76"/>
      <c r="S33" s="17"/>
      <c r="T33" s="236"/>
      <c r="U33" s="159"/>
      <c r="V33" s="17"/>
      <c r="W33" s="1"/>
      <c r="X33" s="1"/>
      <c r="Y33" s="1"/>
      <c r="Z33" s="1"/>
      <c r="AA33" s="1"/>
      <c r="AB33" s="1"/>
    </row>
    <row r="34" spans="1:28" s="2" customFormat="1" ht="16" hidden="1" x14ac:dyDescent="0.35">
      <c r="A34" s="2" t="s">
        <v>135</v>
      </c>
      <c r="B34" s="14">
        <v>39</v>
      </c>
      <c r="C34" s="14" t="s">
        <v>136</v>
      </c>
      <c r="H34" s="29"/>
      <c r="I34" s="29"/>
      <c r="L34" s="1"/>
      <c r="M34" s="298"/>
      <c r="N34" s="79"/>
      <c r="O34" s="79"/>
      <c r="P34" s="79"/>
      <c r="Q34" s="79"/>
      <c r="R34" s="76"/>
      <c r="S34" s="17"/>
      <c r="T34" s="236"/>
      <c r="U34" s="159"/>
      <c r="V34" s="17"/>
      <c r="W34" s="1"/>
      <c r="X34" s="1"/>
      <c r="Y34" s="1"/>
      <c r="Z34" s="1"/>
      <c r="AA34" s="1"/>
      <c r="AB34" s="1"/>
    </row>
    <row r="35" spans="1:28" s="2" customFormat="1" ht="16" hidden="1" x14ac:dyDescent="0.35">
      <c r="A35" s="2" t="s">
        <v>137</v>
      </c>
      <c r="B35" s="14">
        <v>50</v>
      </c>
      <c r="C35" s="14" t="s">
        <v>138</v>
      </c>
      <c r="H35" s="29"/>
      <c r="I35" s="29"/>
      <c r="L35" s="1"/>
      <c r="M35" s="298"/>
      <c r="N35" s="79"/>
      <c r="O35" s="79"/>
      <c r="P35" s="79"/>
      <c r="Q35" s="79"/>
      <c r="R35" s="76"/>
      <c r="S35" s="17"/>
      <c r="T35" s="236"/>
      <c r="U35" s="159"/>
      <c r="V35" s="17"/>
      <c r="W35" s="1"/>
      <c r="X35" s="1"/>
      <c r="Y35" s="1"/>
      <c r="Z35" s="1"/>
      <c r="AA35" s="1"/>
      <c r="AB35" s="1"/>
    </row>
    <row r="36" spans="1:28" s="2" customFormat="1" ht="16" hidden="1" x14ac:dyDescent="0.35">
      <c r="A36" s="2" t="s">
        <v>139</v>
      </c>
      <c r="B36" s="14">
        <v>150</v>
      </c>
      <c r="C36" s="14" t="s">
        <v>140</v>
      </c>
      <c r="H36" s="29"/>
      <c r="I36" s="29"/>
      <c r="L36" s="1"/>
      <c r="M36" s="298"/>
      <c r="N36" s="79"/>
      <c r="O36" s="79"/>
      <c r="P36" s="79"/>
      <c r="Q36" s="79"/>
      <c r="R36" s="76"/>
      <c r="S36" s="17"/>
      <c r="T36" s="236"/>
      <c r="U36" s="159"/>
      <c r="V36" s="17"/>
      <c r="W36" s="1"/>
      <c r="X36" s="1"/>
      <c r="Y36" s="1"/>
      <c r="Z36" s="1"/>
      <c r="AA36" s="1"/>
      <c r="AB36" s="1"/>
    </row>
    <row r="37" spans="1:28" s="2" customFormat="1" ht="16" hidden="1" x14ac:dyDescent="0.35">
      <c r="A37" s="2" t="s">
        <v>141</v>
      </c>
      <c r="B37" s="14">
        <v>150</v>
      </c>
      <c r="C37" s="14" t="s">
        <v>142</v>
      </c>
      <c r="H37" s="29"/>
      <c r="I37" s="29"/>
      <c r="L37" s="1"/>
      <c r="M37" s="298"/>
      <c r="N37" s="79"/>
      <c r="O37" s="79"/>
      <c r="P37" s="79"/>
      <c r="Q37" s="79"/>
      <c r="R37" s="76"/>
      <c r="S37" s="17"/>
      <c r="T37" s="236"/>
      <c r="U37" s="159"/>
      <c r="V37" s="17"/>
      <c r="W37" s="1"/>
      <c r="X37" s="1"/>
      <c r="Y37" s="1"/>
      <c r="Z37" s="1"/>
      <c r="AA37" s="1"/>
      <c r="AB37" s="1"/>
    </row>
    <row r="38" spans="1:28" s="2" customFormat="1" ht="16" hidden="1" x14ac:dyDescent="0.35">
      <c r="A38" s="29" t="s">
        <v>143</v>
      </c>
      <c r="B38" s="466">
        <f>SUM(B21:B37)</f>
        <v>1826</v>
      </c>
      <c r="C38" s="14"/>
      <c r="H38" s="29"/>
      <c r="I38" s="29"/>
      <c r="L38" s="1"/>
      <c r="M38" s="298"/>
      <c r="N38" s="79"/>
      <c r="O38" s="79"/>
      <c r="P38" s="79"/>
      <c r="Q38" s="79"/>
      <c r="R38" s="76"/>
      <c r="S38" s="17"/>
      <c r="T38" s="236"/>
      <c r="U38" s="159"/>
      <c r="V38" s="17"/>
      <c r="W38" s="1"/>
      <c r="X38" s="1"/>
      <c r="Y38" s="1"/>
      <c r="Z38" s="1"/>
      <c r="AA38" s="1"/>
      <c r="AB38" s="1"/>
    </row>
    <row r="39" spans="1:28" s="2" customFormat="1" ht="16" hidden="1" x14ac:dyDescent="0.35">
      <c r="A39" s="59" t="s">
        <v>144</v>
      </c>
      <c r="B39" s="14"/>
      <c r="C39" s="14"/>
      <c r="H39" s="29"/>
      <c r="I39" s="29"/>
      <c r="L39" s="1"/>
      <c r="M39" s="298"/>
      <c r="N39" s="79"/>
      <c r="O39" s="79"/>
      <c r="P39" s="79"/>
      <c r="Q39" s="79"/>
      <c r="R39" s="76"/>
      <c r="S39" s="17"/>
      <c r="T39" s="236"/>
      <c r="U39" s="159"/>
      <c r="V39" s="17"/>
      <c r="W39" s="1"/>
      <c r="X39" s="1"/>
      <c r="Y39" s="1"/>
      <c r="Z39" s="1"/>
      <c r="AA39" s="1"/>
      <c r="AB39" s="1"/>
    </row>
    <row r="40" spans="1:28" s="2" customFormat="1" ht="16" hidden="1" x14ac:dyDescent="0.35">
      <c r="B40" s="14"/>
      <c r="C40" s="14"/>
      <c r="H40" s="29"/>
      <c r="I40" s="29"/>
      <c r="L40" s="1"/>
      <c r="M40" s="298"/>
      <c r="N40" s="79"/>
      <c r="O40" s="79"/>
      <c r="P40" s="79"/>
      <c r="Q40" s="79"/>
      <c r="R40" s="76"/>
      <c r="S40" s="17"/>
      <c r="T40" s="236"/>
      <c r="U40" s="159"/>
      <c r="V40" s="17"/>
      <c r="W40" s="1"/>
      <c r="X40" s="1"/>
      <c r="Y40" s="1"/>
      <c r="Z40" s="1"/>
      <c r="AA40" s="1"/>
      <c r="AB40" s="1"/>
    </row>
    <row r="41" spans="1:28" s="2" customFormat="1" ht="16" hidden="1" x14ac:dyDescent="0.35">
      <c r="B41" s="14"/>
      <c r="C41" s="14"/>
      <c r="H41" s="29"/>
      <c r="I41" s="29"/>
      <c r="L41" s="1"/>
      <c r="M41" s="298"/>
      <c r="N41" s="79"/>
      <c r="O41" s="79"/>
      <c r="P41" s="79"/>
      <c r="Q41" s="79"/>
      <c r="R41" s="76"/>
      <c r="S41" s="17"/>
      <c r="T41" s="236"/>
      <c r="U41" s="159"/>
      <c r="V41" s="17"/>
      <c r="W41" s="1"/>
      <c r="X41" s="1"/>
      <c r="Y41" s="1"/>
      <c r="Z41" s="1"/>
      <c r="AA41" s="1"/>
      <c r="AB41" s="1"/>
    </row>
    <row r="42" spans="1:28" s="2" customFormat="1" ht="16" x14ac:dyDescent="0.35">
      <c r="B42" s="14"/>
      <c r="C42" s="14"/>
      <c r="H42" s="29"/>
      <c r="I42" s="29"/>
      <c r="L42" s="1"/>
      <c r="M42" s="298"/>
      <c r="N42" s="79"/>
      <c r="O42" s="79"/>
      <c r="P42" s="79"/>
      <c r="Q42" s="79"/>
      <c r="R42" s="76"/>
      <c r="S42" s="17"/>
      <c r="T42" s="236"/>
      <c r="U42" s="159"/>
      <c r="V42" s="17"/>
      <c r="W42" s="1"/>
      <c r="X42" s="1"/>
      <c r="Y42" s="1"/>
      <c r="Z42" s="1"/>
      <c r="AA42" s="1"/>
      <c r="AB42" s="1"/>
    </row>
    <row r="43" spans="1:28" s="2" customFormat="1" ht="16" x14ac:dyDescent="0.35">
      <c r="B43" s="14"/>
      <c r="C43" s="14"/>
      <c r="H43" s="29"/>
      <c r="I43" s="29"/>
      <c r="L43" s="1"/>
      <c r="M43" s="298"/>
      <c r="N43" s="79"/>
      <c r="O43" s="79"/>
      <c r="P43" s="79"/>
      <c r="Q43" s="79"/>
      <c r="R43" s="76"/>
      <c r="S43" s="17"/>
      <c r="T43" s="236"/>
      <c r="U43" s="159"/>
      <c r="V43" s="17"/>
      <c r="W43" s="1"/>
      <c r="X43" s="1"/>
      <c r="Y43" s="1"/>
      <c r="Z43" s="1"/>
      <c r="AA43" s="1"/>
      <c r="AB43" s="1"/>
    </row>
    <row r="44" spans="1:28" s="2" customFormat="1" ht="16" x14ac:dyDescent="0.35">
      <c r="B44" s="14"/>
      <c r="C44" s="14"/>
      <c r="H44" s="29"/>
      <c r="I44" s="29"/>
      <c r="L44" s="1"/>
      <c r="M44" s="298"/>
      <c r="N44" s="79"/>
      <c r="O44" s="79"/>
      <c r="P44" s="79"/>
      <c r="Q44" s="79"/>
      <c r="R44" s="76"/>
      <c r="S44" s="17"/>
      <c r="T44" s="236"/>
      <c r="U44" s="159"/>
      <c r="V44" s="17"/>
      <c r="W44" s="1"/>
      <c r="X44" s="1"/>
      <c r="Y44" s="1"/>
      <c r="Z44" s="1"/>
      <c r="AA44" s="1"/>
      <c r="AB44" s="1"/>
    </row>
    <row r="45" spans="1:28" s="2" customFormat="1" ht="16" x14ac:dyDescent="0.35">
      <c r="B45" s="14"/>
      <c r="C45" s="14"/>
      <c r="H45" s="29"/>
      <c r="I45" s="29"/>
      <c r="L45" s="1"/>
      <c r="M45" s="298"/>
      <c r="N45" s="79"/>
      <c r="O45" s="79"/>
      <c r="P45" s="79"/>
      <c r="Q45" s="79"/>
      <c r="R45" s="76"/>
      <c r="S45" s="17"/>
      <c r="T45" s="236"/>
      <c r="U45" s="159"/>
      <c r="V45" s="17"/>
      <c r="W45" s="1"/>
      <c r="X45" s="1"/>
      <c r="Y45" s="1"/>
      <c r="Z45" s="1"/>
      <c r="AA45" s="1"/>
      <c r="AB45" s="1"/>
    </row>
    <row r="46" spans="1:28" s="2" customFormat="1" ht="16" x14ac:dyDescent="0.35">
      <c r="B46" s="14"/>
      <c r="C46" s="14"/>
      <c r="H46" s="29"/>
      <c r="I46" s="29"/>
      <c r="L46" s="1"/>
      <c r="M46" s="298"/>
      <c r="N46" s="79"/>
      <c r="O46" s="79"/>
      <c r="P46" s="79"/>
      <c r="Q46" s="79"/>
      <c r="R46" s="76"/>
      <c r="S46" s="17"/>
      <c r="T46" s="236"/>
      <c r="U46" s="159"/>
      <c r="V46" s="17"/>
      <c r="W46" s="1"/>
      <c r="X46" s="1"/>
      <c r="Y46" s="1"/>
      <c r="Z46" s="1"/>
      <c r="AA46" s="1"/>
      <c r="AB46" s="1"/>
    </row>
    <row r="47" spans="1:28" s="2" customFormat="1" ht="16" x14ac:dyDescent="0.35">
      <c r="B47" s="14"/>
      <c r="C47" s="14"/>
      <c r="H47" s="29"/>
      <c r="I47" s="29"/>
      <c r="L47" s="1"/>
      <c r="M47" s="298"/>
      <c r="N47" s="79"/>
      <c r="O47" s="79"/>
      <c r="P47" s="79"/>
      <c r="Q47" s="79"/>
      <c r="R47" s="76"/>
      <c r="S47" s="17"/>
      <c r="T47" s="236"/>
      <c r="U47" s="159"/>
      <c r="V47" s="17"/>
      <c r="W47" s="1"/>
      <c r="X47" s="1"/>
      <c r="Y47" s="1"/>
      <c r="Z47" s="1"/>
      <c r="AA47" s="1"/>
      <c r="AB47" s="1"/>
    </row>
    <row r="48" spans="1:28" s="2" customFormat="1" ht="16" x14ac:dyDescent="0.35">
      <c r="B48" s="14"/>
      <c r="C48" s="14"/>
      <c r="H48" s="29"/>
      <c r="I48" s="29"/>
      <c r="L48" s="1"/>
      <c r="M48" s="298"/>
      <c r="N48" s="79"/>
      <c r="O48" s="79"/>
      <c r="P48" s="79"/>
      <c r="Q48" s="79"/>
      <c r="R48" s="76"/>
      <c r="S48" s="17"/>
      <c r="T48" s="236"/>
      <c r="U48" s="159"/>
      <c r="V48" s="17"/>
      <c r="W48" s="1"/>
      <c r="X48" s="1"/>
      <c r="Y48" s="1"/>
      <c r="Z48" s="1"/>
      <c r="AA48" s="1"/>
      <c r="AB48" s="1"/>
    </row>
    <row r="49" spans="2:28" s="2" customFormat="1" ht="16" x14ac:dyDescent="0.35">
      <c r="B49" s="14"/>
      <c r="C49" s="14"/>
      <c r="H49" s="29"/>
      <c r="I49" s="29"/>
      <c r="L49" s="1"/>
      <c r="M49" s="298"/>
      <c r="N49" s="79"/>
      <c r="O49" s="79"/>
      <c r="P49" s="79"/>
      <c r="Q49" s="79"/>
      <c r="R49" s="76"/>
      <c r="S49" s="17"/>
      <c r="T49" s="236"/>
      <c r="U49" s="159"/>
      <c r="V49" s="17"/>
      <c r="W49" s="1"/>
      <c r="X49" s="1"/>
      <c r="Y49" s="1"/>
      <c r="Z49" s="1"/>
      <c r="AA49" s="1"/>
      <c r="AB49" s="1"/>
    </row>
    <row r="50" spans="2:28" s="2" customFormat="1" ht="16" x14ac:dyDescent="0.35">
      <c r="B50" s="14"/>
      <c r="C50" s="14"/>
      <c r="H50" s="29"/>
      <c r="I50" s="29"/>
      <c r="L50" s="1"/>
      <c r="M50" s="298"/>
      <c r="N50" s="79"/>
      <c r="O50" s="79"/>
      <c r="P50" s="79"/>
      <c r="Q50" s="79"/>
      <c r="R50" s="76"/>
      <c r="S50" s="17"/>
      <c r="T50" s="236"/>
      <c r="U50" s="159"/>
      <c r="V50" s="17"/>
      <c r="W50" s="1"/>
      <c r="X50" s="1"/>
      <c r="Y50" s="1"/>
      <c r="Z50" s="1"/>
      <c r="AA50" s="1"/>
      <c r="AB50" s="1"/>
    </row>
    <row r="51" spans="2:28" s="2" customFormat="1" ht="16" x14ac:dyDescent="0.35">
      <c r="B51" s="14"/>
      <c r="C51" s="14"/>
      <c r="H51" s="29"/>
      <c r="I51" s="29"/>
      <c r="L51" s="1"/>
      <c r="M51" s="298"/>
      <c r="N51" s="79"/>
      <c r="O51" s="79"/>
      <c r="P51" s="79"/>
      <c r="Q51" s="79"/>
      <c r="R51" s="76"/>
      <c r="S51" s="17"/>
      <c r="T51" s="236"/>
      <c r="U51" s="159"/>
      <c r="V51" s="17"/>
      <c r="W51" s="1"/>
      <c r="X51" s="1"/>
      <c r="Y51" s="1"/>
      <c r="Z51" s="1"/>
      <c r="AA51" s="1"/>
      <c r="AB51" s="1"/>
    </row>
    <row r="52" spans="2:28" s="2" customFormat="1" ht="16" x14ac:dyDescent="0.35">
      <c r="B52" s="14"/>
      <c r="C52" s="14"/>
      <c r="H52" s="29"/>
      <c r="I52" s="29"/>
      <c r="L52" s="1"/>
      <c r="M52" s="298"/>
      <c r="N52" s="79"/>
      <c r="O52" s="79"/>
      <c r="P52" s="79"/>
      <c r="Q52" s="79"/>
      <c r="R52" s="76"/>
      <c r="S52" s="17"/>
      <c r="T52" s="236"/>
      <c r="U52" s="159"/>
      <c r="V52" s="17"/>
      <c r="W52" s="1"/>
      <c r="X52" s="1"/>
      <c r="Y52" s="1"/>
      <c r="Z52" s="1"/>
      <c r="AA52" s="1"/>
      <c r="AB52" s="1"/>
    </row>
    <row r="53" spans="2:28" s="2" customFormat="1" ht="16" x14ac:dyDescent="0.35">
      <c r="B53" s="14"/>
      <c r="C53" s="14"/>
      <c r="H53" s="29"/>
      <c r="I53" s="29"/>
      <c r="L53" s="1"/>
      <c r="M53" s="298"/>
      <c r="N53" s="79"/>
      <c r="O53" s="79"/>
      <c r="P53" s="79"/>
      <c r="Q53" s="79"/>
      <c r="R53" s="76"/>
      <c r="S53" s="17"/>
      <c r="T53" s="236"/>
      <c r="U53" s="159"/>
      <c r="V53" s="17"/>
      <c r="W53" s="1"/>
      <c r="X53" s="1"/>
      <c r="Y53" s="1"/>
      <c r="Z53" s="1"/>
      <c r="AA53" s="1"/>
      <c r="AB53" s="1"/>
    </row>
    <row r="54" spans="2:28" s="2" customFormat="1" ht="16" x14ac:dyDescent="0.35">
      <c r="B54" s="14"/>
      <c r="C54" s="14"/>
      <c r="H54" s="29"/>
      <c r="I54" s="29"/>
      <c r="L54" s="1"/>
      <c r="M54" s="298"/>
      <c r="N54" s="79"/>
      <c r="O54" s="79"/>
      <c r="P54" s="79"/>
      <c r="Q54" s="79"/>
      <c r="R54" s="76"/>
      <c r="S54" s="17"/>
      <c r="T54" s="236"/>
      <c r="U54" s="159"/>
      <c r="V54" s="17"/>
      <c r="W54" s="1"/>
      <c r="X54" s="1"/>
      <c r="Y54" s="1"/>
      <c r="Z54" s="1"/>
      <c r="AA54" s="1"/>
      <c r="AB54" s="1"/>
    </row>
    <row r="55" spans="2:28" s="2" customFormat="1" ht="16" x14ac:dyDescent="0.35">
      <c r="B55" s="14"/>
      <c r="C55" s="14"/>
      <c r="H55" s="29"/>
      <c r="I55" s="29"/>
      <c r="L55" s="1"/>
      <c r="M55" s="298"/>
      <c r="N55" s="79"/>
      <c r="O55" s="79"/>
      <c r="P55" s="79"/>
      <c r="Q55" s="79"/>
      <c r="R55" s="76"/>
      <c r="S55" s="17"/>
      <c r="T55" s="236"/>
      <c r="U55" s="159"/>
      <c r="V55" s="17"/>
      <c r="W55" s="1"/>
      <c r="X55" s="1"/>
      <c r="Y55" s="1"/>
      <c r="Z55" s="1"/>
      <c r="AA55" s="1"/>
      <c r="AB55" s="1"/>
    </row>
    <row r="56" spans="2:28" s="2" customFormat="1" ht="16" x14ac:dyDescent="0.35">
      <c r="B56" s="14"/>
      <c r="C56" s="14"/>
      <c r="H56" s="29"/>
      <c r="I56" s="29"/>
      <c r="L56" s="1"/>
      <c r="M56" s="298"/>
      <c r="N56" s="79"/>
      <c r="O56" s="79"/>
      <c r="P56" s="79"/>
      <c r="Q56" s="79"/>
      <c r="R56" s="76"/>
      <c r="S56" s="17"/>
      <c r="T56" s="236"/>
      <c r="U56" s="159"/>
      <c r="V56" s="17"/>
      <c r="W56" s="1"/>
      <c r="X56" s="1"/>
      <c r="Y56" s="1"/>
      <c r="Z56" s="1"/>
      <c r="AA56" s="1"/>
      <c r="AB56" s="1"/>
    </row>
    <row r="57" spans="2:28" s="2" customFormat="1" ht="16" x14ac:dyDescent="0.35">
      <c r="B57" s="14"/>
      <c r="C57" s="14"/>
      <c r="H57" s="29"/>
      <c r="I57" s="29"/>
      <c r="L57" s="1"/>
      <c r="M57" s="298"/>
      <c r="N57" s="79"/>
      <c r="O57" s="79"/>
      <c r="P57" s="79"/>
      <c r="Q57" s="79"/>
      <c r="R57" s="76"/>
      <c r="S57" s="17"/>
      <c r="T57" s="236"/>
      <c r="U57" s="159"/>
      <c r="V57" s="17"/>
      <c r="W57" s="1"/>
      <c r="X57" s="1"/>
      <c r="Y57" s="1"/>
      <c r="Z57" s="1"/>
      <c r="AA57" s="1"/>
      <c r="AB57" s="1"/>
    </row>
    <row r="58" spans="2:28" s="2" customFormat="1" ht="16" x14ac:dyDescent="0.35">
      <c r="B58" s="14"/>
      <c r="C58" s="14"/>
      <c r="H58" s="29"/>
      <c r="I58" s="29"/>
      <c r="L58" s="1"/>
      <c r="M58" s="298"/>
      <c r="N58" s="79"/>
      <c r="O58" s="79"/>
      <c r="P58" s="79"/>
      <c r="Q58" s="79"/>
      <c r="R58" s="76"/>
      <c r="S58" s="17"/>
      <c r="T58" s="236"/>
      <c r="U58" s="159"/>
      <c r="V58" s="17"/>
      <c r="W58" s="1"/>
      <c r="X58" s="1"/>
      <c r="Y58" s="1"/>
      <c r="Z58" s="1"/>
      <c r="AA58" s="1"/>
      <c r="AB58" s="1"/>
    </row>
    <row r="59" spans="2:28" s="2" customFormat="1" ht="16" x14ac:dyDescent="0.35">
      <c r="B59" s="14"/>
      <c r="C59" s="14"/>
      <c r="H59" s="29"/>
      <c r="I59" s="29"/>
      <c r="L59" s="1"/>
      <c r="M59" s="298"/>
      <c r="N59" s="79"/>
      <c r="O59" s="79"/>
      <c r="P59" s="79"/>
      <c r="Q59" s="79"/>
      <c r="R59" s="76"/>
      <c r="S59" s="17"/>
      <c r="T59" s="236"/>
      <c r="U59" s="159"/>
      <c r="V59" s="17"/>
      <c r="W59" s="1"/>
      <c r="X59" s="1"/>
      <c r="Y59" s="1"/>
      <c r="Z59" s="1"/>
      <c r="AA59" s="1"/>
      <c r="AB59" s="1"/>
    </row>
    <row r="60" spans="2:28" s="2" customFormat="1" ht="16" x14ac:dyDescent="0.35">
      <c r="B60" s="14"/>
      <c r="C60" s="14"/>
      <c r="H60" s="29"/>
      <c r="I60" s="29"/>
      <c r="L60" s="1"/>
      <c r="M60" s="298"/>
      <c r="N60" s="79"/>
      <c r="O60" s="79"/>
      <c r="P60" s="79"/>
      <c r="Q60" s="79"/>
      <c r="R60" s="76"/>
      <c r="S60" s="17"/>
      <c r="T60" s="236"/>
      <c r="U60" s="159"/>
      <c r="V60" s="17"/>
      <c r="W60" s="1"/>
      <c r="X60" s="1"/>
      <c r="Y60" s="1"/>
      <c r="Z60" s="1"/>
      <c r="AA60" s="1"/>
      <c r="AB60" s="1"/>
    </row>
    <row r="61" spans="2:28" s="2" customFormat="1" ht="16" x14ac:dyDescent="0.35">
      <c r="B61" s="14"/>
      <c r="C61" s="14"/>
      <c r="H61" s="29"/>
      <c r="I61" s="29"/>
      <c r="L61" s="1"/>
      <c r="M61" s="298"/>
      <c r="N61" s="79"/>
      <c r="O61" s="79"/>
      <c r="P61" s="79"/>
      <c r="Q61" s="79"/>
      <c r="R61" s="76"/>
      <c r="S61" s="17"/>
      <c r="T61" s="236"/>
      <c r="U61" s="159"/>
      <c r="V61" s="17"/>
      <c r="W61" s="1"/>
      <c r="X61" s="1"/>
      <c r="Y61" s="1"/>
      <c r="Z61" s="1"/>
      <c r="AA61" s="1"/>
      <c r="AB61" s="1"/>
    </row>
    <row r="62" spans="2:28" s="2" customFormat="1" ht="16" x14ac:dyDescent="0.35">
      <c r="B62" s="14"/>
      <c r="C62" s="14"/>
      <c r="H62" s="29"/>
      <c r="I62" s="29"/>
      <c r="L62" s="1"/>
      <c r="M62" s="298"/>
      <c r="N62" s="79"/>
      <c r="O62" s="79"/>
      <c r="P62" s="79"/>
      <c r="Q62" s="79"/>
      <c r="R62" s="76"/>
      <c r="S62" s="17"/>
      <c r="T62" s="236"/>
      <c r="U62" s="159"/>
      <c r="V62" s="17"/>
      <c r="W62" s="1"/>
      <c r="X62" s="1"/>
      <c r="Y62" s="1"/>
      <c r="Z62" s="1"/>
      <c r="AA62" s="1"/>
      <c r="AB62" s="1"/>
    </row>
    <row r="63" spans="2:28" s="2" customFormat="1" ht="16" x14ac:dyDescent="0.35">
      <c r="B63" s="14"/>
      <c r="C63" s="14"/>
      <c r="H63" s="29"/>
      <c r="I63" s="29"/>
      <c r="L63" s="1"/>
      <c r="M63" s="298"/>
      <c r="N63" s="79"/>
      <c r="O63" s="79"/>
      <c r="P63" s="79"/>
      <c r="Q63" s="79"/>
      <c r="R63" s="76"/>
      <c r="S63" s="17"/>
      <c r="T63" s="236"/>
      <c r="U63" s="159"/>
      <c r="V63" s="17"/>
      <c r="W63" s="1"/>
      <c r="X63" s="1"/>
      <c r="Y63" s="1"/>
      <c r="Z63" s="1"/>
      <c r="AA63" s="1"/>
      <c r="AB63" s="1"/>
    </row>
    <row r="64" spans="2:28" s="2" customFormat="1" ht="16" x14ac:dyDescent="0.35">
      <c r="B64" s="14"/>
      <c r="C64" s="14"/>
      <c r="H64" s="29"/>
      <c r="I64" s="29"/>
      <c r="L64" s="1"/>
      <c r="M64" s="298"/>
      <c r="N64" s="79"/>
      <c r="O64" s="79"/>
      <c r="P64" s="79"/>
      <c r="Q64" s="79"/>
      <c r="R64" s="76"/>
      <c r="S64" s="17"/>
      <c r="T64" s="236"/>
      <c r="U64" s="159"/>
      <c r="V64" s="17"/>
      <c r="W64" s="1"/>
      <c r="X64" s="1"/>
      <c r="Y64" s="1"/>
      <c r="Z64" s="1"/>
      <c r="AA64" s="1"/>
      <c r="AB64" s="1"/>
    </row>
    <row r="65" spans="2:28" s="2" customFormat="1" ht="16" x14ac:dyDescent="0.35">
      <c r="B65" s="14"/>
      <c r="C65" s="14"/>
      <c r="H65" s="29"/>
      <c r="I65" s="29"/>
      <c r="L65" s="1"/>
      <c r="M65" s="298"/>
      <c r="N65" s="79"/>
      <c r="O65" s="79"/>
      <c r="P65" s="79"/>
      <c r="Q65" s="79"/>
      <c r="R65" s="76"/>
      <c r="S65" s="17"/>
      <c r="T65" s="236"/>
      <c r="U65" s="159"/>
      <c r="V65" s="17"/>
      <c r="W65" s="1"/>
      <c r="X65" s="1"/>
      <c r="Y65" s="1"/>
      <c r="Z65" s="1"/>
      <c r="AA65" s="1"/>
      <c r="AB65" s="1"/>
    </row>
    <row r="66" spans="2:28" s="2" customFormat="1" ht="16" x14ac:dyDescent="0.35">
      <c r="B66" s="14"/>
      <c r="C66" s="14"/>
      <c r="H66" s="29"/>
      <c r="I66" s="29"/>
      <c r="L66" s="1"/>
      <c r="M66" s="298"/>
      <c r="N66" s="79"/>
      <c r="O66" s="79"/>
      <c r="P66" s="79"/>
      <c r="Q66" s="79"/>
      <c r="R66" s="76"/>
      <c r="S66" s="17"/>
      <c r="T66" s="236"/>
      <c r="U66" s="159"/>
      <c r="V66" s="17"/>
      <c r="W66" s="1"/>
      <c r="X66" s="1"/>
      <c r="Y66" s="1"/>
      <c r="Z66" s="1"/>
      <c r="AA66" s="1"/>
      <c r="AB66" s="1"/>
    </row>
  </sheetData>
  <autoFilter ref="A5:AK16" xr:uid="{640E549E-ED70-4B61-8F04-58E84EB6909D}"/>
  <mergeCells count="14">
    <mergeCell ref="Q11:Q12"/>
    <mergeCell ref="Q13:Q14"/>
    <mergeCell ref="Q15:Q16"/>
    <mergeCell ref="Q17:Q18"/>
    <mergeCell ref="A1:V1"/>
    <mergeCell ref="A2:V2"/>
    <mergeCell ref="A3:V3"/>
    <mergeCell ref="A4:E4"/>
    <mergeCell ref="F4:K4"/>
    <mergeCell ref="L4:M4"/>
    <mergeCell ref="N4:Q4"/>
    <mergeCell ref="R4:T4"/>
    <mergeCell ref="U4:V4"/>
    <mergeCell ref="Q6:Q10"/>
  </mergeCells>
  <conditionalFormatting sqref="N6:P18 N19:Q1048576">
    <cfRule type="containsText" dxfId="154" priority="1" operator="containsText" text="No">
      <formula>NOT(ISERROR(SEARCH("No",N6)))</formula>
    </cfRule>
    <cfRule type="containsText" dxfId="153" priority="2" operator="containsText" text="Yes">
      <formula>NOT(ISERROR(SEARCH("Yes",N6)))</formula>
    </cfRule>
  </conditionalFormatting>
  <conditionalFormatting sqref="R6:R16">
    <cfRule type="containsText" dxfId="152" priority="6" operator="containsText" text="Revisions Needed">
      <formula>NOT(ISERROR(SEARCH("Revisions Needed",R6)))</formula>
    </cfRule>
    <cfRule type="containsText" dxfId="151" priority="7" operator="containsText" text="Approved">
      <formula>NOT(ISERROR(SEARCH("Approved",R6)))</formula>
    </cfRule>
  </conditionalFormatting>
  <conditionalFormatting sqref="R6:R1048576 S7">
    <cfRule type="containsText" dxfId="150" priority="3" operator="containsText" text="Rejected">
      <formula>NOT(ISERROR(SEARCH("Rejected",R6)))</formula>
    </cfRule>
  </conditionalFormatting>
  <conditionalFormatting sqref="S7 R17:R1048576">
    <cfRule type="containsText" dxfId="149" priority="4" operator="containsText" text="Revisions Needed">
      <formula>NOT(ISERROR(SEARCH("Revisions Needed",R7)))</formula>
    </cfRule>
    <cfRule type="containsText" dxfId="148" priority="5" operator="containsText" text="Approved">
      <formula>NOT(ISERROR(SEARCH("Approved",R7)))</formula>
    </cfRule>
  </conditionalFormatting>
  <dataValidations count="4">
    <dataValidation type="list" allowBlank="1" showInputMessage="1" showErrorMessage="1" sqref="R6:R16" xr:uid="{A493E597-37DA-4580-BEB0-295EDBF2D411}">
      <formula1>"Approved,Revisions Needed, Rejected"</formula1>
    </dataValidation>
    <dataValidation type="list" allowBlank="1" sqref="R17:R1048576 S7" xr:uid="{6290F153-3FD9-4A69-845D-B751A545978A}">
      <formula1>"Approved,Revisions Needed, Rejected"</formula1>
    </dataValidation>
    <dataValidation type="list" allowBlank="1" showInputMessage="1" showErrorMessage="1" sqref="N6:P1048576" xr:uid="{223BF48F-9BFF-4FA8-B8EA-87C90BBED204}">
      <formula1>"No, Yes"</formula1>
    </dataValidation>
    <dataValidation type="list" allowBlank="1" showInputMessage="1" showErrorMessage="1" sqref="C6:C1048576" xr:uid="{37336D86-8852-4812-8B30-1F0D029077A0}">
      <formula1>"Monthly, Yearly"</formula1>
    </dataValidation>
  </dataValidation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BD70-33CD-49AE-9E37-B56CFA8E71A0}">
  <sheetPr>
    <tabColor theme="3" tint="0.59999389629810485"/>
  </sheetPr>
  <dimension ref="A1:W359"/>
  <sheetViews>
    <sheetView showGridLines="0" zoomScale="70" zoomScaleNormal="70" workbookViewId="0">
      <selection activeCell="K16" sqref="K16"/>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3.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0.81640625" style="2" hidden="1" customWidth="1"/>
    <col min="13" max="13" width="36" style="1" customWidth="1"/>
    <col min="14" max="14" width="46.1796875" style="440" customWidth="1"/>
    <col min="15" max="15" width="12.81640625" style="76" customWidth="1"/>
    <col min="16" max="16" width="10.81640625" style="76" customWidth="1"/>
    <col min="17" max="17" width="13.1796875" style="76" customWidth="1"/>
    <col min="18" max="18" width="47.54296875" style="76" customWidth="1"/>
    <col min="19" max="19" width="20.54296875" style="2" customWidth="1"/>
    <col min="20" max="20" width="54.81640625" style="17" customWidth="1"/>
    <col min="21" max="21" width="43.726562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227</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c r="W3" s="512"/>
    </row>
    <row r="4" spans="1:23" s="4" customFormat="1" ht="27.75" customHeight="1" thickTop="1" thickBot="1" x14ac:dyDescent="0.45">
      <c r="A4" s="513" t="s">
        <v>3</v>
      </c>
      <c r="B4" s="514"/>
      <c r="C4" s="514"/>
      <c r="D4" s="514"/>
      <c r="E4" s="514"/>
      <c r="F4" s="513" t="s">
        <v>4</v>
      </c>
      <c r="G4" s="514"/>
      <c r="H4" s="514"/>
      <c r="I4" s="514"/>
      <c r="J4" s="514"/>
      <c r="K4" s="514"/>
      <c r="L4" s="515"/>
      <c r="M4" s="516" t="s">
        <v>5</v>
      </c>
      <c r="N4" s="516"/>
      <c r="O4" s="513" t="s">
        <v>6</v>
      </c>
      <c r="P4" s="514"/>
      <c r="Q4" s="514"/>
      <c r="R4" s="515"/>
      <c r="S4" s="513" t="s">
        <v>7</v>
      </c>
      <c r="T4" s="514"/>
      <c r="U4" s="515"/>
      <c r="V4" s="513" t="s">
        <v>8</v>
      </c>
      <c r="W4" s="515"/>
    </row>
    <row r="5" spans="1:23" ht="71.5" customHeight="1" thickTop="1" thickBot="1" x14ac:dyDescent="0.4">
      <c r="A5" s="10" t="s">
        <v>9</v>
      </c>
      <c r="B5" s="10" t="s">
        <v>10</v>
      </c>
      <c r="C5" s="10" t="s">
        <v>11</v>
      </c>
      <c r="D5" s="10" t="s">
        <v>12</v>
      </c>
      <c r="E5" s="10" t="s">
        <v>13</v>
      </c>
      <c r="F5" s="10" t="s">
        <v>14</v>
      </c>
      <c r="G5" s="10" t="s">
        <v>228</v>
      </c>
      <c r="H5" s="10" t="s">
        <v>15</v>
      </c>
      <c r="I5" s="10" t="s">
        <v>16</v>
      </c>
      <c r="J5" s="10" t="s">
        <v>17</v>
      </c>
      <c r="K5" s="10" t="s">
        <v>18</v>
      </c>
      <c r="L5" s="10" t="s">
        <v>19</v>
      </c>
      <c r="M5" s="10" t="s">
        <v>20</v>
      </c>
      <c r="N5" s="10" t="s">
        <v>21</v>
      </c>
      <c r="O5" s="10" t="s">
        <v>22</v>
      </c>
      <c r="P5" s="10" t="s">
        <v>23</v>
      </c>
      <c r="Q5" s="10" t="s">
        <v>24</v>
      </c>
      <c r="R5" s="10" t="s">
        <v>25</v>
      </c>
      <c r="S5" s="23" t="s">
        <v>26</v>
      </c>
      <c r="T5" s="18" t="s">
        <v>27</v>
      </c>
      <c r="U5" s="18" t="s">
        <v>28</v>
      </c>
      <c r="V5" s="18" t="s">
        <v>29</v>
      </c>
      <c r="W5" s="433" t="s">
        <v>30</v>
      </c>
    </row>
    <row r="6" spans="1:23" s="5" customFormat="1" ht="308.5" hidden="1" customHeight="1" x14ac:dyDescent="0.35">
      <c r="A6" s="117">
        <v>1</v>
      </c>
      <c r="B6" s="244" t="s">
        <v>45</v>
      </c>
      <c r="C6" s="432" t="s">
        <v>67</v>
      </c>
      <c r="D6" s="117" t="s">
        <v>229</v>
      </c>
      <c r="E6" s="436" t="s">
        <v>230</v>
      </c>
      <c r="F6" s="117" t="s">
        <v>49</v>
      </c>
      <c r="G6" s="117"/>
      <c r="H6" s="117" t="s">
        <v>231</v>
      </c>
      <c r="I6" s="25" t="s">
        <v>232</v>
      </c>
      <c r="J6" s="25"/>
      <c r="K6" s="117" t="s">
        <v>74</v>
      </c>
      <c r="L6" s="426"/>
      <c r="M6" s="274" t="s">
        <v>233</v>
      </c>
      <c r="N6" s="437" t="s">
        <v>234</v>
      </c>
      <c r="O6" s="120" t="s">
        <v>150</v>
      </c>
      <c r="P6" s="120" t="s">
        <v>150</v>
      </c>
      <c r="Q6" s="162" t="s">
        <v>150</v>
      </c>
      <c r="R6" s="524" t="s">
        <v>235</v>
      </c>
      <c r="S6" s="130" t="s">
        <v>56</v>
      </c>
      <c r="T6" s="168"/>
      <c r="U6" s="179"/>
      <c r="V6" s="179" t="s">
        <v>76</v>
      </c>
      <c r="W6" s="176"/>
    </row>
    <row r="7" spans="1:23" s="5" customFormat="1" ht="263.14999999999998" hidden="1" customHeight="1" x14ac:dyDescent="0.35">
      <c r="A7" s="8">
        <v>2</v>
      </c>
      <c r="B7" s="244" t="s">
        <v>45</v>
      </c>
      <c r="C7" s="432" t="s">
        <v>67</v>
      </c>
      <c r="D7" s="117" t="s">
        <v>229</v>
      </c>
      <c r="E7" s="150" t="s">
        <v>236</v>
      </c>
      <c r="F7" s="117" t="s">
        <v>49</v>
      </c>
      <c r="G7" s="8"/>
      <c r="H7" s="117" t="s">
        <v>231</v>
      </c>
      <c r="I7" s="25" t="s">
        <v>232</v>
      </c>
      <c r="J7" s="25"/>
      <c r="K7" s="117" t="s">
        <v>74</v>
      </c>
      <c r="L7" s="426"/>
      <c r="M7" s="142" t="s">
        <v>233</v>
      </c>
      <c r="N7" s="437" t="s">
        <v>237</v>
      </c>
      <c r="O7" s="120" t="s">
        <v>150</v>
      </c>
      <c r="P7" s="120" t="s">
        <v>150</v>
      </c>
      <c r="Q7" s="162" t="s">
        <v>150</v>
      </c>
      <c r="R7" s="524"/>
      <c r="S7" s="102" t="s">
        <v>56</v>
      </c>
      <c r="T7" s="169"/>
      <c r="U7" s="174"/>
      <c r="V7" s="179" t="s">
        <v>76</v>
      </c>
      <c r="W7" s="126"/>
    </row>
    <row r="8" spans="1:23" s="5" customFormat="1" ht="276" hidden="1" customHeight="1" x14ac:dyDescent="0.35">
      <c r="A8" s="8">
        <v>3</v>
      </c>
      <c r="B8" s="244" t="s">
        <v>45</v>
      </c>
      <c r="C8" s="432" t="s">
        <v>67</v>
      </c>
      <c r="D8" s="117" t="s">
        <v>229</v>
      </c>
      <c r="E8" s="150" t="s">
        <v>238</v>
      </c>
      <c r="F8" s="117" t="s">
        <v>49</v>
      </c>
      <c r="G8" s="8"/>
      <c r="H8" s="117" t="s">
        <v>231</v>
      </c>
      <c r="I8" s="25" t="s">
        <v>232</v>
      </c>
      <c r="J8" s="25"/>
      <c r="K8" s="117" t="s">
        <v>74</v>
      </c>
      <c r="L8" s="426"/>
      <c r="M8" s="135" t="s">
        <v>239</v>
      </c>
      <c r="N8" s="437" t="s">
        <v>240</v>
      </c>
      <c r="O8" s="120" t="s">
        <v>150</v>
      </c>
      <c r="P8" s="120" t="s">
        <v>150</v>
      </c>
      <c r="Q8" s="162" t="s">
        <v>150</v>
      </c>
      <c r="R8" s="518"/>
      <c r="S8" s="102" t="s">
        <v>56</v>
      </c>
      <c r="T8" s="169"/>
      <c r="U8" s="174"/>
      <c r="V8" s="179" t="s">
        <v>76</v>
      </c>
      <c r="W8" s="171"/>
    </row>
    <row r="9" spans="1:23" s="5" customFormat="1" ht="327.64999999999998" hidden="1" customHeight="1" x14ac:dyDescent="0.35">
      <c r="A9" s="8">
        <v>4</v>
      </c>
      <c r="B9" s="244" t="s">
        <v>45</v>
      </c>
      <c r="C9" s="432" t="s">
        <v>67</v>
      </c>
      <c r="D9" s="8" t="s">
        <v>241</v>
      </c>
      <c r="E9" s="150" t="s">
        <v>242</v>
      </c>
      <c r="F9" s="117" t="s">
        <v>49</v>
      </c>
      <c r="G9" s="117"/>
      <c r="H9" s="117" t="s">
        <v>231</v>
      </c>
      <c r="I9" s="26" t="s">
        <v>243</v>
      </c>
      <c r="J9" s="25"/>
      <c r="K9" s="117" t="s">
        <v>74</v>
      </c>
      <c r="L9" s="426"/>
      <c r="M9" s="135" t="s">
        <v>233</v>
      </c>
      <c r="N9" s="437" t="s">
        <v>240</v>
      </c>
      <c r="O9" s="120" t="s">
        <v>150</v>
      </c>
      <c r="P9" s="120" t="s">
        <v>150</v>
      </c>
      <c r="Q9" s="162" t="s">
        <v>150</v>
      </c>
      <c r="R9" s="428" t="s">
        <v>244</v>
      </c>
      <c r="S9" s="102" t="s">
        <v>56</v>
      </c>
      <c r="T9" s="169"/>
      <c r="U9" s="174"/>
      <c r="V9" s="179" t="s">
        <v>76</v>
      </c>
      <c r="W9" s="171"/>
    </row>
    <row r="10" spans="1:23" s="5" customFormat="1" ht="302.14999999999998" hidden="1" customHeight="1" thickTop="1" x14ac:dyDescent="0.35">
      <c r="A10" s="8">
        <v>5</v>
      </c>
      <c r="B10" s="244" t="s">
        <v>45</v>
      </c>
      <c r="C10" s="432" t="s">
        <v>46</v>
      </c>
      <c r="D10" s="8" t="s">
        <v>245</v>
      </c>
      <c r="E10" s="150" t="s">
        <v>246</v>
      </c>
      <c r="F10" s="117" t="s">
        <v>49</v>
      </c>
      <c r="G10" s="8"/>
      <c r="H10" s="117" t="s">
        <v>71</v>
      </c>
      <c r="I10" s="26" t="s">
        <v>154</v>
      </c>
      <c r="J10" s="25"/>
      <c r="K10" s="117" t="s">
        <v>74</v>
      </c>
      <c r="L10" s="426"/>
      <c r="M10" s="135" t="s">
        <v>247</v>
      </c>
      <c r="N10" s="153" t="s">
        <v>248</v>
      </c>
      <c r="O10" s="120" t="s">
        <v>150</v>
      </c>
      <c r="P10" s="120" t="s">
        <v>150</v>
      </c>
      <c r="Q10" s="162" t="s">
        <v>150</v>
      </c>
      <c r="R10" s="517" t="s">
        <v>249</v>
      </c>
      <c r="S10" s="102" t="s">
        <v>201</v>
      </c>
      <c r="T10" s="169"/>
      <c r="U10" s="174"/>
      <c r="V10" s="179" t="s">
        <v>76</v>
      </c>
      <c r="W10" s="435" t="s">
        <v>250</v>
      </c>
    </row>
    <row r="11" spans="1:23" s="5" customFormat="1" ht="211" hidden="1" customHeight="1" x14ac:dyDescent="0.35">
      <c r="A11" s="8">
        <v>6</v>
      </c>
      <c r="B11" s="244" t="s">
        <v>45</v>
      </c>
      <c r="C11" s="432" t="s">
        <v>46</v>
      </c>
      <c r="D11" s="8" t="s">
        <v>245</v>
      </c>
      <c r="E11" s="150" t="s">
        <v>209</v>
      </c>
      <c r="F11" s="117" t="s">
        <v>49</v>
      </c>
      <c r="G11" s="8"/>
      <c r="H11" s="117" t="s">
        <v>231</v>
      </c>
      <c r="I11" s="26" t="s">
        <v>154</v>
      </c>
      <c r="J11" s="25"/>
      <c r="K11" s="117" t="s">
        <v>74</v>
      </c>
      <c r="L11" s="426"/>
      <c r="M11" s="135" t="s">
        <v>251</v>
      </c>
      <c r="N11" s="153" t="s">
        <v>252</v>
      </c>
      <c r="O11" s="120" t="s">
        <v>150</v>
      </c>
      <c r="P11" s="120" t="s">
        <v>150</v>
      </c>
      <c r="Q11" s="162" t="s">
        <v>150</v>
      </c>
      <c r="R11" s="518"/>
      <c r="S11" s="102" t="s">
        <v>56</v>
      </c>
      <c r="T11" s="169"/>
      <c r="U11" s="174"/>
      <c r="V11" s="179" t="s">
        <v>76</v>
      </c>
      <c r="W11" s="435"/>
    </row>
    <row r="12" spans="1:23" s="5" customFormat="1" ht="187" hidden="1" customHeight="1" x14ac:dyDescent="0.35">
      <c r="A12" s="8">
        <v>7</v>
      </c>
      <c r="B12" s="244" t="s">
        <v>45</v>
      </c>
      <c r="C12" s="432" t="s">
        <v>46</v>
      </c>
      <c r="D12" s="8" t="s">
        <v>253</v>
      </c>
      <c r="E12" s="8" t="s">
        <v>254</v>
      </c>
      <c r="F12" s="8" t="s">
        <v>255</v>
      </c>
      <c r="G12" s="8"/>
      <c r="H12" s="117" t="s">
        <v>231</v>
      </c>
      <c r="I12" s="26" t="s">
        <v>154</v>
      </c>
      <c r="J12" s="25"/>
      <c r="K12" s="117" t="s">
        <v>74</v>
      </c>
      <c r="L12" s="426"/>
      <c r="M12" s="135" t="s">
        <v>256</v>
      </c>
      <c r="N12" s="38" t="s">
        <v>52</v>
      </c>
      <c r="O12" s="120" t="s">
        <v>150</v>
      </c>
      <c r="P12" s="120" t="s">
        <v>150</v>
      </c>
      <c r="Q12" s="162" t="s">
        <v>150</v>
      </c>
      <c r="R12" s="517" t="s">
        <v>257</v>
      </c>
      <c r="S12" s="215" t="s">
        <v>56</v>
      </c>
      <c r="T12" s="169"/>
      <c r="U12" s="265"/>
      <c r="V12" s="179" t="s">
        <v>152</v>
      </c>
      <c r="W12" s="435"/>
    </row>
    <row r="13" spans="1:23" s="5" customFormat="1" ht="202.5" hidden="1" customHeight="1" x14ac:dyDescent="0.35">
      <c r="A13" s="8">
        <v>8</v>
      </c>
      <c r="B13" s="244" t="s">
        <v>45</v>
      </c>
      <c r="C13" s="432" t="s">
        <v>46</v>
      </c>
      <c r="D13" s="8" t="s">
        <v>253</v>
      </c>
      <c r="E13" s="99" t="s">
        <v>153</v>
      </c>
      <c r="F13" s="8" t="s">
        <v>255</v>
      </c>
      <c r="G13" s="8"/>
      <c r="H13" s="117" t="s">
        <v>231</v>
      </c>
      <c r="I13" s="26" t="s">
        <v>154</v>
      </c>
      <c r="J13" s="25"/>
      <c r="K13" s="117" t="s">
        <v>74</v>
      </c>
      <c r="L13" s="426"/>
      <c r="M13" s="135" t="s">
        <v>258</v>
      </c>
      <c r="N13" s="38" t="s">
        <v>52</v>
      </c>
      <c r="O13" s="120" t="s">
        <v>150</v>
      </c>
      <c r="P13" s="120" t="s">
        <v>150</v>
      </c>
      <c r="Q13" s="162" t="s">
        <v>150</v>
      </c>
      <c r="R13" s="524"/>
      <c r="S13" s="38" t="s">
        <v>56</v>
      </c>
      <c r="T13" s="434"/>
      <c r="U13" s="265"/>
      <c r="V13" s="179" t="s">
        <v>152</v>
      </c>
      <c r="W13" s="435"/>
    </row>
    <row r="14" spans="1:23" s="5" customFormat="1" ht="209.5" hidden="1" customHeight="1" x14ac:dyDescent="0.35">
      <c r="A14" s="8">
        <v>9</v>
      </c>
      <c r="B14" s="244" t="s">
        <v>45</v>
      </c>
      <c r="C14" s="432" t="s">
        <v>46</v>
      </c>
      <c r="D14" s="8" t="s">
        <v>253</v>
      </c>
      <c r="E14" s="99" t="s">
        <v>259</v>
      </c>
      <c r="F14" s="8" t="s">
        <v>255</v>
      </c>
      <c r="G14" s="8"/>
      <c r="H14" s="117" t="s">
        <v>231</v>
      </c>
      <c r="I14" s="26" t="s">
        <v>154</v>
      </c>
      <c r="J14" s="25"/>
      <c r="K14" s="117" t="s">
        <v>74</v>
      </c>
      <c r="L14" s="426"/>
      <c r="M14" s="135" t="s">
        <v>256</v>
      </c>
      <c r="N14" s="38" t="s">
        <v>52</v>
      </c>
      <c r="O14" s="120" t="s">
        <v>150</v>
      </c>
      <c r="P14" s="120" t="s">
        <v>150</v>
      </c>
      <c r="Q14" s="162" t="s">
        <v>150</v>
      </c>
      <c r="R14" s="518"/>
      <c r="S14" s="38" t="s">
        <v>56</v>
      </c>
      <c r="T14" s="434"/>
      <c r="U14" s="174"/>
      <c r="V14" s="179" t="s">
        <v>152</v>
      </c>
      <c r="W14" s="435"/>
    </row>
    <row r="15" spans="1:23" s="5" customFormat="1" ht="213" hidden="1" customHeight="1" x14ac:dyDescent="0.35">
      <c r="A15" s="8">
        <v>10</v>
      </c>
      <c r="B15" s="244" t="s">
        <v>260</v>
      </c>
      <c r="C15" s="432" t="s">
        <v>46</v>
      </c>
      <c r="D15" s="104" t="s">
        <v>261</v>
      </c>
      <c r="E15" s="104" t="s">
        <v>246</v>
      </c>
      <c r="F15" s="130" t="s">
        <v>262</v>
      </c>
      <c r="G15" s="8"/>
      <c r="H15" s="8" t="s">
        <v>71</v>
      </c>
      <c r="I15" s="26" t="s">
        <v>154</v>
      </c>
      <c r="J15" s="25"/>
      <c r="K15" s="117" t="s">
        <v>74</v>
      </c>
      <c r="L15" s="426"/>
      <c r="M15" s="135" t="s">
        <v>263</v>
      </c>
      <c r="N15" s="153" t="s">
        <v>264</v>
      </c>
      <c r="O15" s="38" t="s">
        <v>55</v>
      </c>
      <c r="P15" s="120" t="s">
        <v>55</v>
      </c>
      <c r="Q15" s="162" t="s">
        <v>55</v>
      </c>
      <c r="R15" s="38" t="s">
        <v>52</v>
      </c>
      <c r="S15" s="38" t="s">
        <v>56</v>
      </c>
      <c r="T15" s="434"/>
      <c r="U15" s="174"/>
      <c r="V15" s="179" t="s">
        <v>76</v>
      </c>
      <c r="W15" s="435"/>
    </row>
    <row r="16" spans="1:23" s="5" customFormat="1" ht="409.5" customHeight="1" thickTop="1" x14ac:dyDescent="0.35">
      <c r="A16" s="8">
        <v>11</v>
      </c>
      <c r="B16" s="244" t="s">
        <v>45</v>
      </c>
      <c r="C16" s="432" t="s">
        <v>67</v>
      </c>
      <c r="D16" s="101" t="s">
        <v>265</v>
      </c>
      <c r="E16" s="99" t="s">
        <v>266</v>
      </c>
      <c r="F16" s="130" t="s">
        <v>70</v>
      </c>
      <c r="G16" s="8"/>
      <c r="H16" s="8" t="s">
        <v>71</v>
      </c>
      <c r="I16" s="26" t="s">
        <v>154</v>
      </c>
      <c r="J16" s="25"/>
      <c r="K16" s="117" t="s">
        <v>74</v>
      </c>
      <c r="L16" s="426"/>
      <c r="M16" s="135" t="s">
        <v>267</v>
      </c>
      <c r="N16" s="153" t="s">
        <v>268</v>
      </c>
      <c r="O16" s="38" t="s">
        <v>150</v>
      </c>
      <c r="P16" s="120" t="s">
        <v>150</v>
      </c>
      <c r="Q16" s="162" t="s">
        <v>150</v>
      </c>
      <c r="R16" s="153" t="s">
        <v>269</v>
      </c>
      <c r="S16" s="38" t="s">
        <v>201</v>
      </c>
      <c r="T16" s="434" t="s">
        <v>270</v>
      </c>
      <c r="U16" s="449"/>
      <c r="V16" s="179" t="s">
        <v>76</v>
      </c>
      <c r="W16" s="435" t="s">
        <v>271</v>
      </c>
    </row>
    <row r="17" spans="1:23" s="5" customFormat="1" ht="298" hidden="1" customHeight="1" x14ac:dyDescent="0.35">
      <c r="A17" s="8">
        <v>12</v>
      </c>
      <c r="B17" s="244" t="s">
        <v>45</v>
      </c>
      <c r="C17" s="432" t="s">
        <v>46</v>
      </c>
      <c r="D17" s="101" t="s">
        <v>272</v>
      </c>
      <c r="E17" s="99" t="s">
        <v>273</v>
      </c>
      <c r="F17" s="130" t="s">
        <v>255</v>
      </c>
      <c r="G17" s="8"/>
      <c r="H17" s="8" t="s">
        <v>71</v>
      </c>
      <c r="I17" s="26" t="s">
        <v>154</v>
      </c>
      <c r="J17" s="25"/>
      <c r="K17" s="117" t="s">
        <v>74</v>
      </c>
      <c r="L17" s="426"/>
      <c r="M17" s="135" t="s">
        <v>274</v>
      </c>
      <c r="N17" s="153" t="s">
        <v>275</v>
      </c>
      <c r="O17" s="38" t="s">
        <v>150</v>
      </c>
      <c r="P17" s="120" t="s">
        <v>150</v>
      </c>
      <c r="Q17" s="162" t="s">
        <v>150</v>
      </c>
      <c r="R17" s="75" t="s">
        <v>276</v>
      </c>
      <c r="S17" s="38" t="s">
        <v>56</v>
      </c>
      <c r="T17" s="434" t="s">
        <v>270</v>
      </c>
      <c r="U17" s="174"/>
      <c r="V17" s="179" t="s">
        <v>152</v>
      </c>
      <c r="W17" s="435" t="s">
        <v>277</v>
      </c>
    </row>
    <row r="18" spans="1:23" s="3" customFormat="1" ht="196" hidden="1" customHeight="1" x14ac:dyDescent="0.35">
      <c r="A18" s="8">
        <v>13</v>
      </c>
      <c r="B18" s="244" t="s">
        <v>260</v>
      </c>
      <c r="C18" s="432" t="s">
        <v>46</v>
      </c>
      <c r="D18" s="101" t="s">
        <v>278</v>
      </c>
      <c r="E18" s="8" t="s">
        <v>279</v>
      </c>
      <c r="F18" s="130" t="s">
        <v>280</v>
      </c>
      <c r="G18" s="8"/>
      <c r="H18" s="8" t="s">
        <v>71</v>
      </c>
      <c r="I18" s="26" t="s">
        <v>154</v>
      </c>
      <c r="J18" s="25"/>
      <c r="K18" s="117" t="s">
        <v>74</v>
      </c>
      <c r="L18" s="426"/>
      <c r="M18" s="135" t="s">
        <v>281</v>
      </c>
      <c r="N18" s="38" t="s">
        <v>52</v>
      </c>
      <c r="O18" s="38" t="s">
        <v>55</v>
      </c>
      <c r="P18" s="120" t="s">
        <v>55</v>
      </c>
      <c r="Q18" s="162" t="s">
        <v>55</v>
      </c>
      <c r="R18" s="38" t="s">
        <v>52</v>
      </c>
      <c r="S18" s="38" t="s">
        <v>56</v>
      </c>
      <c r="T18" s="434"/>
      <c r="U18" s="174"/>
      <c r="V18" s="179" t="s">
        <v>76</v>
      </c>
      <c r="W18" s="435"/>
    </row>
    <row r="19" spans="1:23" s="3" customFormat="1" ht="334" hidden="1" customHeight="1" x14ac:dyDescent="0.35">
      <c r="A19" s="8">
        <v>13</v>
      </c>
      <c r="B19" s="244" t="s">
        <v>45</v>
      </c>
      <c r="C19" s="144" t="s">
        <v>46</v>
      </c>
      <c r="D19" s="8" t="s">
        <v>245</v>
      </c>
      <c r="E19" s="8" t="s">
        <v>282</v>
      </c>
      <c r="F19" s="8" t="s">
        <v>49</v>
      </c>
      <c r="G19" s="8"/>
      <c r="H19" s="8" t="s">
        <v>231</v>
      </c>
      <c r="I19" s="26" t="s">
        <v>283</v>
      </c>
      <c r="J19" s="26"/>
      <c r="K19" s="8" t="s">
        <v>74</v>
      </c>
      <c r="L19" s="8"/>
      <c r="M19" s="9" t="s">
        <v>281</v>
      </c>
      <c r="N19" s="438" t="s">
        <v>284</v>
      </c>
      <c r="O19" s="77" t="s">
        <v>150</v>
      </c>
      <c r="P19" s="120" t="s">
        <v>150</v>
      </c>
      <c r="Q19" s="141" t="s">
        <v>150</v>
      </c>
      <c r="R19" s="153" t="s">
        <v>285</v>
      </c>
      <c r="S19" s="130" t="s">
        <v>201</v>
      </c>
      <c r="T19" s="169" t="s">
        <v>286</v>
      </c>
      <c r="U19" s="174"/>
      <c r="V19" s="174" t="s">
        <v>76</v>
      </c>
      <c r="W19" s="34"/>
    </row>
    <row r="20" spans="1:23" s="3" customFormat="1" ht="209.5" hidden="1" customHeight="1" x14ac:dyDescent="0.35">
      <c r="A20" s="8">
        <v>14</v>
      </c>
      <c r="B20" s="13" t="s">
        <v>145</v>
      </c>
      <c r="C20" s="144" t="s">
        <v>46</v>
      </c>
      <c r="D20" s="8" t="s">
        <v>287</v>
      </c>
      <c r="E20" s="8" t="s">
        <v>288</v>
      </c>
      <c r="F20" s="8" t="s">
        <v>70</v>
      </c>
      <c r="G20" s="8"/>
      <c r="H20" s="8" t="s">
        <v>231</v>
      </c>
      <c r="I20" s="26" t="s">
        <v>154</v>
      </c>
      <c r="J20" s="27"/>
      <c r="K20" s="8" t="s">
        <v>74</v>
      </c>
      <c r="L20" s="8"/>
      <c r="M20" s="9" t="s">
        <v>289</v>
      </c>
      <c r="N20" s="438" t="s">
        <v>290</v>
      </c>
      <c r="O20" s="8" t="s">
        <v>55</v>
      </c>
      <c r="P20" s="8" t="s">
        <v>55</v>
      </c>
      <c r="Q20" s="132" t="s">
        <v>55</v>
      </c>
      <c r="R20" s="38" t="s">
        <v>52</v>
      </c>
      <c r="S20" s="102" t="s">
        <v>291</v>
      </c>
      <c r="T20" s="169"/>
      <c r="U20" s="174"/>
      <c r="V20" s="174" t="s">
        <v>76</v>
      </c>
      <c r="W20" s="34"/>
    </row>
    <row r="21" spans="1:23" s="3" customFormat="1" ht="164.5" hidden="1" customHeight="1" x14ac:dyDescent="0.35">
      <c r="A21" s="8">
        <v>15</v>
      </c>
      <c r="B21" s="13" t="s">
        <v>145</v>
      </c>
      <c r="C21" s="144" t="s">
        <v>46</v>
      </c>
      <c r="D21" s="8" t="s">
        <v>287</v>
      </c>
      <c r="E21" s="8" t="s">
        <v>292</v>
      </c>
      <c r="F21" s="8" t="s">
        <v>70</v>
      </c>
      <c r="G21" s="8"/>
      <c r="H21" s="8" t="s">
        <v>231</v>
      </c>
      <c r="I21" s="26" t="s">
        <v>104</v>
      </c>
      <c r="J21" s="26"/>
      <c r="K21" s="8" t="s">
        <v>74</v>
      </c>
      <c r="L21" s="8"/>
      <c r="M21" s="9" t="s">
        <v>281</v>
      </c>
      <c r="N21" s="438"/>
      <c r="O21" s="8" t="s">
        <v>55</v>
      </c>
      <c r="P21" s="8" t="s">
        <v>55</v>
      </c>
      <c r="Q21" s="132" t="s">
        <v>55</v>
      </c>
      <c r="R21" s="38" t="s">
        <v>52</v>
      </c>
      <c r="S21" s="102" t="s">
        <v>291</v>
      </c>
      <c r="T21" s="169"/>
      <c r="U21" s="174"/>
      <c r="V21" s="174" t="s">
        <v>76</v>
      </c>
      <c r="W21" s="34"/>
    </row>
    <row r="22" spans="1:23" s="3" customFormat="1" ht="181.5" hidden="1" customHeight="1" x14ac:dyDescent="0.35">
      <c r="A22" s="8">
        <v>16</v>
      </c>
      <c r="B22" s="13" t="s">
        <v>145</v>
      </c>
      <c r="C22" s="144" t="s">
        <v>46</v>
      </c>
      <c r="D22" s="8" t="s">
        <v>287</v>
      </c>
      <c r="E22" s="8" t="s">
        <v>293</v>
      </c>
      <c r="F22" s="8" t="s">
        <v>70</v>
      </c>
      <c r="G22" s="8"/>
      <c r="H22" s="8" t="s">
        <v>231</v>
      </c>
      <c r="I22" s="26" t="s">
        <v>294</v>
      </c>
      <c r="J22" s="26"/>
      <c r="K22" s="8" t="s">
        <v>74</v>
      </c>
      <c r="L22" s="8"/>
      <c r="M22" s="9" t="s">
        <v>281</v>
      </c>
      <c r="N22" s="438"/>
      <c r="O22" s="8" t="s">
        <v>55</v>
      </c>
      <c r="P22" s="8" t="s">
        <v>55</v>
      </c>
      <c r="Q22" s="132" t="s">
        <v>55</v>
      </c>
      <c r="R22" s="38" t="s">
        <v>52</v>
      </c>
      <c r="S22" s="102" t="s">
        <v>56</v>
      </c>
      <c r="T22" s="169"/>
      <c r="U22" s="174"/>
      <c r="V22" s="174" t="s">
        <v>76</v>
      </c>
      <c r="W22" s="34"/>
    </row>
    <row r="23" spans="1:23" s="3" customFormat="1" ht="177.65" hidden="1" customHeight="1" x14ac:dyDescent="0.35">
      <c r="A23" s="8">
        <v>17</v>
      </c>
      <c r="B23" s="13" t="s">
        <v>145</v>
      </c>
      <c r="C23" s="144" t="s">
        <v>46</v>
      </c>
      <c r="D23" s="8" t="s">
        <v>287</v>
      </c>
      <c r="E23" s="8" t="s">
        <v>295</v>
      </c>
      <c r="F23" s="8" t="s">
        <v>70</v>
      </c>
      <c r="G23" s="8"/>
      <c r="H23" s="8" t="s">
        <v>231</v>
      </c>
      <c r="I23" s="26" t="s">
        <v>296</v>
      </c>
      <c r="J23" s="26"/>
      <c r="K23" s="8" t="s">
        <v>74</v>
      </c>
      <c r="L23" s="8"/>
      <c r="M23" s="9" t="s">
        <v>281</v>
      </c>
      <c r="N23" s="438"/>
      <c r="O23" s="8" t="s">
        <v>55</v>
      </c>
      <c r="P23" s="8" t="s">
        <v>55</v>
      </c>
      <c r="Q23" s="132" t="s">
        <v>55</v>
      </c>
      <c r="R23" s="38" t="s">
        <v>52</v>
      </c>
      <c r="S23" s="102" t="s">
        <v>56</v>
      </c>
      <c r="T23" s="169"/>
      <c r="U23" s="174"/>
      <c r="V23" s="174" t="s">
        <v>76</v>
      </c>
      <c r="W23" s="34"/>
    </row>
    <row r="24" spans="1:23" s="3" customFormat="1" ht="79.5" customHeight="1" x14ac:dyDescent="0.35">
      <c r="A24" s="8"/>
      <c r="B24" s="12"/>
      <c r="C24" s="144"/>
      <c r="D24" s="8"/>
      <c r="E24" s="8"/>
      <c r="F24" s="8"/>
      <c r="G24" s="8"/>
      <c r="H24" s="8"/>
      <c r="I24" s="26"/>
      <c r="J24" s="26"/>
      <c r="K24" s="8"/>
      <c r="L24" s="8"/>
      <c r="M24" s="9"/>
      <c r="N24" s="438"/>
      <c r="O24" s="8"/>
      <c r="P24" s="8"/>
      <c r="Q24" s="132"/>
      <c r="R24" s="38"/>
      <c r="S24" s="102"/>
      <c r="T24" s="169"/>
      <c r="U24" s="174"/>
      <c r="V24" s="174"/>
      <c r="W24" s="34"/>
    </row>
    <row r="25" spans="1:23" s="3" customFormat="1" ht="79.5" customHeight="1" x14ac:dyDescent="0.35">
      <c r="A25" s="8"/>
      <c r="B25" s="12"/>
      <c r="C25" s="144"/>
      <c r="D25" s="8"/>
      <c r="E25" s="8"/>
      <c r="F25" s="8"/>
      <c r="G25" s="8"/>
      <c r="H25" s="8"/>
      <c r="I25" s="26"/>
      <c r="J25" s="26"/>
      <c r="K25" s="8"/>
      <c r="L25" s="8"/>
      <c r="M25" s="9"/>
      <c r="N25" s="438"/>
      <c r="O25" s="80"/>
      <c r="P25" s="80"/>
      <c r="Q25" s="190"/>
      <c r="R25" s="38"/>
      <c r="S25" s="102"/>
      <c r="T25" s="169"/>
      <c r="U25" s="174"/>
      <c r="V25" s="174"/>
      <c r="W25" s="34"/>
    </row>
    <row r="26" spans="1:23" s="3" customFormat="1" ht="79.5" customHeight="1" x14ac:dyDescent="0.35">
      <c r="A26" s="8"/>
      <c r="B26" s="12"/>
      <c r="C26" s="144"/>
      <c r="D26" s="8"/>
      <c r="E26" s="8"/>
      <c r="F26" s="8"/>
      <c r="G26" s="8"/>
      <c r="H26" s="8"/>
      <c r="I26" s="26"/>
      <c r="J26" s="26"/>
      <c r="K26" s="8"/>
      <c r="L26" s="8"/>
      <c r="M26" s="9"/>
      <c r="N26" s="439"/>
      <c r="O26" s="38"/>
      <c r="P26" s="38"/>
      <c r="Q26" s="136"/>
      <c r="R26" s="38"/>
      <c r="S26" s="102"/>
      <c r="T26" s="169"/>
      <c r="U26" s="174"/>
      <c r="V26" s="174"/>
      <c r="W26" s="34"/>
    </row>
    <row r="27" spans="1:23" ht="79.5" customHeight="1" x14ac:dyDescent="0.4">
      <c r="A27" s="19"/>
      <c r="B27" s="20"/>
      <c r="C27" s="144"/>
      <c r="D27" s="19"/>
      <c r="E27" s="19"/>
      <c r="F27" s="19"/>
      <c r="G27" s="19"/>
      <c r="H27" s="19"/>
      <c r="I27" s="28"/>
      <c r="J27" s="28"/>
      <c r="K27" s="19"/>
      <c r="L27" s="19"/>
      <c r="M27" s="21"/>
      <c r="N27" s="439"/>
      <c r="O27" s="38"/>
      <c r="P27" s="38"/>
      <c r="Q27" s="136"/>
      <c r="R27" s="38"/>
      <c r="S27" s="178"/>
      <c r="T27" s="170"/>
      <c r="U27" s="174"/>
      <c r="V27" s="175"/>
      <c r="W27" s="34"/>
    </row>
    <row r="28" spans="1:23" ht="16" x14ac:dyDescent="0.35">
      <c r="O28" s="79"/>
      <c r="P28" s="79"/>
      <c r="Q28" s="79"/>
      <c r="R28" s="79"/>
      <c r="U28" s="235"/>
    </row>
    <row r="29" spans="1:23" ht="16" x14ac:dyDescent="0.35">
      <c r="O29" s="79"/>
      <c r="P29" s="79"/>
      <c r="Q29" s="79"/>
      <c r="R29" s="79"/>
      <c r="U29" s="235"/>
    </row>
    <row r="30" spans="1:23" ht="16" x14ac:dyDescent="0.35">
      <c r="O30" s="79"/>
      <c r="P30" s="79"/>
      <c r="Q30" s="79"/>
      <c r="R30" s="79"/>
      <c r="U30" s="235"/>
    </row>
    <row r="31" spans="1:23" ht="16" x14ac:dyDescent="0.35">
      <c r="O31" s="79"/>
      <c r="P31" s="79"/>
      <c r="Q31" s="79"/>
      <c r="R31" s="79"/>
      <c r="U31" s="235"/>
    </row>
    <row r="32" spans="1:23" ht="16" x14ac:dyDescent="0.35">
      <c r="O32" s="79"/>
      <c r="P32" s="79"/>
      <c r="Q32" s="79"/>
      <c r="R32" s="79"/>
      <c r="U32" s="235"/>
    </row>
    <row r="33" spans="15:21" ht="16" x14ac:dyDescent="0.35">
      <c r="O33" s="79"/>
      <c r="P33" s="79"/>
      <c r="Q33" s="79"/>
      <c r="R33" s="79"/>
      <c r="U33" s="235"/>
    </row>
    <row r="34" spans="15:21" ht="16" x14ac:dyDescent="0.35">
      <c r="O34" s="79"/>
      <c r="P34" s="79"/>
      <c r="Q34" s="79"/>
      <c r="R34" s="79"/>
      <c r="U34" s="235"/>
    </row>
    <row r="35" spans="15:21" ht="16" x14ac:dyDescent="0.35">
      <c r="O35" s="79"/>
      <c r="P35" s="79"/>
      <c r="Q35" s="79"/>
      <c r="R35" s="79"/>
      <c r="U35" s="235"/>
    </row>
    <row r="36" spans="15:21" ht="16" x14ac:dyDescent="0.35">
      <c r="O36" s="79"/>
      <c r="P36" s="79"/>
      <c r="Q36" s="79"/>
      <c r="R36" s="79"/>
      <c r="U36" s="235"/>
    </row>
    <row r="37" spans="15:21" ht="16" x14ac:dyDescent="0.35">
      <c r="O37" s="79"/>
      <c r="P37" s="79"/>
      <c r="Q37" s="79"/>
      <c r="R37" s="79"/>
      <c r="U37" s="235"/>
    </row>
    <row r="38" spans="15:21" ht="16" x14ac:dyDescent="0.35">
      <c r="O38" s="79"/>
      <c r="P38" s="79"/>
      <c r="Q38" s="79"/>
      <c r="R38" s="79"/>
      <c r="U38" s="235"/>
    </row>
    <row r="39" spans="15:21" ht="16" x14ac:dyDescent="0.35">
      <c r="O39" s="79"/>
      <c r="P39" s="79"/>
      <c r="Q39" s="79"/>
      <c r="R39" s="79"/>
      <c r="U39" s="235"/>
    </row>
    <row r="40" spans="15:21" ht="16" x14ac:dyDescent="0.35">
      <c r="O40" s="79"/>
      <c r="P40" s="79"/>
      <c r="Q40" s="79"/>
      <c r="R40" s="79"/>
      <c r="U40" s="235"/>
    </row>
    <row r="41" spans="15:21" ht="16" x14ac:dyDescent="0.35">
      <c r="O41" s="79"/>
      <c r="P41" s="79"/>
      <c r="Q41" s="79"/>
      <c r="R41" s="79"/>
      <c r="U41" s="235"/>
    </row>
    <row r="42" spans="15:21" ht="16" x14ac:dyDescent="0.35">
      <c r="O42" s="79"/>
      <c r="P42" s="79"/>
      <c r="Q42" s="79"/>
      <c r="R42" s="79"/>
      <c r="U42" s="235"/>
    </row>
    <row r="43" spans="15:21" ht="16" x14ac:dyDescent="0.35">
      <c r="O43" s="79"/>
      <c r="P43" s="79"/>
      <c r="Q43" s="79"/>
      <c r="R43" s="79"/>
      <c r="U43" s="235"/>
    </row>
    <row r="44" spans="15:21" ht="16" x14ac:dyDescent="0.35">
      <c r="O44" s="79"/>
      <c r="P44" s="79"/>
      <c r="Q44" s="79"/>
      <c r="R44" s="79"/>
      <c r="U44" s="235"/>
    </row>
    <row r="45" spans="15:21" ht="16" x14ac:dyDescent="0.35">
      <c r="O45" s="79"/>
      <c r="P45" s="79"/>
      <c r="Q45" s="79"/>
      <c r="R45" s="79"/>
      <c r="U45" s="235"/>
    </row>
    <row r="46" spans="15:21" ht="16" x14ac:dyDescent="0.35">
      <c r="O46" s="79"/>
      <c r="P46" s="79"/>
      <c r="Q46" s="79"/>
      <c r="R46" s="79"/>
      <c r="U46" s="235"/>
    </row>
    <row r="47" spans="15:21" ht="16" x14ac:dyDescent="0.35">
      <c r="O47" s="79"/>
      <c r="P47" s="79"/>
      <c r="Q47" s="79"/>
      <c r="R47" s="79"/>
      <c r="U47" s="235"/>
    </row>
    <row r="48" spans="15:21" ht="16" x14ac:dyDescent="0.35">
      <c r="O48" s="79"/>
      <c r="P48" s="79"/>
      <c r="Q48" s="79"/>
      <c r="R48" s="79"/>
      <c r="U48" s="235"/>
    </row>
    <row r="49" spans="15:21" ht="16" x14ac:dyDescent="0.35">
      <c r="O49" s="79"/>
      <c r="P49" s="79"/>
      <c r="Q49" s="79"/>
      <c r="R49" s="79"/>
      <c r="U49" s="235"/>
    </row>
    <row r="50" spans="15:21" ht="16" x14ac:dyDescent="0.35">
      <c r="O50" s="79"/>
      <c r="P50" s="79"/>
      <c r="Q50" s="79"/>
      <c r="R50" s="79"/>
      <c r="U50" s="235"/>
    </row>
    <row r="51" spans="15:21" ht="16" x14ac:dyDescent="0.35">
      <c r="O51" s="79"/>
      <c r="P51" s="79"/>
      <c r="Q51" s="79"/>
      <c r="R51" s="79"/>
      <c r="U51" s="235"/>
    </row>
    <row r="52" spans="15:21" ht="16" x14ac:dyDescent="0.35">
      <c r="O52" s="79"/>
      <c r="P52" s="79"/>
      <c r="Q52" s="79"/>
      <c r="R52" s="79"/>
      <c r="U52" s="235"/>
    </row>
    <row r="53" spans="15:21" ht="16" x14ac:dyDescent="0.35">
      <c r="O53" s="79"/>
      <c r="P53" s="79"/>
      <c r="Q53" s="79"/>
      <c r="R53" s="79"/>
      <c r="U53" s="235"/>
    </row>
    <row r="54" spans="15:21" ht="16" x14ac:dyDescent="0.35">
      <c r="O54" s="79"/>
      <c r="P54" s="79"/>
      <c r="Q54" s="79"/>
      <c r="R54" s="79"/>
      <c r="U54" s="235"/>
    </row>
    <row r="55" spans="15:21" ht="16" x14ac:dyDescent="0.35">
      <c r="O55" s="79"/>
      <c r="P55" s="79"/>
      <c r="Q55" s="79"/>
      <c r="R55" s="79"/>
      <c r="U55" s="235"/>
    </row>
    <row r="56" spans="15:21" ht="16" x14ac:dyDescent="0.35">
      <c r="O56" s="79"/>
      <c r="P56" s="79"/>
      <c r="Q56" s="79"/>
      <c r="R56" s="79"/>
      <c r="U56" s="235"/>
    </row>
    <row r="57" spans="15:21" ht="16" x14ac:dyDescent="0.35">
      <c r="O57" s="79"/>
      <c r="P57" s="79"/>
      <c r="Q57" s="79"/>
      <c r="R57" s="79"/>
      <c r="U57" s="235"/>
    </row>
    <row r="58" spans="15:21" ht="16" x14ac:dyDescent="0.35">
      <c r="O58" s="79"/>
      <c r="P58" s="79"/>
      <c r="Q58" s="79"/>
      <c r="R58" s="79"/>
      <c r="U58" s="235"/>
    </row>
    <row r="59" spans="15:21" ht="16" x14ac:dyDescent="0.35">
      <c r="O59" s="79"/>
      <c r="P59" s="79"/>
      <c r="Q59" s="79"/>
      <c r="R59" s="79"/>
      <c r="U59" s="235"/>
    </row>
    <row r="60" spans="15:21" ht="16" x14ac:dyDescent="0.35">
      <c r="O60" s="79"/>
      <c r="P60" s="79"/>
      <c r="Q60" s="79"/>
      <c r="R60" s="79"/>
      <c r="U60" s="235"/>
    </row>
    <row r="61" spans="15:21" ht="16" x14ac:dyDescent="0.35">
      <c r="O61" s="79"/>
      <c r="P61" s="79"/>
      <c r="Q61" s="79"/>
      <c r="R61" s="79"/>
      <c r="U61" s="235"/>
    </row>
    <row r="62" spans="15:21" ht="16" x14ac:dyDescent="0.35">
      <c r="O62" s="79"/>
      <c r="P62" s="79"/>
      <c r="Q62" s="79"/>
      <c r="R62" s="79"/>
      <c r="U62" s="235"/>
    </row>
    <row r="63" spans="15:21" ht="16" x14ac:dyDescent="0.35">
      <c r="O63" s="79"/>
      <c r="P63" s="79"/>
      <c r="Q63" s="79"/>
      <c r="R63" s="79"/>
      <c r="U63" s="235"/>
    </row>
    <row r="64" spans="15:21" ht="16" x14ac:dyDescent="0.35">
      <c r="O64" s="79"/>
      <c r="P64" s="79"/>
      <c r="Q64" s="79"/>
      <c r="R64" s="79"/>
      <c r="U64" s="235"/>
    </row>
    <row r="65" spans="15:21" ht="16" x14ac:dyDescent="0.35">
      <c r="O65" s="79"/>
      <c r="P65" s="79"/>
      <c r="Q65" s="79"/>
      <c r="R65" s="79"/>
      <c r="U65" s="235"/>
    </row>
    <row r="66" spans="15:21" ht="16" x14ac:dyDescent="0.35">
      <c r="O66" s="79"/>
      <c r="P66" s="79"/>
      <c r="Q66" s="79"/>
      <c r="R66" s="79"/>
      <c r="U66" s="235"/>
    </row>
    <row r="67" spans="15:21" ht="16" x14ac:dyDescent="0.35">
      <c r="O67" s="79"/>
      <c r="P67" s="79"/>
      <c r="Q67" s="79"/>
      <c r="R67" s="79"/>
      <c r="U67" s="235"/>
    </row>
    <row r="68" spans="15:21" ht="16" x14ac:dyDescent="0.35">
      <c r="O68" s="79"/>
      <c r="P68" s="79"/>
      <c r="Q68" s="79"/>
      <c r="R68" s="79"/>
      <c r="U68" s="235"/>
    </row>
    <row r="69" spans="15:21" ht="16" x14ac:dyDescent="0.35">
      <c r="O69" s="79"/>
      <c r="P69" s="79"/>
      <c r="Q69" s="79"/>
      <c r="R69" s="79"/>
      <c r="U69" s="235"/>
    </row>
    <row r="70" spans="15:21" ht="16" x14ac:dyDescent="0.35">
      <c r="O70" s="79"/>
      <c r="P70" s="79"/>
      <c r="Q70" s="79"/>
      <c r="R70" s="79"/>
      <c r="U70" s="235"/>
    </row>
    <row r="71" spans="15:21" ht="16" x14ac:dyDescent="0.35">
      <c r="O71" s="79"/>
      <c r="P71" s="79"/>
      <c r="Q71" s="79"/>
      <c r="R71" s="79"/>
      <c r="U71" s="235"/>
    </row>
    <row r="72" spans="15:21" ht="16" x14ac:dyDescent="0.35">
      <c r="O72" s="79"/>
      <c r="P72" s="79"/>
      <c r="Q72" s="79"/>
      <c r="R72" s="79"/>
      <c r="U72" s="235"/>
    </row>
    <row r="73" spans="15:21" ht="16" x14ac:dyDescent="0.35">
      <c r="O73" s="79"/>
      <c r="P73" s="79"/>
      <c r="Q73" s="79"/>
      <c r="R73" s="79"/>
      <c r="U73" s="235"/>
    </row>
    <row r="74" spans="15:21" ht="16" x14ac:dyDescent="0.35">
      <c r="O74" s="79"/>
      <c r="P74" s="79"/>
      <c r="Q74" s="79"/>
      <c r="R74" s="79"/>
      <c r="U74" s="235"/>
    </row>
    <row r="75" spans="15:21" ht="16" x14ac:dyDescent="0.35">
      <c r="O75" s="79"/>
      <c r="P75" s="79"/>
      <c r="Q75" s="79"/>
      <c r="R75" s="79"/>
      <c r="U75" s="235"/>
    </row>
    <row r="76" spans="15:21" x14ac:dyDescent="0.35">
      <c r="U76" s="235"/>
    </row>
    <row r="77" spans="15:21" x14ac:dyDescent="0.35">
      <c r="U77" s="235"/>
    </row>
    <row r="78" spans="15:21" x14ac:dyDescent="0.35">
      <c r="U78" s="235"/>
    </row>
    <row r="79" spans="15:21" x14ac:dyDescent="0.35">
      <c r="U79" s="235"/>
    </row>
    <row r="80" spans="15:21" x14ac:dyDescent="0.35">
      <c r="U80" s="235"/>
    </row>
    <row r="81" spans="21:21" x14ac:dyDescent="0.35">
      <c r="U81" s="235"/>
    </row>
    <row r="82" spans="21:21" x14ac:dyDescent="0.35">
      <c r="U82" s="235"/>
    </row>
    <row r="83" spans="21:21" x14ac:dyDescent="0.35">
      <c r="U83" s="235"/>
    </row>
    <row r="84" spans="21:21" x14ac:dyDescent="0.35">
      <c r="U84" s="235"/>
    </row>
    <row r="85" spans="21:21" x14ac:dyDescent="0.35">
      <c r="U85" s="235"/>
    </row>
    <row r="86" spans="21:21" x14ac:dyDescent="0.35">
      <c r="U86" s="235"/>
    </row>
    <row r="87" spans="21:21" x14ac:dyDescent="0.35">
      <c r="U87" s="235"/>
    </row>
    <row r="88" spans="21:21" x14ac:dyDescent="0.35">
      <c r="U88" s="235"/>
    </row>
    <row r="89" spans="21:21" x14ac:dyDescent="0.35">
      <c r="U89" s="235"/>
    </row>
    <row r="90" spans="21:21" x14ac:dyDescent="0.35">
      <c r="U90" s="235"/>
    </row>
    <row r="91" spans="21:21" x14ac:dyDescent="0.35">
      <c r="U91" s="235"/>
    </row>
    <row r="92" spans="21:21" x14ac:dyDescent="0.35">
      <c r="U92" s="235"/>
    </row>
    <row r="93" spans="21:21" x14ac:dyDescent="0.35">
      <c r="U93" s="235"/>
    </row>
    <row r="94" spans="21:21" x14ac:dyDescent="0.35">
      <c r="U94" s="235"/>
    </row>
    <row r="95" spans="21:21" x14ac:dyDescent="0.35">
      <c r="U95" s="235"/>
    </row>
    <row r="96" spans="21:21" x14ac:dyDescent="0.35">
      <c r="U96" s="235"/>
    </row>
    <row r="97" spans="21:21" x14ac:dyDescent="0.35">
      <c r="U97" s="235"/>
    </row>
    <row r="98" spans="21:21" x14ac:dyDescent="0.35">
      <c r="U98" s="235"/>
    </row>
    <row r="99" spans="21:21" x14ac:dyDescent="0.35">
      <c r="U99" s="235"/>
    </row>
    <row r="100" spans="21:21" x14ac:dyDescent="0.35">
      <c r="U100" s="235"/>
    </row>
    <row r="101" spans="21:21" x14ac:dyDescent="0.35">
      <c r="U101" s="235"/>
    </row>
    <row r="102" spans="21:21" x14ac:dyDescent="0.35">
      <c r="U102" s="235"/>
    </row>
    <row r="103" spans="21:21" x14ac:dyDescent="0.35">
      <c r="U103" s="235"/>
    </row>
    <row r="104" spans="21:21" x14ac:dyDescent="0.35">
      <c r="U104" s="235"/>
    </row>
    <row r="105" spans="21:21" x14ac:dyDescent="0.35">
      <c r="U105" s="235"/>
    </row>
    <row r="106" spans="21:21" x14ac:dyDescent="0.35">
      <c r="U106" s="235"/>
    </row>
    <row r="107" spans="21:21" x14ac:dyDescent="0.35">
      <c r="U107" s="235"/>
    </row>
    <row r="108" spans="21:21" x14ac:dyDescent="0.35">
      <c r="U108" s="235"/>
    </row>
    <row r="109" spans="21:21" x14ac:dyDescent="0.35">
      <c r="U109" s="235"/>
    </row>
    <row r="110" spans="21:21" x14ac:dyDescent="0.35">
      <c r="U110" s="235"/>
    </row>
    <row r="111" spans="21:21" x14ac:dyDescent="0.35">
      <c r="U111" s="235"/>
    </row>
    <row r="112" spans="21:21" x14ac:dyDescent="0.35">
      <c r="U112" s="235"/>
    </row>
    <row r="113" spans="21:21" x14ac:dyDescent="0.35">
      <c r="U113" s="235"/>
    </row>
    <row r="114" spans="21:21" x14ac:dyDescent="0.35">
      <c r="U114" s="235"/>
    </row>
    <row r="115" spans="21:21" x14ac:dyDescent="0.35">
      <c r="U115" s="235"/>
    </row>
    <row r="116" spans="21:21" x14ac:dyDescent="0.35">
      <c r="U116" s="235"/>
    </row>
    <row r="117" spans="21:21" x14ac:dyDescent="0.35">
      <c r="U117" s="235"/>
    </row>
    <row r="118" spans="21:21" x14ac:dyDescent="0.35">
      <c r="U118" s="235"/>
    </row>
    <row r="119" spans="21:21" x14ac:dyDescent="0.35">
      <c r="U119" s="235"/>
    </row>
    <row r="120" spans="21:21" x14ac:dyDescent="0.35">
      <c r="U120" s="235"/>
    </row>
    <row r="121" spans="21:21" x14ac:dyDescent="0.35">
      <c r="U121" s="235"/>
    </row>
    <row r="122" spans="21:21" x14ac:dyDescent="0.35">
      <c r="U122" s="235"/>
    </row>
    <row r="123" spans="21:21" x14ac:dyDescent="0.35">
      <c r="U123" s="235"/>
    </row>
    <row r="124" spans="21:21" x14ac:dyDescent="0.35">
      <c r="U124" s="235"/>
    </row>
    <row r="125" spans="21:21" x14ac:dyDescent="0.35">
      <c r="U125" s="235"/>
    </row>
    <row r="126" spans="21:21" x14ac:dyDescent="0.35">
      <c r="U126" s="235"/>
    </row>
    <row r="127" spans="21:21" x14ac:dyDescent="0.35">
      <c r="U127" s="235"/>
    </row>
    <row r="128" spans="21:21" x14ac:dyDescent="0.35">
      <c r="U128" s="235"/>
    </row>
    <row r="129" spans="21:21" x14ac:dyDescent="0.35">
      <c r="U129" s="235"/>
    </row>
    <row r="130" spans="21:21" x14ac:dyDescent="0.35">
      <c r="U130" s="235"/>
    </row>
    <row r="131" spans="21:21" x14ac:dyDescent="0.35">
      <c r="U131" s="235"/>
    </row>
    <row r="132" spans="21:21" x14ac:dyDescent="0.35">
      <c r="U132" s="235"/>
    </row>
    <row r="133" spans="21:21" x14ac:dyDescent="0.35">
      <c r="U133" s="235"/>
    </row>
    <row r="134" spans="21:21" x14ac:dyDescent="0.35">
      <c r="U134" s="235"/>
    </row>
    <row r="135" spans="21:21" x14ac:dyDescent="0.35">
      <c r="U135" s="235"/>
    </row>
    <row r="136" spans="21:21" x14ac:dyDescent="0.35">
      <c r="U136" s="235"/>
    </row>
    <row r="137" spans="21:21" x14ac:dyDescent="0.35">
      <c r="U137" s="235"/>
    </row>
    <row r="138" spans="21:21" x14ac:dyDescent="0.35">
      <c r="U138" s="235"/>
    </row>
    <row r="139" spans="21:21" x14ac:dyDescent="0.35">
      <c r="U139" s="235"/>
    </row>
    <row r="140" spans="21:21" x14ac:dyDescent="0.35">
      <c r="U140" s="235"/>
    </row>
    <row r="141" spans="21:21" x14ac:dyDescent="0.35">
      <c r="U141" s="235"/>
    </row>
    <row r="142" spans="21:21" x14ac:dyDescent="0.35">
      <c r="U142" s="235"/>
    </row>
    <row r="143" spans="21:21" x14ac:dyDescent="0.35">
      <c r="U143" s="235"/>
    </row>
    <row r="144" spans="21:21" x14ac:dyDescent="0.35">
      <c r="U144" s="235"/>
    </row>
    <row r="145" spans="21:21" x14ac:dyDescent="0.35">
      <c r="U145" s="235"/>
    </row>
    <row r="146" spans="21:21" x14ac:dyDescent="0.35">
      <c r="U146" s="235"/>
    </row>
    <row r="147" spans="21:21" x14ac:dyDescent="0.35">
      <c r="U147" s="235"/>
    </row>
    <row r="148" spans="21:21" x14ac:dyDescent="0.35">
      <c r="U148" s="235"/>
    </row>
    <row r="149" spans="21:21" x14ac:dyDescent="0.35">
      <c r="U149" s="235"/>
    </row>
    <row r="150" spans="21:21" x14ac:dyDescent="0.35">
      <c r="U150" s="235"/>
    </row>
    <row r="151" spans="21:21" x14ac:dyDescent="0.35">
      <c r="U151" s="235"/>
    </row>
    <row r="152" spans="21:21" x14ac:dyDescent="0.35">
      <c r="U152" s="235"/>
    </row>
    <row r="153" spans="21:21" x14ac:dyDescent="0.35">
      <c r="U153" s="235"/>
    </row>
    <row r="154" spans="21:21" x14ac:dyDescent="0.35">
      <c r="U154" s="235"/>
    </row>
    <row r="155" spans="21:21" x14ac:dyDescent="0.35">
      <c r="U155" s="235"/>
    </row>
    <row r="156" spans="21:21" x14ac:dyDescent="0.35">
      <c r="U156" s="235"/>
    </row>
    <row r="157" spans="21:21" x14ac:dyDescent="0.35">
      <c r="U157" s="235"/>
    </row>
    <row r="158" spans="21:21" x14ac:dyDescent="0.35">
      <c r="U158" s="235"/>
    </row>
    <row r="159" spans="21:21" x14ac:dyDescent="0.35">
      <c r="U159" s="235"/>
    </row>
    <row r="160" spans="21:21" x14ac:dyDescent="0.35">
      <c r="U160" s="235"/>
    </row>
    <row r="161" spans="21:21" x14ac:dyDescent="0.35">
      <c r="U161" s="235"/>
    </row>
    <row r="162" spans="21:21" x14ac:dyDescent="0.35">
      <c r="U162" s="235"/>
    </row>
    <row r="163" spans="21:21" x14ac:dyDescent="0.35">
      <c r="U163" s="235"/>
    </row>
    <row r="164" spans="21:21" x14ac:dyDescent="0.35">
      <c r="U164" s="235"/>
    </row>
    <row r="165" spans="21:21" x14ac:dyDescent="0.35">
      <c r="U165" s="235"/>
    </row>
    <row r="166" spans="21:21" x14ac:dyDescent="0.35">
      <c r="U166" s="235"/>
    </row>
    <row r="167" spans="21:21" x14ac:dyDescent="0.35">
      <c r="U167" s="235"/>
    </row>
    <row r="168" spans="21:21" x14ac:dyDescent="0.35">
      <c r="U168" s="235"/>
    </row>
    <row r="169" spans="21:21" x14ac:dyDescent="0.35">
      <c r="U169" s="235"/>
    </row>
    <row r="170" spans="21:21" x14ac:dyDescent="0.35">
      <c r="U170" s="235"/>
    </row>
    <row r="171" spans="21:21" x14ac:dyDescent="0.35">
      <c r="U171" s="235"/>
    </row>
    <row r="172" spans="21:21" x14ac:dyDescent="0.35">
      <c r="U172" s="235"/>
    </row>
    <row r="173" spans="21:21" x14ac:dyDescent="0.35">
      <c r="U173" s="235"/>
    </row>
    <row r="174" spans="21:21" x14ac:dyDescent="0.35">
      <c r="U174" s="235"/>
    </row>
    <row r="175" spans="21:21" x14ac:dyDescent="0.35">
      <c r="U175" s="235"/>
    </row>
    <row r="176" spans="21:21" x14ac:dyDescent="0.35">
      <c r="U176" s="235"/>
    </row>
    <row r="177" spans="21:21" x14ac:dyDescent="0.35">
      <c r="U177" s="235"/>
    </row>
    <row r="178" spans="21:21" x14ac:dyDescent="0.35">
      <c r="U178" s="235"/>
    </row>
    <row r="179" spans="21:21" x14ac:dyDescent="0.35">
      <c r="U179" s="235"/>
    </row>
    <row r="180" spans="21:21" x14ac:dyDescent="0.35">
      <c r="U180" s="235"/>
    </row>
    <row r="181" spans="21:21" x14ac:dyDescent="0.35">
      <c r="U181" s="235"/>
    </row>
    <row r="182" spans="21:21" x14ac:dyDescent="0.35">
      <c r="U182" s="235"/>
    </row>
    <row r="183" spans="21:21" x14ac:dyDescent="0.35">
      <c r="U183" s="235"/>
    </row>
    <row r="184" spans="21:21" x14ac:dyDescent="0.35">
      <c r="U184" s="235"/>
    </row>
    <row r="185" spans="21:21" x14ac:dyDescent="0.35">
      <c r="U185" s="235"/>
    </row>
    <row r="186" spans="21:21" x14ac:dyDescent="0.35">
      <c r="U186" s="235"/>
    </row>
    <row r="187" spans="21:21" x14ac:dyDescent="0.35">
      <c r="U187" s="235"/>
    </row>
    <row r="188" spans="21:21" x14ac:dyDescent="0.35">
      <c r="U188" s="235"/>
    </row>
    <row r="189" spans="21:21" x14ac:dyDescent="0.35">
      <c r="U189" s="235"/>
    </row>
    <row r="190" spans="21:21" x14ac:dyDescent="0.35">
      <c r="U190" s="235"/>
    </row>
    <row r="191" spans="21:21" x14ac:dyDescent="0.35">
      <c r="U191" s="235"/>
    </row>
    <row r="192" spans="21:21" x14ac:dyDescent="0.35">
      <c r="U192" s="235"/>
    </row>
    <row r="193" spans="21:21" x14ac:dyDescent="0.35">
      <c r="U193" s="235"/>
    </row>
    <row r="194" spans="21:21" x14ac:dyDescent="0.35">
      <c r="U194" s="235"/>
    </row>
    <row r="195" spans="21:21" x14ac:dyDescent="0.35">
      <c r="U195" s="235"/>
    </row>
    <row r="196" spans="21:21" x14ac:dyDescent="0.35">
      <c r="U196" s="235"/>
    </row>
    <row r="197" spans="21:21" x14ac:dyDescent="0.35">
      <c r="U197" s="235"/>
    </row>
    <row r="198" spans="21:21" x14ac:dyDescent="0.35">
      <c r="U198" s="235"/>
    </row>
    <row r="199" spans="21:21" x14ac:dyDescent="0.35">
      <c r="U199" s="235"/>
    </row>
    <row r="200" spans="21:21" x14ac:dyDescent="0.35">
      <c r="U200" s="235"/>
    </row>
    <row r="201" spans="21:21" x14ac:dyDescent="0.35">
      <c r="U201" s="235"/>
    </row>
    <row r="202" spans="21:21" x14ac:dyDescent="0.35">
      <c r="U202" s="235"/>
    </row>
    <row r="203" spans="21:21" x14ac:dyDescent="0.35">
      <c r="U203" s="235"/>
    </row>
    <row r="204" spans="21:21" x14ac:dyDescent="0.35">
      <c r="U204" s="235"/>
    </row>
    <row r="205" spans="21:21" x14ac:dyDescent="0.35">
      <c r="U205" s="235"/>
    </row>
    <row r="206" spans="21:21" x14ac:dyDescent="0.35">
      <c r="U206" s="235"/>
    </row>
    <row r="207" spans="21:21" x14ac:dyDescent="0.35">
      <c r="U207" s="235"/>
    </row>
    <row r="208" spans="21:21" x14ac:dyDescent="0.35">
      <c r="U208" s="235"/>
    </row>
    <row r="209" spans="21:21" x14ac:dyDescent="0.35">
      <c r="U209" s="235"/>
    </row>
    <row r="210" spans="21:21" x14ac:dyDescent="0.35">
      <c r="U210" s="235"/>
    </row>
    <row r="211" spans="21:21" x14ac:dyDescent="0.35">
      <c r="U211" s="235"/>
    </row>
    <row r="212" spans="21:21" x14ac:dyDescent="0.35">
      <c r="U212" s="235"/>
    </row>
    <row r="213" spans="21:21" x14ac:dyDescent="0.35">
      <c r="U213" s="235"/>
    </row>
    <row r="214" spans="21:21" x14ac:dyDescent="0.35">
      <c r="U214" s="235"/>
    </row>
    <row r="215" spans="21:21" x14ac:dyDescent="0.35">
      <c r="U215" s="235"/>
    </row>
    <row r="216" spans="21:21" x14ac:dyDescent="0.35">
      <c r="U216" s="235"/>
    </row>
    <row r="217" spans="21:21" x14ac:dyDescent="0.35">
      <c r="U217" s="235"/>
    </row>
    <row r="218" spans="21:21" x14ac:dyDescent="0.35">
      <c r="U218" s="235"/>
    </row>
    <row r="219" spans="21:21" x14ac:dyDescent="0.35">
      <c r="U219" s="235"/>
    </row>
    <row r="220" spans="21:21" x14ac:dyDescent="0.35">
      <c r="U220" s="235"/>
    </row>
    <row r="221" spans="21:21" x14ac:dyDescent="0.35">
      <c r="U221" s="235"/>
    </row>
    <row r="222" spans="21:21" x14ac:dyDescent="0.35">
      <c r="U222" s="235"/>
    </row>
    <row r="223" spans="21:21" x14ac:dyDescent="0.35">
      <c r="U223" s="235"/>
    </row>
    <row r="224" spans="21:21" x14ac:dyDescent="0.35">
      <c r="U224" s="235"/>
    </row>
    <row r="225" spans="21:21" x14ac:dyDescent="0.35">
      <c r="U225" s="235"/>
    </row>
    <row r="226" spans="21:21" x14ac:dyDescent="0.35">
      <c r="U226" s="235"/>
    </row>
    <row r="227" spans="21:21" x14ac:dyDescent="0.35">
      <c r="U227" s="235"/>
    </row>
    <row r="228" spans="21:21" x14ac:dyDescent="0.35">
      <c r="U228" s="235"/>
    </row>
    <row r="229" spans="21:21" x14ac:dyDescent="0.35">
      <c r="U229" s="235"/>
    </row>
    <row r="230" spans="21:21" x14ac:dyDescent="0.35">
      <c r="U230" s="235"/>
    </row>
    <row r="231" spans="21:21" x14ac:dyDescent="0.35">
      <c r="U231" s="235"/>
    </row>
    <row r="232" spans="21:21" x14ac:dyDescent="0.35">
      <c r="U232" s="235"/>
    </row>
    <row r="233" spans="21:21" x14ac:dyDescent="0.35">
      <c r="U233" s="235"/>
    </row>
    <row r="234" spans="21:21" x14ac:dyDescent="0.35">
      <c r="U234" s="235"/>
    </row>
    <row r="235" spans="21:21" x14ac:dyDescent="0.35">
      <c r="U235" s="235"/>
    </row>
    <row r="236" spans="21:21" x14ac:dyDescent="0.35">
      <c r="U236" s="235"/>
    </row>
    <row r="237" spans="21:21" x14ac:dyDescent="0.35">
      <c r="U237" s="235"/>
    </row>
    <row r="238" spans="21:21" x14ac:dyDescent="0.35">
      <c r="U238" s="235"/>
    </row>
    <row r="239" spans="21:21" x14ac:dyDescent="0.35">
      <c r="U239" s="235"/>
    </row>
    <row r="240" spans="21:21" x14ac:dyDescent="0.35">
      <c r="U240" s="235"/>
    </row>
    <row r="241" spans="21:21" x14ac:dyDescent="0.35">
      <c r="U241" s="235"/>
    </row>
    <row r="242" spans="21:21" x14ac:dyDescent="0.35">
      <c r="U242" s="235"/>
    </row>
    <row r="243" spans="21:21" x14ac:dyDescent="0.35">
      <c r="U243" s="235"/>
    </row>
    <row r="244" spans="21:21" x14ac:dyDescent="0.35">
      <c r="U244" s="235"/>
    </row>
    <row r="245" spans="21:21" x14ac:dyDescent="0.35">
      <c r="U245" s="235"/>
    </row>
    <row r="246" spans="21:21" x14ac:dyDescent="0.35">
      <c r="U246" s="235"/>
    </row>
    <row r="247" spans="21:21" x14ac:dyDescent="0.35">
      <c r="U247" s="235"/>
    </row>
    <row r="248" spans="21:21" x14ac:dyDescent="0.35">
      <c r="U248" s="235"/>
    </row>
    <row r="249" spans="21:21" x14ac:dyDescent="0.35">
      <c r="U249" s="235"/>
    </row>
    <row r="250" spans="21:21" x14ac:dyDescent="0.35">
      <c r="U250" s="235"/>
    </row>
    <row r="251" spans="21:21" x14ac:dyDescent="0.35">
      <c r="U251" s="235"/>
    </row>
    <row r="252" spans="21:21" x14ac:dyDescent="0.35">
      <c r="U252" s="235"/>
    </row>
    <row r="253" spans="21:21" x14ac:dyDescent="0.35">
      <c r="U253" s="235"/>
    </row>
    <row r="254" spans="21:21" x14ac:dyDescent="0.35">
      <c r="U254" s="235"/>
    </row>
    <row r="255" spans="21:21" x14ac:dyDescent="0.35">
      <c r="U255" s="235"/>
    </row>
    <row r="256" spans="21:21" x14ac:dyDescent="0.35">
      <c r="U256" s="235"/>
    </row>
    <row r="257" spans="21:21" x14ac:dyDescent="0.35">
      <c r="U257" s="235"/>
    </row>
    <row r="258" spans="21:21" x14ac:dyDescent="0.35">
      <c r="U258" s="235"/>
    </row>
    <row r="259" spans="21:21" x14ac:dyDescent="0.35">
      <c r="U259" s="235"/>
    </row>
    <row r="260" spans="21:21" x14ac:dyDescent="0.35">
      <c r="U260" s="235"/>
    </row>
    <row r="261" spans="21:21" x14ac:dyDescent="0.35">
      <c r="U261" s="235"/>
    </row>
    <row r="262" spans="21:21" x14ac:dyDescent="0.35">
      <c r="U262" s="235"/>
    </row>
    <row r="263" spans="21:21" x14ac:dyDescent="0.35">
      <c r="U263" s="235"/>
    </row>
    <row r="264" spans="21:21" x14ac:dyDescent="0.35">
      <c r="U264" s="235"/>
    </row>
    <row r="265" spans="21:21" x14ac:dyDescent="0.35">
      <c r="U265" s="235"/>
    </row>
    <row r="266" spans="21:21" x14ac:dyDescent="0.35">
      <c r="U266" s="235"/>
    </row>
    <row r="267" spans="21:21" x14ac:dyDescent="0.35">
      <c r="U267" s="235"/>
    </row>
    <row r="268" spans="21:21" x14ac:dyDescent="0.35">
      <c r="U268" s="235"/>
    </row>
    <row r="269" spans="21:21" x14ac:dyDescent="0.35">
      <c r="U269" s="235"/>
    </row>
    <row r="270" spans="21:21" x14ac:dyDescent="0.35">
      <c r="U270" s="235"/>
    </row>
    <row r="271" spans="21:21" x14ac:dyDescent="0.35">
      <c r="U271" s="235"/>
    </row>
    <row r="272" spans="21:21" x14ac:dyDescent="0.35">
      <c r="U272" s="235"/>
    </row>
    <row r="273" spans="21:21" x14ac:dyDescent="0.35">
      <c r="U273" s="235"/>
    </row>
    <row r="274" spans="21:21" x14ac:dyDescent="0.35">
      <c r="U274" s="235"/>
    </row>
    <row r="275" spans="21:21" x14ac:dyDescent="0.35">
      <c r="U275" s="235"/>
    </row>
    <row r="276" spans="21:21" x14ac:dyDescent="0.35">
      <c r="U276" s="235"/>
    </row>
    <row r="277" spans="21:21" x14ac:dyDescent="0.35">
      <c r="U277" s="235"/>
    </row>
    <row r="278" spans="21:21" x14ac:dyDescent="0.35">
      <c r="U278" s="235"/>
    </row>
    <row r="279" spans="21:21" x14ac:dyDescent="0.35">
      <c r="U279" s="235"/>
    </row>
    <row r="280" spans="21:21" x14ac:dyDescent="0.35">
      <c r="U280" s="235"/>
    </row>
    <row r="281" spans="21:21" x14ac:dyDescent="0.35">
      <c r="U281" s="235"/>
    </row>
    <row r="282" spans="21:21" x14ac:dyDescent="0.35">
      <c r="U282" s="235"/>
    </row>
    <row r="283" spans="21:21" x14ac:dyDescent="0.35">
      <c r="U283" s="235"/>
    </row>
    <row r="284" spans="21:21" x14ac:dyDescent="0.35">
      <c r="U284" s="235"/>
    </row>
    <row r="285" spans="21:21" x14ac:dyDescent="0.35">
      <c r="U285" s="235"/>
    </row>
    <row r="286" spans="21:21" x14ac:dyDescent="0.35">
      <c r="U286" s="235"/>
    </row>
    <row r="287" spans="21:21" x14ac:dyDescent="0.35">
      <c r="U287" s="235"/>
    </row>
    <row r="288" spans="21:21" x14ac:dyDescent="0.35">
      <c r="U288" s="235"/>
    </row>
    <row r="289" spans="21:21" x14ac:dyDescent="0.35">
      <c r="U289" s="235"/>
    </row>
    <row r="290" spans="21:21" x14ac:dyDescent="0.35">
      <c r="U290" s="235"/>
    </row>
    <row r="291" spans="21:21" x14ac:dyDescent="0.35">
      <c r="U291" s="235"/>
    </row>
    <row r="292" spans="21:21" x14ac:dyDescent="0.35">
      <c r="U292" s="235"/>
    </row>
    <row r="293" spans="21:21" x14ac:dyDescent="0.35">
      <c r="U293" s="235"/>
    </row>
    <row r="294" spans="21:21" x14ac:dyDescent="0.35">
      <c r="U294" s="235"/>
    </row>
    <row r="295" spans="21:21" x14ac:dyDescent="0.35">
      <c r="U295" s="235"/>
    </row>
    <row r="296" spans="21:21" x14ac:dyDescent="0.35">
      <c r="U296" s="235"/>
    </row>
    <row r="297" spans="21:21" x14ac:dyDescent="0.35">
      <c r="U297" s="235"/>
    </row>
    <row r="298" spans="21:21" x14ac:dyDescent="0.35">
      <c r="U298" s="235"/>
    </row>
    <row r="299" spans="21:21" x14ac:dyDescent="0.35">
      <c r="U299" s="235"/>
    </row>
    <row r="300" spans="21:21" x14ac:dyDescent="0.35">
      <c r="U300" s="235"/>
    </row>
    <row r="301" spans="21:21" x14ac:dyDescent="0.35">
      <c r="U301" s="235"/>
    </row>
    <row r="302" spans="21:21" x14ac:dyDescent="0.35">
      <c r="U302" s="235"/>
    </row>
    <row r="303" spans="21:21" x14ac:dyDescent="0.35">
      <c r="U303" s="235"/>
    </row>
    <row r="304" spans="21:21" x14ac:dyDescent="0.35">
      <c r="U304" s="235"/>
    </row>
    <row r="305" spans="21:21" x14ac:dyDescent="0.35">
      <c r="U305" s="235"/>
    </row>
    <row r="306" spans="21:21" x14ac:dyDescent="0.35">
      <c r="U306" s="235"/>
    </row>
    <row r="307" spans="21:21" x14ac:dyDescent="0.35">
      <c r="U307" s="235"/>
    </row>
    <row r="308" spans="21:21" x14ac:dyDescent="0.35">
      <c r="U308" s="235"/>
    </row>
    <row r="309" spans="21:21" x14ac:dyDescent="0.35">
      <c r="U309" s="243"/>
    </row>
    <row r="310" spans="21:21" x14ac:dyDescent="0.35">
      <c r="U310" s="243"/>
    </row>
    <row r="311" spans="21:21" x14ac:dyDescent="0.35">
      <c r="U311" s="243"/>
    </row>
    <row r="312" spans="21:21" x14ac:dyDescent="0.35">
      <c r="U312" s="243"/>
    </row>
    <row r="313" spans="21:21" x14ac:dyDescent="0.35">
      <c r="U313" s="243"/>
    </row>
    <row r="314" spans="21:21" x14ac:dyDescent="0.35">
      <c r="U314" s="243"/>
    </row>
    <row r="315" spans="21:21" x14ac:dyDescent="0.35">
      <c r="U315" s="243"/>
    </row>
    <row r="316" spans="21:21" x14ac:dyDescent="0.35">
      <c r="U316" s="243"/>
    </row>
    <row r="317" spans="21:21" x14ac:dyDescent="0.35">
      <c r="U317" s="243"/>
    </row>
    <row r="318" spans="21:21" x14ac:dyDescent="0.35">
      <c r="U318" s="243"/>
    </row>
    <row r="319" spans="21:21" x14ac:dyDescent="0.35">
      <c r="U319" s="243"/>
    </row>
    <row r="320" spans="21:21" x14ac:dyDescent="0.35">
      <c r="U320" s="243"/>
    </row>
    <row r="321" spans="21:21" x14ac:dyDescent="0.35">
      <c r="U321" s="243"/>
    </row>
    <row r="322" spans="21:21" x14ac:dyDescent="0.35">
      <c r="U322" s="243"/>
    </row>
    <row r="323" spans="21:21" x14ac:dyDescent="0.35">
      <c r="U323" s="243"/>
    </row>
    <row r="324" spans="21:21" x14ac:dyDescent="0.35">
      <c r="U324" s="243"/>
    </row>
    <row r="325" spans="21:21" x14ac:dyDescent="0.35">
      <c r="U325" s="243"/>
    </row>
    <row r="326" spans="21:21" x14ac:dyDescent="0.35">
      <c r="U326" s="243"/>
    </row>
    <row r="327" spans="21:21" x14ac:dyDescent="0.35">
      <c r="U327" s="243"/>
    </row>
    <row r="328" spans="21:21" x14ac:dyDescent="0.35">
      <c r="U328" s="243"/>
    </row>
    <row r="329" spans="21:21" x14ac:dyDescent="0.35">
      <c r="U329" s="243"/>
    </row>
    <row r="330" spans="21:21" x14ac:dyDescent="0.35">
      <c r="U330" s="243"/>
    </row>
    <row r="331" spans="21:21" x14ac:dyDescent="0.35">
      <c r="U331" s="243"/>
    </row>
    <row r="332" spans="21:21" x14ac:dyDescent="0.35">
      <c r="U332" s="243"/>
    </row>
    <row r="333" spans="21:21" x14ac:dyDescent="0.35">
      <c r="U333" s="243"/>
    </row>
    <row r="334" spans="21:21" x14ac:dyDescent="0.35">
      <c r="U334" s="243"/>
    </row>
    <row r="335" spans="21:21" x14ac:dyDescent="0.35">
      <c r="U335" s="243"/>
    </row>
    <row r="336" spans="21:21" x14ac:dyDescent="0.35">
      <c r="U336" s="243"/>
    </row>
    <row r="337" spans="21:21" x14ac:dyDescent="0.35">
      <c r="U337" s="243"/>
    </row>
    <row r="338" spans="21:21" x14ac:dyDescent="0.35">
      <c r="U338" s="243"/>
    </row>
    <row r="339" spans="21:21" x14ac:dyDescent="0.35">
      <c r="U339" s="243"/>
    </row>
    <row r="340" spans="21:21" x14ac:dyDescent="0.35">
      <c r="U340" s="243"/>
    </row>
    <row r="341" spans="21:21" x14ac:dyDescent="0.35">
      <c r="U341" s="243"/>
    </row>
    <row r="342" spans="21:21" x14ac:dyDescent="0.35">
      <c r="U342" s="243"/>
    </row>
    <row r="343" spans="21:21" x14ac:dyDescent="0.35">
      <c r="U343" s="243"/>
    </row>
    <row r="344" spans="21:21" x14ac:dyDescent="0.35">
      <c r="U344" s="243"/>
    </row>
    <row r="345" spans="21:21" x14ac:dyDescent="0.35">
      <c r="U345" s="243"/>
    </row>
    <row r="346" spans="21:21" x14ac:dyDescent="0.35">
      <c r="U346" s="243"/>
    </row>
    <row r="347" spans="21:21" x14ac:dyDescent="0.35">
      <c r="U347" s="243"/>
    </row>
    <row r="348" spans="21:21" x14ac:dyDescent="0.35">
      <c r="U348" s="243"/>
    </row>
    <row r="349" spans="21:21" x14ac:dyDescent="0.35">
      <c r="U349" s="243"/>
    </row>
    <row r="350" spans="21:21" x14ac:dyDescent="0.35">
      <c r="U350" s="243"/>
    </row>
    <row r="351" spans="21:21" x14ac:dyDescent="0.35">
      <c r="U351" s="243"/>
    </row>
    <row r="352" spans="21:21" x14ac:dyDescent="0.35">
      <c r="U352" s="243"/>
    </row>
    <row r="353" spans="21:21" x14ac:dyDescent="0.35">
      <c r="U353" s="243"/>
    </row>
    <row r="354" spans="21:21" x14ac:dyDescent="0.35">
      <c r="U354" s="243"/>
    </row>
    <row r="355" spans="21:21" x14ac:dyDescent="0.35">
      <c r="U355" s="243"/>
    </row>
    <row r="356" spans="21:21" x14ac:dyDescent="0.35">
      <c r="U356" s="243"/>
    </row>
    <row r="357" spans="21:21" x14ac:dyDescent="0.35">
      <c r="U357" s="243"/>
    </row>
    <row r="358" spans="21:21" x14ac:dyDescent="0.35">
      <c r="U358" s="243"/>
    </row>
    <row r="359" spans="21:21" x14ac:dyDescent="0.35">
      <c r="U359" s="243"/>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2">
    <mergeCell ref="R12:R14"/>
    <mergeCell ref="R10:R11"/>
    <mergeCell ref="R6:R8"/>
    <mergeCell ref="A1:W1"/>
    <mergeCell ref="A2:W2"/>
    <mergeCell ref="A3:W3"/>
    <mergeCell ref="A4:E4"/>
    <mergeCell ref="F4:L4"/>
    <mergeCell ref="M4:N4"/>
    <mergeCell ref="O4:R4"/>
    <mergeCell ref="S4:U4"/>
    <mergeCell ref="V4:W4"/>
  </mergeCells>
  <conditionalFormatting sqref="O6:R6 O7:Q8 O9:R9 O10:Q16 O17:R1048576">
    <cfRule type="containsText" dxfId="147" priority="1" operator="containsText" text="No">
      <formula>NOT(ISERROR(SEARCH("No",O6)))</formula>
    </cfRule>
    <cfRule type="containsText" dxfId="146" priority="2" operator="containsText" text="Yes">
      <formula>NOT(ISERROR(SEARCH("Yes",O6)))</formula>
    </cfRule>
  </conditionalFormatting>
  <conditionalFormatting sqref="S6:S1048576">
    <cfRule type="containsText" dxfId="145" priority="3" operator="containsText" text="Rejected">
      <formula>NOT(ISERROR(SEARCH("Rejected",S6)))</formula>
    </cfRule>
    <cfRule type="containsText" dxfId="144" priority="4" operator="containsText" text="Revisions Needed">
      <formula>NOT(ISERROR(SEARCH("Revisions Needed",S6)))</formula>
    </cfRule>
    <cfRule type="containsText" dxfId="143" priority="5" operator="containsText" text="Approved">
      <formula>NOT(ISERROR(SEARCH("Approved",S6)))</formula>
    </cfRule>
  </conditionalFormatting>
  <dataValidations count="3">
    <dataValidation type="list" allowBlank="1" sqref="S6:S1048576" xr:uid="{145292A4-A658-4809-9079-C598FC2BBD39}">
      <formula1>"Approved,Revisions Needed, Rejected"</formula1>
    </dataValidation>
    <dataValidation type="list" allowBlank="1" showInputMessage="1" showErrorMessage="1" sqref="O19:O1048576 O6:O14 P6:Q1048576" xr:uid="{06FCB480-9C21-4EFA-AD44-6CFEACC6E03B}">
      <formula1>"No, Yes"</formula1>
    </dataValidation>
    <dataValidation type="list" allowBlank="1" showInputMessage="1" showErrorMessage="1" sqref="C6:C1048576" xr:uid="{633C38C0-D57A-4DA9-9465-AFFC1D4FF71F}">
      <formula1>"Monthly, Yearly"</formula1>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31B2-2340-4472-BE7D-34533F2CDA66}">
  <sheetPr>
    <tabColor theme="3" tint="0.59999389629810485"/>
  </sheetPr>
  <dimension ref="A1:Y25"/>
  <sheetViews>
    <sheetView showGridLines="0" zoomScale="70" zoomScaleNormal="50" workbookViewId="0">
      <selection activeCell="W15" sqref="W15"/>
    </sheetView>
  </sheetViews>
  <sheetFormatPr defaultColWidth="8.54296875" defaultRowHeight="14.5" x14ac:dyDescent="0.35"/>
  <cols>
    <col min="1" max="1" width="5.1796875" customWidth="1"/>
    <col min="2" max="2" width="15.453125" style="399" bestFit="1" customWidth="1"/>
    <col min="3" max="3" width="12" customWidth="1"/>
    <col min="4" max="4" width="37.1796875" customWidth="1"/>
    <col min="5" max="5" width="33.453125" bestFit="1" customWidth="1"/>
    <col min="6" max="6" width="14.26953125" bestFit="1" customWidth="1"/>
    <col min="7" max="7" width="15.26953125" bestFit="1" customWidth="1"/>
    <col min="8" max="8" width="11.81640625" customWidth="1"/>
    <col min="9" max="9" width="15.453125" customWidth="1"/>
    <col min="10" max="10" width="13.26953125" customWidth="1"/>
    <col min="11" max="11" width="15.54296875" customWidth="1"/>
    <col min="12" max="12" width="12.81640625" customWidth="1"/>
    <col min="13" max="13" width="36" style="386" customWidth="1"/>
    <col min="14" max="14" width="27" bestFit="1" customWidth="1"/>
    <col min="15" max="15" width="4.26953125" bestFit="1" customWidth="1"/>
    <col min="16" max="16" width="5.453125" customWidth="1"/>
    <col min="17" max="17" width="6" customWidth="1"/>
    <col min="18" max="18" width="49.453125" customWidth="1"/>
    <col min="19" max="19" width="17" customWidth="1"/>
    <col min="20" max="20" width="22.1796875" style="406" customWidth="1"/>
    <col min="21" max="21" width="48.453125" customWidth="1"/>
    <col min="22" max="22" width="15.81640625" customWidth="1"/>
    <col min="23" max="23" width="25" bestFit="1" customWidth="1"/>
    <col min="24" max="24" width="8.7265625" bestFit="1" customWidth="1"/>
    <col min="25" max="25" width="25" customWidth="1"/>
  </cols>
  <sheetData>
    <row r="1" spans="1:25" ht="21" x14ac:dyDescent="0.35">
      <c r="A1" s="525" t="s">
        <v>297</v>
      </c>
      <c r="B1" s="525"/>
      <c r="C1" s="525"/>
      <c r="D1" s="525"/>
      <c r="E1" s="525"/>
      <c r="F1" s="525"/>
      <c r="G1" s="525"/>
      <c r="H1" s="525"/>
      <c r="I1" s="525"/>
      <c r="J1" s="525"/>
      <c r="K1" s="525"/>
      <c r="L1" s="525"/>
      <c r="M1" s="525"/>
      <c r="N1" s="525"/>
      <c r="O1" s="525"/>
      <c r="P1" s="525"/>
      <c r="Q1" s="525"/>
      <c r="R1" s="525"/>
      <c r="S1" s="525"/>
      <c r="T1" s="525"/>
      <c r="U1" s="525"/>
      <c r="V1" s="525"/>
      <c r="W1" s="525"/>
      <c r="X1" s="525"/>
      <c r="Y1" s="525"/>
    </row>
    <row r="2" spans="1:25" ht="21" x14ac:dyDescent="0.35">
      <c r="A2" s="526" t="s">
        <v>298</v>
      </c>
      <c r="B2" s="527"/>
      <c r="C2" s="527"/>
      <c r="D2" s="527"/>
      <c r="E2" s="527"/>
      <c r="F2" s="527"/>
      <c r="G2" s="527"/>
      <c r="H2" s="527"/>
      <c r="I2" s="527"/>
      <c r="J2" s="527"/>
      <c r="K2" s="527"/>
      <c r="L2" s="527"/>
      <c r="M2" s="527"/>
      <c r="N2" s="527"/>
      <c r="O2" s="527"/>
      <c r="P2" s="527"/>
      <c r="Q2" s="527"/>
      <c r="R2" s="527"/>
      <c r="S2" s="527"/>
      <c r="T2" s="527"/>
      <c r="U2" s="527"/>
      <c r="V2" s="527"/>
      <c r="W2" s="527"/>
      <c r="X2" s="527"/>
      <c r="Y2" s="528"/>
    </row>
    <row r="3" spans="1:25" ht="48" x14ac:dyDescent="0.35">
      <c r="A3" s="377" t="s">
        <v>9</v>
      </c>
      <c r="B3" s="377" t="s">
        <v>10</v>
      </c>
      <c r="C3" s="377" t="s">
        <v>11</v>
      </c>
      <c r="D3" s="377" t="s">
        <v>12</v>
      </c>
      <c r="E3" s="377" t="s">
        <v>13</v>
      </c>
      <c r="F3" s="377" t="s">
        <v>14</v>
      </c>
      <c r="G3" s="377" t="s">
        <v>228</v>
      </c>
      <c r="H3" s="377" t="s">
        <v>15</v>
      </c>
      <c r="I3" s="377" t="s">
        <v>16</v>
      </c>
      <c r="J3" s="377" t="s">
        <v>17</v>
      </c>
      <c r="K3" s="377" t="s">
        <v>18</v>
      </c>
      <c r="L3" s="377" t="s">
        <v>19</v>
      </c>
      <c r="M3" s="377" t="s">
        <v>20</v>
      </c>
      <c r="N3" s="377" t="s">
        <v>21</v>
      </c>
      <c r="O3" s="377" t="s">
        <v>22</v>
      </c>
      <c r="P3" s="377" t="s">
        <v>23</v>
      </c>
      <c r="Q3" s="377" t="s">
        <v>24</v>
      </c>
      <c r="R3" s="377" t="s">
        <v>25</v>
      </c>
      <c r="S3" s="377" t="s">
        <v>299</v>
      </c>
      <c r="T3" s="377" t="s">
        <v>300</v>
      </c>
      <c r="U3" s="377" t="s">
        <v>301</v>
      </c>
      <c r="V3" s="377" t="s">
        <v>302</v>
      </c>
      <c r="W3" s="377" t="s">
        <v>303</v>
      </c>
      <c r="X3" s="377" t="s">
        <v>29</v>
      </c>
      <c r="Y3" s="377" t="s">
        <v>30</v>
      </c>
    </row>
    <row r="4" spans="1:25" ht="128" hidden="1" x14ac:dyDescent="0.4">
      <c r="A4" s="350">
        <v>1</v>
      </c>
      <c r="B4" s="396" t="s">
        <v>304</v>
      </c>
      <c r="C4" s="360" t="s">
        <v>46</v>
      </c>
      <c r="D4" s="350" t="s">
        <v>305</v>
      </c>
      <c r="E4" s="350" t="s">
        <v>306</v>
      </c>
      <c r="F4" s="350" t="s">
        <v>49</v>
      </c>
      <c r="G4" s="350" t="s">
        <v>307</v>
      </c>
      <c r="H4" s="350" t="s">
        <v>308</v>
      </c>
      <c r="I4" s="350">
        <v>149</v>
      </c>
      <c r="J4" s="360"/>
      <c r="K4" s="350" t="s">
        <v>309</v>
      </c>
      <c r="L4" s="360"/>
      <c r="M4" s="380" t="s">
        <v>310</v>
      </c>
      <c r="N4" s="350" t="s">
        <v>311</v>
      </c>
      <c r="O4" s="360" t="s">
        <v>55</v>
      </c>
      <c r="P4" s="360" t="s">
        <v>55</v>
      </c>
      <c r="Q4" s="361" t="s">
        <v>150</v>
      </c>
      <c r="R4" s="360" t="s">
        <v>312</v>
      </c>
      <c r="S4" s="360" t="s">
        <v>313</v>
      </c>
      <c r="T4" s="360" t="s">
        <v>56</v>
      </c>
      <c r="U4" s="360"/>
      <c r="V4" s="362"/>
      <c r="W4" s="363"/>
      <c r="X4" s="360" t="s">
        <v>314</v>
      </c>
      <c r="Y4" s="363"/>
    </row>
    <row r="5" spans="1:25" ht="192" hidden="1" x14ac:dyDescent="0.4">
      <c r="A5" s="351">
        <v>2</v>
      </c>
      <c r="B5" s="397" t="s">
        <v>304</v>
      </c>
      <c r="C5" s="364" t="s">
        <v>46</v>
      </c>
      <c r="D5" s="351" t="s">
        <v>305</v>
      </c>
      <c r="E5" s="351" t="s">
        <v>315</v>
      </c>
      <c r="F5" s="351" t="s">
        <v>49</v>
      </c>
      <c r="G5" s="351" t="s">
        <v>307</v>
      </c>
      <c r="H5" s="351" t="s">
        <v>308</v>
      </c>
      <c r="I5" s="351">
        <v>80</v>
      </c>
      <c r="J5" s="364"/>
      <c r="K5" s="351" t="s">
        <v>309</v>
      </c>
      <c r="L5" s="364"/>
      <c r="M5" s="378" t="s">
        <v>316</v>
      </c>
      <c r="N5" s="364"/>
      <c r="O5" s="364" t="s">
        <v>55</v>
      </c>
      <c r="P5" s="364" t="s">
        <v>55</v>
      </c>
      <c r="Q5" s="365" t="s">
        <v>150</v>
      </c>
      <c r="R5" s="364" t="s">
        <v>312</v>
      </c>
      <c r="S5" s="364" t="s">
        <v>313</v>
      </c>
      <c r="T5" s="364" t="s">
        <v>56</v>
      </c>
      <c r="U5" s="364"/>
      <c r="V5" s="366"/>
      <c r="W5" s="367"/>
      <c r="X5" s="368" t="s">
        <v>314</v>
      </c>
      <c r="Y5" s="367"/>
    </row>
    <row r="6" spans="1:25" ht="256" hidden="1" x14ac:dyDescent="0.4">
      <c r="A6" s="351">
        <v>3</v>
      </c>
      <c r="B6" s="397" t="s">
        <v>304</v>
      </c>
      <c r="C6" s="364" t="s">
        <v>46</v>
      </c>
      <c r="D6" s="353" t="s">
        <v>305</v>
      </c>
      <c r="E6" s="354" t="s">
        <v>317</v>
      </c>
      <c r="F6" s="351" t="s">
        <v>49</v>
      </c>
      <c r="G6" s="353" t="s">
        <v>307</v>
      </c>
      <c r="H6" s="353" t="s">
        <v>308</v>
      </c>
      <c r="I6" s="353">
        <v>149</v>
      </c>
      <c r="J6" s="364"/>
      <c r="K6" s="351" t="s">
        <v>309</v>
      </c>
      <c r="L6" s="364"/>
      <c r="M6" s="381" t="s">
        <v>318</v>
      </c>
      <c r="N6" s="351" t="s">
        <v>319</v>
      </c>
      <c r="O6" s="364" t="s">
        <v>55</v>
      </c>
      <c r="P6" s="364" t="s">
        <v>55</v>
      </c>
      <c r="Q6" s="365" t="s">
        <v>150</v>
      </c>
      <c r="R6" s="364" t="s">
        <v>312</v>
      </c>
      <c r="S6" s="364" t="s">
        <v>313</v>
      </c>
      <c r="T6" s="364" t="s">
        <v>56</v>
      </c>
      <c r="U6" s="364"/>
      <c r="V6" s="366"/>
      <c r="W6" s="369"/>
      <c r="X6" s="364" t="s">
        <v>314</v>
      </c>
      <c r="Y6" s="366"/>
    </row>
    <row r="7" spans="1:25" ht="35.15" hidden="1" customHeight="1" x14ac:dyDescent="0.4">
      <c r="A7" s="351">
        <v>4</v>
      </c>
      <c r="B7" s="397" t="s">
        <v>304</v>
      </c>
      <c r="C7" s="370" t="s">
        <v>46</v>
      </c>
      <c r="D7" s="351" t="s">
        <v>320</v>
      </c>
      <c r="E7" s="352" t="s">
        <v>321</v>
      </c>
      <c r="F7" s="355" t="s">
        <v>49</v>
      </c>
      <c r="G7" s="351" t="s">
        <v>322</v>
      </c>
      <c r="H7" s="356" t="s">
        <v>308</v>
      </c>
      <c r="I7" s="351">
        <v>83</v>
      </c>
      <c r="J7" s="362"/>
      <c r="K7" s="351" t="s">
        <v>309</v>
      </c>
      <c r="L7" s="371"/>
      <c r="M7" s="381" t="s">
        <v>323</v>
      </c>
      <c r="N7" s="379" t="s">
        <v>324</v>
      </c>
      <c r="O7" s="364" t="s">
        <v>55</v>
      </c>
      <c r="P7" s="364" t="s">
        <v>55</v>
      </c>
      <c r="Q7" s="364" t="s">
        <v>55</v>
      </c>
      <c r="R7" s="363"/>
      <c r="S7" s="364" t="s">
        <v>313</v>
      </c>
      <c r="T7" s="403" t="s">
        <v>56</v>
      </c>
      <c r="U7" s="363"/>
      <c r="V7" s="367"/>
      <c r="W7" s="369"/>
      <c r="X7" s="351" t="s">
        <v>325</v>
      </c>
      <c r="Y7" s="366"/>
    </row>
    <row r="8" spans="1:25" ht="64" hidden="1" x14ac:dyDescent="0.4">
      <c r="A8" s="351">
        <v>5</v>
      </c>
      <c r="B8" s="398" t="s">
        <v>304</v>
      </c>
      <c r="C8" s="372" t="s">
        <v>46</v>
      </c>
      <c r="D8" s="353" t="s">
        <v>320</v>
      </c>
      <c r="E8" s="354" t="s">
        <v>326</v>
      </c>
      <c r="F8" s="355" t="s">
        <v>49</v>
      </c>
      <c r="G8" s="351" t="s">
        <v>322</v>
      </c>
      <c r="H8" s="351" t="s">
        <v>308</v>
      </c>
      <c r="I8" s="351">
        <v>83</v>
      </c>
      <c r="J8" s="373"/>
      <c r="K8" s="351" t="s">
        <v>309</v>
      </c>
      <c r="L8" s="370"/>
      <c r="M8" s="381" t="s">
        <v>327</v>
      </c>
      <c r="N8" s="379" t="s">
        <v>324</v>
      </c>
      <c r="O8" s="364" t="s">
        <v>55</v>
      </c>
      <c r="P8" s="364" t="s">
        <v>55</v>
      </c>
      <c r="Q8" s="364" t="s">
        <v>55</v>
      </c>
      <c r="R8" s="367"/>
      <c r="S8" s="364" t="s">
        <v>313</v>
      </c>
      <c r="T8" s="404" t="s">
        <v>56</v>
      </c>
      <c r="U8" s="367"/>
      <c r="V8" s="367"/>
      <c r="W8" s="369"/>
      <c r="X8" s="351" t="s">
        <v>325</v>
      </c>
      <c r="Y8" s="366"/>
    </row>
    <row r="9" spans="1:25" ht="64" hidden="1" x14ac:dyDescent="0.4">
      <c r="A9" s="369">
        <v>6</v>
      </c>
      <c r="B9" s="398" t="s">
        <v>304</v>
      </c>
      <c r="C9" s="368" t="s">
        <v>46</v>
      </c>
      <c r="D9" s="353" t="s">
        <v>328</v>
      </c>
      <c r="E9" s="353" t="s">
        <v>329</v>
      </c>
      <c r="F9" s="357" t="s">
        <v>49</v>
      </c>
      <c r="G9" s="353" t="s">
        <v>322</v>
      </c>
      <c r="H9" s="353" t="s">
        <v>308</v>
      </c>
      <c r="I9" s="374">
        <v>27</v>
      </c>
      <c r="J9" s="375"/>
      <c r="K9" s="353" t="s">
        <v>309</v>
      </c>
      <c r="L9" s="376"/>
      <c r="M9" s="382" t="s">
        <v>327</v>
      </c>
      <c r="N9" s="379" t="s">
        <v>324</v>
      </c>
      <c r="O9" s="365" t="s">
        <v>330</v>
      </c>
      <c r="P9" s="364" t="s">
        <v>55</v>
      </c>
      <c r="Q9" s="364" t="s">
        <v>331</v>
      </c>
      <c r="R9" s="364" t="s">
        <v>332</v>
      </c>
      <c r="S9" s="364" t="s">
        <v>313</v>
      </c>
      <c r="T9" s="404" t="s">
        <v>56</v>
      </c>
      <c r="U9" s="367"/>
      <c r="V9" s="367"/>
      <c r="W9" s="367"/>
      <c r="X9" s="351" t="s">
        <v>325</v>
      </c>
      <c r="Y9" s="367"/>
    </row>
    <row r="10" spans="1:25" ht="32" hidden="1" x14ac:dyDescent="0.4">
      <c r="A10" s="369">
        <v>7</v>
      </c>
      <c r="B10" s="397" t="s">
        <v>304</v>
      </c>
      <c r="C10" s="364" t="s">
        <v>46</v>
      </c>
      <c r="D10" s="351" t="s">
        <v>328</v>
      </c>
      <c r="E10" s="351" t="s">
        <v>333</v>
      </c>
      <c r="F10" s="351" t="s">
        <v>49</v>
      </c>
      <c r="G10" s="351" t="s">
        <v>322</v>
      </c>
      <c r="H10" s="351" t="s">
        <v>308</v>
      </c>
      <c r="I10" s="364">
        <v>23</v>
      </c>
      <c r="J10" s="364"/>
      <c r="K10" s="351" t="s">
        <v>309</v>
      </c>
      <c r="L10" s="370"/>
      <c r="M10" s="383" t="s">
        <v>323</v>
      </c>
      <c r="N10" s="379" t="s">
        <v>324</v>
      </c>
      <c r="O10" s="365" t="s">
        <v>330</v>
      </c>
      <c r="P10" s="364" t="s">
        <v>55</v>
      </c>
      <c r="Q10" s="364" t="s">
        <v>331</v>
      </c>
      <c r="R10" s="364" t="s">
        <v>332</v>
      </c>
      <c r="S10" s="364" t="s">
        <v>313</v>
      </c>
      <c r="T10" s="404" t="s">
        <v>56</v>
      </c>
      <c r="U10" s="367"/>
      <c r="V10" s="367"/>
      <c r="W10" s="367"/>
      <c r="X10" s="351" t="s">
        <v>325</v>
      </c>
      <c r="Y10" s="367"/>
    </row>
    <row r="11" spans="1:25" ht="64" hidden="1" x14ac:dyDescent="0.4">
      <c r="A11" s="369">
        <v>8</v>
      </c>
      <c r="B11" s="398" t="s">
        <v>304</v>
      </c>
      <c r="C11" s="368" t="s">
        <v>46</v>
      </c>
      <c r="D11" s="353" t="s">
        <v>334</v>
      </c>
      <c r="E11" s="353" t="s">
        <v>335</v>
      </c>
      <c r="F11" s="351" t="s">
        <v>49</v>
      </c>
      <c r="G11" s="351" t="s">
        <v>322</v>
      </c>
      <c r="H11" s="351" t="s">
        <v>308</v>
      </c>
      <c r="I11" s="364">
        <v>227</v>
      </c>
      <c r="J11" s="364"/>
      <c r="K11" s="351" t="s">
        <v>309</v>
      </c>
      <c r="L11" s="370"/>
      <c r="M11" s="383" t="s">
        <v>327</v>
      </c>
      <c r="N11" s="379" t="s">
        <v>324</v>
      </c>
      <c r="O11" s="365" t="s">
        <v>330</v>
      </c>
      <c r="P11" s="364" t="s">
        <v>55</v>
      </c>
      <c r="Q11" s="364" t="s">
        <v>331</v>
      </c>
      <c r="R11" s="364" t="s">
        <v>332</v>
      </c>
      <c r="S11" s="364" t="s">
        <v>313</v>
      </c>
      <c r="T11" s="404" t="s">
        <v>56</v>
      </c>
      <c r="U11" s="367"/>
      <c r="V11" s="367"/>
      <c r="W11" s="367"/>
      <c r="X11" s="351" t="s">
        <v>325</v>
      </c>
      <c r="Y11" s="367"/>
    </row>
    <row r="12" spans="1:25" ht="32" hidden="1" x14ac:dyDescent="0.4">
      <c r="A12" s="369">
        <v>9</v>
      </c>
      <c r="B12" s="397" t="s">
        <v>304</v>
      </c>
      <c r="C12" s="364" t="s">
        <v>46</v>
      </c>
      <c r="D12" s="351" t="s">
        <v>334</v>
      </c>
      <c r="E12" s="351" t="s">
        <v>336</v>
      </c>
      <c r="F12" s="358" t="s">
        <v>49</v>
      </c>
      <c r="G12" s="351" t="s">
        <v>322</v>
      </c>
      <c r="H12" s="351" t="s">
        <v>308</v>
      </c>
      <c r="I12" s="364">
        <v>27</v>
      </c>
      <c r="J12" s="364"/>
      <c r="K12" s="351" t="s">
        <v>309</v>
      </c>
      <c r="L12" s="364"/>
      <c r="M12" s="384" t="s">
        <v>323</v>
      </c>
      <c r="N12" s="379" t="s">
        <v>324</v>
      </c>
      <c r="O12" s="365" t="s">
        <v>330</v>
      </c>
      <c r="P12" s="364" t="s">
        <v>55</v>
      </c>
      <c r="Q12" s="364" t="s">
        <v>331</v>
      </c>
      <c r="R12" s="364" t="s">
        <v>332</v>
      </c>
      <c r="S12" s="364" t="s">
        <v>313</v>
      </c>
      <c r="T12" s="404" t="s">
        <v>56</v>
      </c>
      <c r="U12" s="367"/>
      <c r="V12" s="367"/>
      <c r="W12" s="367"/>
      <c r="X12" s="351" t="s">
        <v>325</v>
      </c>
      <c r="Y12" s="367"/>
    </row>
    <row r="13" spans="1:25" ht="112" hidden="1" x14ac:dyDescent="0.4">
      <c r="A13" s="369">
        <v>10</v>
      </c>
      <c r="B13" s="397" t="s">
        <v>304</v>
      </c>
      <c r="C13" s="364" t="s">
        <v>46</v>
      </c>
      <c r="D13" s="351" t="s">
        <v>337</v>
      </c>
      <c r="E13" s="351" t="s">
        <v>338</v>
      </c>
      <c r="F13" s="358" t="s">
        <v>49</v>
      </c>
      <c r="G13" s="351" t="s">
        <v>322</v>
      </c>
      <c r="H13" s="351" t="s">
        <v>308</v>
      </c>
      <c r="I13" s="360">
        <v>25</v>
      </c>
      <c r="J13" s="360"/>
      <c r="K13" s="351" t="s">
        <v>309</v>
      </c>
      <c r="L13" s="371"/>
      <c r="M13" s="385" t="s">
        <v>339</v>
      </c>
      <c r="N13" s="379" t="s">
        <v>324</v>
      </c>
      <c r="O13" s="365" t="s">
        <v>330</v>
      </c>
      <c r="P13" s="364" t="s">
        <v>55</v>
      </c>
      <c r="Q13" s="364" t="s">
        <v>331</v>
      </c>
      <c r="R13" s="364" t="s">
        <v>332</v>
      </c>
      <c r="S13" s="364" t="s">
        <v>313</v>
      </c>
      <c r="T13" s="404" t="s">
        <v>56</v>
      </c>
      <c r="U13" s="367"/>
      <c r="V13" s="367"/>
      <c r="W13" s="367"/>
      <c r="X13" s="351" t="s">
        <v>325</v>
      </c>
      <c r="Y13" s="367"/>
    </row>
    <row r="14" spans="1:25" ht="92.5" hidden="1" customHeight="1" x14ac:dyDescent="0.4">
      <c r="A14" s="376">
        <v>11</v>
      </c>
      <c r="B14" s="398" t="s">
        <v>304</v>
      </c>
      <c r="C14" s="368" t="s">
        <v>46</v>
      </c>
      <c r="D14" s="353" t="s">
        <v>337</v>
      </c>
      <c r="E14" s="353" t="s">
        <v>340</v>
      </c>
      <c r="F14" s="359" t="s">
        <v>49</v>
      </c>
      <c r="G14" s="353" t="s">
        <v>322</v>
      </c>
      <c r="H14" s="353" t="s">
        <v>308</v>
      </c>
      <c r="I14" s="368">
        <v>29</v>
      </c>
      <c r="J14" s="368"/>
      <c r="K14" s="353" t="s">
        <v>309</v>
      </c>
      <c r="L14" s="376"/>
      <c r="M14" s="381" t="s">
        <v>341</v>
      </c>
      <c r="N14" s="379" t="s">
        <v>324</v>
      </c>
      <c r="O14" s="365" t="s">
        <v>330</v>
      </c>
      <c r="P14" s="364" t="s">
        <v>55</v>
      </c>
      <c r="Q14" s="364" t="s">
        <v>331</v>
      </c>
      <c r="R14" s="364" t="s">
        <v>332</v>
      </c>
      <c r="S14" s="364" t="s">
        <v>313</v>
      </c>
      <c r="T14" s="404" t="s">
        <v>56</v>
      </c>
      <c r="U14" s="367"/>
      <c r="V14" s="367"/>
      <c r="W14" s="367"/>
      <c r="X14" s="351" t="s">
        <v>325</v>
      </c>
      <c r="Y14" s="367"/>
    </row>
    <row r="15" spans="1:25" ht="409.5" customHeight="1" x14ac:dyDescent="0.4">
      <c r="A15" s="364">
        <v>12</v>
      </c>
      <c r="B15" s="398" t="s">
        <v>304</v>
      </c>
      <c r="C15" s="368" t="s">
        <v>67</v>
      </c>
      <c r="D15" s="354" t="s">
        <v>342</v>
      </c>
      <c r="E15" s="353" t="s">
        <v>343</v>
      </c>
      <c r="F15" s="353" t="s">
        <v>49</v>
      </c>
      <c r="G15" s="353" t="s">
        <v>344</v>
      </c>
      <c r="H15" s="353" t="s">
        <v>345</v>
      </c>
      <c r="I15" s="368" t="s">
        <v>154</v>
      </c>
      <c r="J15" s="368"/>
      <c r="K15" s="353" t="s">
        <v>53</v>
      </c>
      <c r="L15" s="353">
        <v>2</v>
      </c>
      <c r="M15" s="381" t="s">
        <v>346</v>
      </c>
      <c r="N15" s="391" t="s">
        <v>347</v>
      </c>
      <c r="O15" s="392" t="s">
        <v>330</v>
      </c>
      <c r="P15" s="392" t="s">
        <v>330</v>
      </c>
      <c r="Q15" s="392" t="s">
        <v>330</v>
      </c>
      <c r="R15" s="393" t="s">
        <v>348</v>
      </c>
      <c r="S15" s="368" t="s">
        <v>313</v>
      </c>
      <c r="T15" s="368" t="s">
        <v>349</v>
      </c>
      <c r="U15" s="407" t="s">
        <v>350</v>
      </c>
      <c r="V15" s="375" t="s">
        <v>351</v>
      </c>
      <c r="W15" s="375"/>
      <c r="X15" s="368" t="s">
        <v>352</v>
      </c>
      <c r="Y15" s="375"/>
    </row>
    <row r="16" spans="1:25" ht="245.5" hidden="1" customHeight="1" x14ac:dyDescent="0.35">
      <c r="A16" s="372">
        <v>13</v>
      </c>
      <c r="B16" s="398" t="s">
        <v>353</v>
      </c>
      <c r="C16" s="368" t="s">
        <v>46</v>
      </c>
      <c r="D16" s="354" t="s">
        <v>354</v>
      </c>
      <c r="E16" s="354" t="s">
        <v>246</v>
      </c>
      <c r="F16" s="353" t="s">
        <v>49</v>
      </c>
      <c r="G16" s="353" t="s">
        <v>344</v>
      </c>
      <c r="H16" s="230" t="s">
        <v>71</v>
      </c>
      <c r="I16" s="268" t="s">
        <v>154</v>
      </c>
      <c r="J16" s="268"/>
      <c r="K16" s="230" t="s">
        <v>74</v>
      </c>
      <c r="L16" s="268"/>
      <c r="M16" s="269" t="s">
        <v>355</v>
      </c>
      <c r="N16" s="268"/>
      <c r="O16" s="392" t="s">
        <v>330</v>
      </c>
      <c r="P16" s="392" t="s">
        <v>331</v>
      </c>
      <c r="Q16" s="392" t="s">
        <v>331</v>
      </c>
      <c r="R16" s="171" t="s">
        <v>356</v>
      </c>
      <c r="S16" s="368" t="s">
        <v>357</v>
      </c>
      <c r="T16" s="368" t="s">
        <v>56</v>
      </c>
      <c r="U16" s="171" t="s">
        <v>358</v>
      </c>
      <c r="V16" s="268"/>
      <c r="W16" s="268"/>
      <c r="X16" s="368" t="s">
        <v>352</v>
      </c>
      <c r="Y16" s="268"/>
    </row>
    <row r="17" spans="1:25" x14ac:dyDescent="0.35">
      <c r="A17" s="394"/>
      <c r="B17" s="245"/>
      <c r="C17" s="394"/>
      <c r="D17" s="394"/>
      <c r="E17" s="394"/>
      <c r="F17" s="394"/>
      <c r="G17" s="394"/>
      <c r="H17" s="394"/>
      <c r="I17" s="394"/>
      <c r="J17" s="394"/>
      <c r="K17" s="394"/>
      <c r="L17" s="394"/>
      <c r="M17" s="395"/>
      <c r="N17" s="394"/>
      <c r="O17" s="394"/>
      <c r="P17" s="394"/>
      <c r="Q17" s="394"/>
      <c r="R17" s="394"/>
      <c r="S17" s="394"/>
      <c r="T17" s="405"/>
      <c r="U17" s="394"/>
      <c r="V17" s="394"/>
      <c r="W17" s="394"/>
      <c r="X17" s="394"/>
      <c r="Y17" s="394"/>
    </row>
    <row r="18" spans="1:25" x14ac:dyDescent="0.35">
      <c r="A18" s="394"/>
      <c r="B18" s="245"/>
      <c r="C18" s="394"/>
      <c r="D18" s="394"/>
      <c r="E18" s="394"/>
      <c r="F18" s="394"/>
      <c r="G18" s="394"/>
      <c r="H18" s="394"/>
      <c r="I18" s="394"/>
      <c r="J18" s="394"/>
      <c r="K18" s="394"/>
      <c r="L18" s="394"/>
      <c r="M18" s="395"/>
      <c r="N18" s="394"/>
      <c r="O18" s="394"/>
      <c r="P18" s="394"/>
      <c r="Q18" s="394"/>
      <c r="R18" s="394"/>
      <c r="S18" s="394"/>
      <c r="T18" s="405"/>
      <c r="U18" s="394"/>
      <c r="V18" s="394"/>
      <c r="W18" s="394"/>
      <c r="X18" s="394"/>
      <c r="Y18" s="394"/>
    </row>
    <row r="19" spans="1:25" x14ac:dyDescent="0.35">
      <c r="A19" s="394"/>
      <c r="B19" s="245"/>
      <c r="C19" s="394"/>
      <c r="D19" s="394"/>
      <c r="E19" s="394"/>
      <c r="F19" s="394"/>
      <c r="G19" s="394"/>
      <c r="H19" s="394"/>
      <c r="I19" s="394"/>
      <c r="J19" s="394"/>
      <c r="K19" s="394"/>
      <c r="L19" s="394"/>
      <c r="M19" s="395"/>
      <c r="N19" s="394"/>
      <c r="O19" s="394"/>
      <c r="P19" s="394"/>
      <c r="Q19" s="394"/>
      <c r="R19" s="394"/>
      <c r="S19" s="394"/>
      <c r="T19" s="405"/>
      <c r="U19" s="394"/>
      <c r="V19" s="394"/>
      <c r="W19" s="394"/>
      <c r="X19" s="394"/>
      <c r="Y19" s="394"/>
    </row>
    <row r="20" spans="1:25" x14ac:dyDescent="0.35">
      <c r="A20" s="394"/>
      <c r="B20" s="245"/>
      <c r="C20" s="394"/>
      <c r="D20" s="394"/>
      <c r="E20" s="394"/>
      <c r="F20" s="394"/>
      <c r="G20" s="394"/>
      <c r="H20" s="394"/>
      <c r="I20" s="394"/>
      <c r="J20" s="394"/>
      <c r="K20" s="394"/>
      <c r="L20" s="394"/>
      <c r="M20" s="395"/>
      <c r="N20" s="394"/>
      <c r="O20" s="394"/>
      <c r="P20" s="394"/>
      <c r="Q20" s="394"/>
      <c r="R20" s="394"/>
      <c r="S20" s="394"/>
      <c r="T20" s="405"/>
      <c r="U20" s="394"/>
      <c r="V20" s="394"/>
      <c r="W20" s="394"/>
      <c r="X20" s="394"/>
      <c r="Y20" s="394"/>
    </row>
    <row r="21" spans="1:25" x14ac:dyDescent="0.35">
      <c r="A21" s="394"/>
      <c r="B21" s="245"/>
      <c r="C21" s="394"/>
      <c r="D21" s="394"/>
      <c r="E21" s="394"/>
      <c r="F21" s="394"/>
      <c r="G21" s="394"/>
      <c r="H21" s="394"/>
      <c r="I21" s="394"/>
      <c r="J21" s="394"/>
      <c r="K21" s="394"/>
      <c r="L21" s="394"/>
      <c r="M21" s="395"/>
      <c r="N21" s="394"/>
      <c r="O21" s="394"/>
      <c r="P21" s="394"/>
      <c r="Q21" s="394"/>
      <c r="R21" s="394"/>
      <c r="S21" s="394"/>
      <c r="T21" s="405"/>
      <c r="U21" s="394"/>
      <c r="V21" s="394"/>
      <c r="W21" s="394"/>
      <c r="X21" s="394"/>
      <c r="Y21" s="394"/>
    </row>
    <row r="22" spans="1:25" x14ac:dyDescent="0.35">
      <c r="A22" s="394"/>
      <c r="B22" s="245"/>
      <c r="C22" s="394"/>
      <c r="D22" s="394"/>
      <c r="E22" s="394"/>
      <c r="F22" s="394"/>
      <c r="G22" s="394"/>
      <c r="H22" s="394"/>
      <c r="I22" s="394"/>
      <c r="J22" s="394"/>
      <c r="K22" s="394"/>
      <c r="L22" s="394"/>
      <c r="M22" s="395"/>
      <c r="N22" s="394"/>
      <c r="O22" s="394"/>
      <c r="P22" s="394"/>
      <c r="Q22" s="394"/>
      <c r="R22" s="394"/>
      <c r="S22" s="394"/>
      <c r="T22" s="405"/>
      <c r="U22" s="394"/>
      <c r="V22" s="394"/>
      <c r="W22" s="394"/>
      <c r="X22" s="394"/>
      <c r="Y22" s="394"/>
    </row>
    <row r="23" spans="1:25" x14ac:dyDescent="0.35">
      <c r="A23" s="394"/>
      <c r="B23" s="245"/>
      <c r="C23" s="394"/>
      <c r="D23" s="394"/>
      <c r="E23" s="394"/>
      <c r="F23" s="394"/>
      <c r="G23" s="394"/>
      <c r="H23" s="394"/>
      <c r="I23" s="394"/>
      <c r="J23" s="394"/>
      <c r="K23" s="394"/>
      <c r="L23" s="394"/>
      <c r="M23" s="395"/>
      <c r="N23" s="394"/>
      <c r="O23" s="394"/>
      <c r="P23" s="394"/>
      <c r="Q23" s="394"/>
      <c r="R23" s="394"/>
      <c r="S23" s="394"/>
      <c r="T23" s="405"/>
      <c r="U23" s="394"/>
      <c r="V23" s="394"/>
      <c r="W23" s="394"/>
      <c r="X23" s="394"/>
      <c r="Y23" s="394"/>
    </row>
    <row r="24" spans="1:25" x14ac:dyDescent="0.35">
      <c r="A24" s="394"/>
      <c r="B24" s="245"/>
      <c r="C24" s="394"/>
      <c r="D24" s="394"/>
      <c r="E24" s="394"/>
      <c r="F24" s="394"/>
      <c r="G24" s="394"/>
      <c r="H24" s="394"/>
      <c r="I24" s="394"/>
      <c r="J24" s="394"/>
      <c r="K24" s="394"/>
      <c r="L24" s="394"/>
      <c r="M24" s="395"/>
      <c r="N24" s="394"/>
      <c r="O24" s="394"/>
      <c r="P24" s="394"/>
      <c r="Q24" s="394"/>
      <c r="R24" s="394"/>
      <c r="S24" s="394"/>
      <c r="T24" s="405"/>
      <c r="U24" s="394"/>
      <c r="V24" s="394"/>
      <c r="W24" s="394"/>
      <c r="X24" s="394"/>
      <c r="Y24" s="394"/>
    </row>
    <row r="25" spans="1:25" x14ac:dyDescent="0.35">
      <c r="A25" s="394"/>
      <c r="B25" s="245"/>
      <c r="C25" s="394"/>
      <c r="D25" s="394"/>
      <c r="E25" s="394"/>
      <c r="F25" s="394"/>
      <c r="G25" s="394"/>
      <c r="H25" s="394"/>
      <c r="I25" s="394"/>
      <c r="J25" s="394"/>
      <c r="K25" s="394"/>
      <c r="L25" s="394"/>
      <c r="M25" s="395"/>
      <c r="N25" s="394"/>
      <c r="O25" s="394"/>
      <c r="P25" s="394"/>
      <c r="Q25" s="394"/>
      <c r="R25" s="394"/>
      <c r="S25" s="394"/>
      <c r="T25" s="405"/>
      <c r="U25" s="394"/>
      <c r="V25" s="394"/>
      <c r="W25" s="394"/>
      <c r="X25" s="394"/>
      <c r="Y25" s="394"/>
    </row>
  </sheetData>
  <mergeCells count="2">
    <mergeCell ref="A1:Y1"/>
    <mergeCell ref="A2:Y2"/>
  </mergeCells>
  <conditionalFormatting sqref="T4:T16">
    <cfRule type="cellIs" dxfId="142" priority="1" operator="equal">
      <formula>"Approved"</formula>
    </cfRule>
    <cfRule type="cellIs" dxfId="141" priority="2" operator="equal">
      <formula>"Revision Needed"</formula>
    </cfRule>
    <cfRule type="cellIs" dxfId="140" priority="3" operator="equal">
      <formula>"Rejected"</formula>
    </cfRule>
  </conditionalFormatting>
  <dataValidations count="1">
    <dataValidation type="list" allowBlank="1" showInputMessage="1" showErrorMessage="1" promptTitle="CEO Decision" prompt="Select Approved, Revision Needed, or Rejected" sqref="T4:T16" xr:uid="{B6A90A6E-98A0-43D9-898B-3F6C5934653A}">
      <formula1>"Approved,Revision Needed,Rejected"</formula1>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28DB-B9A8-49EA-A333-88B725288241}">
  <sheetPr>
    <tabColor theme="3" tint="0.59999389629810485"/>
  </sheetPr>
  <dimension ref="A1:AF359"/>
  <sheetViews>
    <sheetView showGridLines="0" topLeftCell="B1" zoomScale="70" zoomScaleNormal="50" workbookViewId="0">
      <selection activeCell="V9" sqref="V9"/>
    </sheetView>
  </sheetViews>
  <sheetFormatPr defaultColWidth="8.54296875" defaultRowHeight="14.5" x14ac:dyDescent="0.35"/>
  <cols>
    <col min="1" max="1" width="4.54296875" style="2" bestFit="1" customWidth="1"/>
    <col min="2" max="3" width="12" style="14" customWidth="1"/>
    <col min="4" max="4" width="27.81640625" style="2" bestFit="1" customWidth="1"/>
    <col min="5" max="5" width="21.453125" style="345" customWidth="1"/>
    <col min="6" max="6" width="15.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2.81640625" style="2" customWidth="1"/>
    <col min="13" max="13" width="36" style="416" customWidth="1"/>
    <col min="14" max="14" width="38" style="143" customWidth="1"/>
    <col min="15" max="15" width="12.81640625" style="76" customWidth="1"/>
    <col min="16" max="16" width="10.81640625" style="76" customWidth="1"/>
    <col min="17" max="17" width="13.1796875" style="76" customWidth="1"/>
    <col min="18" max="18" width="39.1796875" style="76" customWidth="1"/>
    <col min="19" max="19" width="20.54296875" style="2" customWidth="1"/>
    <col min="20" max="20" width="47.81640625" style="17" customWidth="1"/>
    <col min="21" max="21" width="52.81640625" style="236" customWidth="1"/>
    <col min="22" max="22" width="76.54296875" style="17" customWidth="1"/>
    <col min="23" max="23" width="20.54296875" style="1" customWidth="1"/>
    <col min="24" max="24" width="8.54296875" style="1"/>
    <col min="25" max="25" width="39.453125" style="1" customWidth="1"/>
    <col min="26" max="16384" width="8.54296875" style="1"/>
  </cols>
  <sheetData>
    <row r="1" spans="1:32" ht="16.5" x14ac:dyDescent="0.35">
      <c r="A1" s="529" t="s">
        <v>297</v>
      </c>
      <c r="B1" s="529"/>
      <c r="C1" s="529"/>
      <c r="D1" s="529"/>
      <c r="E1" s="529"/>
      <c r="F1" s="529"/>
      <c r="G1" s="529"/>
      <c r="H1" s="529"/>
      <c r="I1" s="529"/>
      <c r="J1" s="529"/>
      <c r="K1" s="529"/>
      <c r="L1" s="529"/>
      <c r="M1" s="529"/>
      <c r="N1" s="529"/>
      <c r="O1" s="529"/>
      <c r="P1" s="529"/>
      <c r="Q1" s="529"/>
      <c r="R1" s="529"/>
      <c r="S1" s="529"/>
      <c r="T1" s="529"/>
      <c r="U1" s="529"/>
      <c r="V1" s="529"/>
      <c r="W1" s="529"/>
      <c r="X1" s="529"/>
      <c r="Y1" s="529"/>
      <c r="Z1" s="299"/>
      <c r="AA1" s="299"/>
      <c r="AB1" s="299"/>
      <c r="AC1" s="299"/>
      <c r="AD1" s="299"/>
      <c r="AE1" s="299"/>
      <c r="AF1" s="299"/>
    </row>
    <row r="2" spans="1:32" ht="42" x14ac:dyDescent="0.35">
      <c r="A2" s="300" t="s">
        <v>9</v>
      </c>
      <c r="B2" s="300" t="s">
        <v>10</v>
      </c>
      <c r="C2" s="300" t="s">
        <v>11</v>
      </c>
      <c r="D2" s="300" t="s">
        <v>12</v>
      </c>
      <c r="E2" s="300" t="s">
        <v>13</v>
      </c>
      <c r="F2" s="300" t="s">
        <v>14</v>
      </c>
      <c r="G2" s="300" t="s">
        <v>228</v>
      </c>
      <c r="H2" s="300" t="s">
        <v>15</v>
      </c>
      <c r="I2" s="300" t="s">
        <v>16</v>
      </c>
      <c r="J2" s="300" t="s">
        <v>17</v>
      </c>
      <c r="K2" s="300" t="s">
        <v>18</v>
      </c>
      <c r="L2" s="300" t="s">
        <v>19</v>
      </c>
      <c r="M2" s="300" t="s">
        <v>20</v>
      </c>
      <c r="N2" s="300" t="s">
        <v>21</v>
      </c>
      <c r="O2" s="300" t="s">
        <v>22</v>
      </c>
      <c r="P2" s="300" t="s">
        <v>23</v>
      </c>
      <c r="Q2" s="300" t="s">
        <v>24</v>
      </c>
      <c r="R2" s="300" t="s">
        <v>25</v>
      </c>
      <c r="S2" s="300" t="s">
        <v>299</v>
      </c>
      <c r="T2" s="300" t="s">
        <v>359</v>
      </c>
      <c r="U2" s="300" t="s">
        <v>303</v>
      </c>
      <c r="V2" s="300" t="s">
        <v>302</v>
      </c>
      <c r="W2" s="300" t="s">
        <v>360</v>
      </c>
      <c r="X2" s="300" t="s">
        <v>29</v>
      </c>
      <c r="Y2" s="300" t="s">
        <v>30</v>
      </c>
      <c r="Z2" s="299"/>
      <c r="AA2" s="299"/>
      <c r="AB2" s="299"/>
      <c r="AC2" s="299"/>
      <c r="AD2" s="299"/>
      <c r="AE2" s="299"/>
      <c r="AF2" s="299"/>
    </row>
    <row r="3" spans="1:32" ht="92.15" customHeight="1" x14ac:dyDescent="0.35">
      <c r="A3" s="310">
        <v>1</v>
      </c>
      <c r="B3" s="306" t="s">
        <v>361</v>
      </c>
      <c r="C3" s="306" t="s">
        <v>67</v>
      </c>
      <c r="D3" s="343" t="s">
        <v>362</v>
      </c>
      <c r="E3" s="343" t="s">
        <v>363</v>
      </c>
      <c r="F3" s="311" t="s">
        <v>364</v>
      </c>
      <c r="G3" s="311" t="s">
        <v>365</v>
      </c>
      <c r="H3" s="311" t="s">
        <v>345</v>
      </c>
      <c r="I3" s="311" t="s">
        <v>52</v>
      </c>
      <c r="J3" s="311" t="s">
        <v>52</v>
      </c>
      <c r="K3" s="311" t="s">
        <v>309</v>
      </c>
      <c r="L3" s="312" t="s">
        <v>52</v>
      </c>
      <c r="M3" s="408" t="s">
        <v>366</v>
      </c>
      <c r="N3" s="314" t="s">
        <v>52</v>
      </c>
      <c r="O3" s="315"/>
      <c r="P3" s="315"/>
      <c r="Q3" s="315"/>
      <c r="R3" s="316"/>
      <c r="S3" s="317"/>
      <c r="T3" s="318" t="s">
        <v>201</v>
      </c>
      <c r="U3" s="347" t="s">
        <v>367</v>
      </c>
      <c r="V3" s="320" t="s">
        <v>368</v>
      </c>
      <c r="W3" s="320" t="s">
        <v>369</v>
      </c>
      <c r="X3" s="400" t="s">
        <v>352</v>
      </c>
      <c r="Y3" s="400"/>
      <c r="Z3" s="299"/>
      <c r="AA3" s="299"/>
      <c r="AB3" s="299"/>
      <c r="AC3" s="299"/>
      <c r="AD3" s="299"/>
      <c r="AE3" s="299"/>
      <c r="AF3" s="299"/>
    </row>
    <row r="4" spans="1:32" s="4" customFormat="1" ht="72.5" hidden="1" x14ac:dyDescent="0.4">
      <c r="A4" s="310">
        <v>2</v>
      </c>
      <c r="B4" s="321" t="s">
        <v>361</v>
      </c>
      <c r="C4" s="320" t="s">
        <v>46</v>
      </c>
      <c r="D4" s="330" t="s">
        <v>370</v>
      </c>
      <c r="E4" s="330" t="s">
        <v>371</v>
      </c>
      <c r="F4" s="319" t="s">
        <v>364</v>
      </c>
      <c r="G4" s="322" t="s">
        <v>365</v>
      </c>
      <c r="H4" s="322" t="s">
        <v>345</v>
      </c>
      <c r="I4" s="321" t="s">
        <v>52</v>
      </c>
      <c r="J4" s="321" t="s">
        <v>52</v>
      </c>
      <c r="K4" s="322" t="s">
        <v>309</v>
      </c>
      <c r="L4" s="321" t="s">
        <v>52</v>
      </c>
      <c r="M4" s="408" t="s">
        <v>372</v>
      </c>
      <c r="N4" s="323" t="s">
        <v>373</v>
      </c>
      <c r="O4" s="530" t="s">
        <v>150</v>
      </c>
      <c r="P4" s="531" t="s">
        <v>55</v>
      </c>
      <c r="Q4" s="531" t="s">
        <v>55</v>
      </c>
      <c r="R4" s="532" t="s">
        <v>374</v>
      </c>
      <c r="S4" s="533" t="s">
        <v>375</v>
      </c>
      <c r="T4" s="324" t="s">
        <v>291</v>
      </c>
      <c r="U4" s="348" t="s">
        <v>376</v>
      </c>
      <c r="V4" s="315"/>
      <c r="W4" s="320" t="s">
        <v>369</v>
      </c>
      <c r="X4" s="401" t="s">
        <v>314</v>
      </c>
      <c r="Y4" s="401" t="s">
        <v>377</v>
      </c>
      <c r="Z4" s="299"/>
      <c r="AA4" s="299"/>
      <c r="AB4" s="299"/>
      <c r="AC4" s="299"/>
      <c r="AD4" s="299"/>
      <c r="AE4" s="299"/>
      <c r="AF4" s="299"/>
    </row>
    <row r="5" spans="1:32" ht="116" hidden="1" x14ac:dyDescent="0.35">
      <c r="A5" s="310">
        <v>3</v>
      </c>
      <c r="B5" s="321" t="s">
        <v>361</v>
      </c>
      <c r="C5" s="320" t="s">
        <v>46</v>
      </c>
      <c r="D5" s="330" t="s">
        <v>370</v>
      </c>
      <c r="E5" s="330" t="s">
        <v>378</v>
      </c>
      <c r="F5" s="319" t="s">
        <v>364</v>
      </c>
      <c r="G5" s="322" t="s">
        <v>379</v>
      </c>
      <c r="H5" s="322" t="s">
        <v>345</v>
      </c>
      <c r="I5" s="321" t="s">
        <v>52</v>
      </c>
      <c r="J5" s="321" t="s">
        <v>52</v>
      </c>
      <c r="K5" s="322" t="s">
        <v>309</v>
      </c>
      <c r="L5" s="321" t="s">
        <v>52</v>
      </c>
      <c r="M5" s="408" t="s">
        <v>380</v>
      </c>
      <c r="N5" s="314" t="s">
        <v>52</v>
      </c>
      <c r="O5" s="530"/>
      <c r="P5" s="531"/>
      <c r="Q5" s="531"/>
      <c r="R5" s="532"/>
      <c r="S5" s="531"/>
      <c r="T5" s="318" t="s">
        <v>291</v>
      </c>
      <c r="U5" s="349" t="s">
        <v>381</v>
      </c>
      <c r="V5" s="320"/>
      <c r="W5" s="320" t="s">
        <v>369</v>
      </c>
      <c r="X5" s="401" t="s">
        <v>314</v>
      </c>
      <c r="Y5" s="400" t="s">
        <v>382</v>
      </c>
      <c r="Z5" s="299"/>
      <c r="AA5" s="299"/>
      <c r="AB5" s="299"/>
      <c r="AC5" s="299"/>
      <c r="AD5" s="299"/>
      <c r="AE5" s="299"/>
      <c r="AF5" s="299"/>
    </row>
    <row r="6" spans="1:32" s="5" customFormat="1" ht="155" hidden="1" x14ac:dyDescent="0.35">
      <c r="A6" s="326">
        <v>4</v>
      </c>
      <c r="B6" s="320" t="s">
        <v>361</v>
      </c>
      <c r="C6" s="320" t="s">
        <v>46</v>
      </c>
      <c r="D6" s="330" t="s">
        <v>383</v>
      </c>
      <c r="E6" s="330" t="s">
        <v>384</v>
      </c>
      <c r="F6" s="322" t="s">
        <v>49</v>
      </c>
      <c r="G6" s="322" t="s">
        <v>307</v>
      </c>
      <c r="H6" s="322" t="s">
        <v>345</v>
      </c>
      <c r="I6" s="322">
        <v>17</v>
      </c>
      <c r="J6" s="322">
        <v>10</v>
      </c>
      <c r="K6" s="322" t="s">
        <v>309</v>
      </c>
      <c r="L6" s="322">
        <v>3</v>
      </c>
      <c r="M6" s="409" t="s">
        <v>385</v>
      </c>
      <c r="N6" s="331" t="s">
        <v>52</v>
      </c>
      <c r="O6" s="534" t="s">
        <v>55</v>
      </c>
      <c r="P6" s="534" t="s">
        <v>55</v>
      </c>
      <c r="Q6" s="538" t="s">
        <v>55</v>
      </c>
      <c r="R6" s="533" t="s">
        <v>52</v>
      </c>
      <c r="S6" s="541" t="s">
        <v>375</v>
      </c>
      <c r="T6" s="333" t="s">
        <v>291</v>
      </c>
      <c r="U6" s="347" t="s">
        <v>386</v>
      </c>
      <c r="V6" s="320"/>
      <c r="W6" s="320" t="s">
        <v>369</v>
      </c>
      <c r="X6" s="401" t="s">
        <v>314</v>
      </c>
      <c r="Y6" s="400" t="s">
        <v>387</v>
      </c>
      <c r="Z6" s="299"/>
      <c r="AA6" s="299"/>
      <c r="AB6" s="299"/>
      <c r="AC6" s="299"/>
      <c r="AD6" s="299"/>
      <c r="AE6" s="299"/>
      <c r="AF6" s="299"/>
    </row>
    <row r="7" spans="1:32" s="5" customFormat="1" ht="201.5" hidden="1" x14ac:dyDescent="0.35">
      <c r="A7" s="326">
        <v>5</v>
      </c>
      <c r="B7" s="320" t="s">
        <v>361</v>
      </c>
      <c r="C7" s="320" t="s">
        <v>46</v>
      </c>
      <c r="D7" s="330" t="s">
        <v>383</v>
      </c>
      <c r="E7" s="330" t="s">
        <v>388</v>
      </c>
      <c r="F7" s="322" t="s">
        <v>49</v>
      </c>
      <c r="G7" s="322" t="s">
        <v>307</v>
      </c>
      <c r="H7" s="322" t="s">
        <v>345</v>
      </c>
      <c r="I7" s="322">
        <v>28</v>
      </c>
      <c r="J7" s="322">
        <v>22</v>
      </c>
      <c r="K7" s="322" t="s">
        <v>309</v>
      </c>
      <c r="L7" s="312" t="s">
        <v>52</v>
      </c>
      <c r="M7" s="409" t="s">
        <v>389</v>
      </c>
      <c r="N7" s="331" t="s">
        <v>52</v>
      </c>
      <c r="O7" s="535"/>
      <c r="P7" s="535"/>
      <c r="Q7" s="539"/>
      <c r="R7" s="531"/>
      <c r="S7" s="542"/>
      <c r="T7" s="333" t="s">
        <v>291</v>
      </c>
      <c r="U7" s="347" t="s">
        <v>386</v>
      </c>
      <c r="V7" s="320"/>
      <c r="W7" s="320" t="s">
        <v>369</v>
      </c>
      <c r="X7" s="401" t="s">
        <v>314</v>
      </c>
      <c r="Y7" s="400" t="s">
        <v>387</v>
      </c>
      <c r="Z7" s="299"/>
      <c r="AA7" s="299"/>
      <c r="AB7" s="299"/>
      <c r="AC7" s="299"/>
      <c r="AD7" s="299"/>
      <c r="AE7" s="299"/>
      <c r="AF7" s="299"/>
    </row>
    <row r="8" spans="1:32" s="5" customFormat="1" ht="155" hidden="1" x14ac:dyDescent="0.35">
      <c r="A8" s="326">
        <v>6</v>
      </c>
      <c r="B8" s="306" t="s">
        <v>361</v>
      </c>
      <c r="C8" s="306" t="s">
        <v>46</v>
      </c>
      <c r="D8" s="334" t="s">
        <v>383</v>
      </c>
      <c r="E8" s="334" t="s">
        <v>390</v>
      </c>
      <c r="F8" s="328" t="s">
        <v>49</v>
      </c>
      <c r="G8" s="328" t="s">
        <v>307</v>
      </c>
      <c r="H8" s="328" t="s">
        <v>345</v>
      </c>
      <c r="I8" s="328">
        <v>46</v>
      </c>
      <c r="J8" s="328">
        <v>32</v>
      </c>
      <c r="K8" s="328" t="s">
        <v>309</v>
      </c>
      <c r="L8" s="312" t="s">
        <v>52</v>
      </c>
      <c r="M8" s="410" t="s">
        <v>385</v>
      </c>
      <c r="N8" s="331" t="s">
        <v>52</v>
      </c>
      <c r="O8" s="536"/>
      <c r="P8" s="536"/>
      <c r="Q8" s="540"/>
      <c r="R8" s="531"/>
      <c r="S8" s="542"/>
      <c r="T8" s="333" t="s">
        <v>291</v>
      </c>
      <c r="U8" s="347" t="s">
        <v>386</v>
      </c>
      <c r="V8" s="320"/>
      <c r="W8" s="320" t="s">
        <v>369</v>
      </c>
      <c r="X8" s="401" t="s">
        <v>314</v>
      </c>
      <c r="Y8" s="400" t="s">
        <v>387</v>
      </c>
      <c r="Z8" s="299"/>
      <c r="AA8" s="299"/>
      <c r="AB8" s="299"/>
      <c r="AC8" s="299"/>
      <c r="AD8" s="299"/>
      <c r="AE8" s="299"/>
      <c r="AF8" s="299"/>
    </row>
    <row r="9" spans="1:32" s="5" customFormat="1" ht="139.5" x14ac:dyDescent="0.35">
      <c r="A9" s="326">
        <v>7</v>
      </c>
      <c r="B9" s="320" t="s">
        <v>361</v>
      </c>
      <c r="C9" s="320" t="s">
        <v>46</v>
      </c>
      <c r="D9" s="322" t="s">
        <v>391</v>
      </c>
      <c r="E9" s="330" t="s">
        <v>392</v>
      </c>
      <c r="F9" s="322" t="s">
        <v>49</v>
      </c>
      <c r="G9" s="322" t="s">
        <v>344</v>
      </c>
      <c r="H9" s="322" t="s">
        <v>345</v>
      </c>
      <c r="I9" s="322">
        <v>250</v>
      </c>
      <c r="J9" s="322" t="s">
        <v>52</v>
      </c>
      <c r="K9" s="322" t="s">
        <v>309</v>
      </c>
      <c r="L9" s="335" t="s">
        <v>52</v>
      </c>
      <c r="M9" s="409" t="s">
        <v>393</v>
      </c>
      <c r="N9" s="331" t="s">
        <v>52</v>
      </c>
      <c r="O9" s="306" t="s">
        <v>55</v>
      </c>
      <c r="P9" s="306" t="s">
        <v>55</v>
      </c>
      <c r="Q9" s="306" t="s">
        <v>55</v>
      </c>
      <c r="R9" s="308" t="s">
        <v>52</v>
      </c>
      <c r="S9" s="332" t="s">
        <v>375</v>
      </c>
      <c r="T9" s="333" t="s">
        <v>201</v>
      </c>
      <c r="U9" s="349" t="s">
        <v>394</v>
      </c>
      <c r="V9" s="320"/>
      <c r="W9" s="320" t="s">
        <v>369</v>
      </c>
      <c r="X9" s="401" t="s">
        <v>314</v>
      </c>
      <c r="Y9" s="400"/>
      <c r="Z9" s="299"/>
      <c r="AA9" s="299"/>
      <c r="AB9" s="299"/>
      <c r="AC9" s="299"/>
      <c r="AD9" s="299"/>
      <c r="AE9" s="299"/>
      <c r="AF9" s="299"/>
    </row>
    <row r="10" spans="1:32" s="5" customFormat="1" ht="16" x14ac:dyDescent="0.35">
      <c r="A10" s="390"/>
      <c r="B10" s="342"/>
      <c r="C10" s="315"/>
      <c r="D10" s="315"/>
      <c r="E10" s="315"/>
      <c r="F10" s="315"/>
      <c r="G10" s="315"/>
      <c r="H10" s="315"/>
      <c r="I10" s="315"/>
      <c r="J10" s="315"/>
      <c r="K10" s="316"/>
      <c r="L10" s="320"/>
      <c r="M10" s="411"/>
      <c r="N10" s="320"/>
      <c r="O10" s="320"/>
      <c r="P10" s="320"/>
      <c r="Q10" s="320"/>
      <c r="R10" s="320"/>
      <c r="S10" s="338"/>
      <c r="T10" s="320"/>
      <c r="U10" s="319"/>
      <c r="V10" s="320"/>
      <c r="W10" s="320"/>
      <c r="X10" s="320"/>
      <c r="Y10" s="320"/>
      <c r="Z10" s="299"/>
      <c r="AA10" s="299"/>
      <c r="AB10" s="299"/>
      <c r="AC10" s="299"/>
      <c r="AD10" s="299"/>
      <c r="AE10" s="299"/>
      <c r="AF10" s="299"/>
    </row>
    <row r="11" spans="1:32" s="5" customFormat="1" ht="16" x14ac:dyDescent="0.35">
      <c r="A11" s="315"/>
      <c r="B11" s="320"/>
      <c r="C11" s="320"/>
      <c r="D11" s="320"/>
      <c r="E11" s="320"/>
      <c r="F11" s="320"/>
      <c r="G11" s="320"/>
      <c r="H11" s="320"/>
      <c r="I11" s="320"/>
      <c r="J11" s="320"/>
      <c r="K11" s="320"/>
      <c r="L11" s="315"/>
      <c r="M11" s="412"/>
      <c r="N11" s="320"/>
      <c r="O11" s="320"/>
      <c r="P11" s="320"/>
      <c r="Q11" s="320"/>
      <c r="R11" s="320"/>
      <c r="S11" s="338"/>
      <c r="T11" s="320"/>
      <c r="U11" s="319"/>
      <c r="V11" s="320"/>
      <c r="W11" s="320"/>
      <c r="X11" s="320"/>
      <c r="Y11" s="320"/>
      <c r="Z11" s="299"/>
      <c r="AA11" s="299"/>
      <c r="AB11" s="299"/>
      <c r="AC11" s="299"/>
      <c r="AD11" s="299"/>
      <c r="AE11" s="299"/>
      <c r="AF11" s="299"/>
    </row>
    <row r="12" spans="1:32" s="5" customFormat="1" ht="16" x14ac:dyDescent="0.35">
      <c r="A12" s="320"/>
      <c r="B12" s="320"/>
      <c r="C12" s="320"/>
      <c r="D12" s="320"/>
      <c r="E12" s="320"/>
      <c r="F12" s="320"/>
      <c r="G12" s="320"/>
      <c r="H12" s="320"/>
      <c r="I12" s="320"/>
      <c r="J12" s="320"/>
      <c r="K12" s="320"/>
      <c r="L12" s="320"/>
      <c r="M12" s="412"/>
      <c r="N12" s="320"/>
      <c r="O12" s="320"/>
      <c r="P12" s="320"/>
      <c r="Q12" s="320"/>
      <c r="R12" s="320"/>
      <c r="S12" s="338"/>
      <c r="T12" s="320"/>
      <c r="U12" s="319"/>
      <c r="V12" s="320"/>
      <c r="W12" s="320"/>
      <c r="X12" s="320"/>
      <c r="Y12" s="320"/>
      <c r="Z12" s="299"/>
      <c r="AA12" s="299"/>
      <c r="AB12" s="299"/>
      <c r="AC12" s="299"/>
      <c r="AD12" s="299"/>
      <c r="AE12" s="299"/>
      <c r="AF12" s="299"/>
    </row>
    <row r="13" spans="1:32" s="5" customFormat="1" ht="16" x14ac:dyDescent="0.35">
      <c r="A13" s="320"/>
      <c r="B13" s="320"/>
      <c r="C13" s="320"/>
      <c r="D13" s="320"/>
      <c r="E13" s="320"/>
      <c r="F13" s="320"/>
      <c r="G13" s="320"/>
      <c r="H13" s="320"/>
      <c r="I13" s="320"/>
      <c r="J13" s="320"/>
      <c r="K13" s="320"/>
      <c r="L13" s="320"/>
      <c r="M13" s="412"/>
      <c r="N13" s="320"/>
      <c r="O13" s="320"/>
      <c r="P13" s="320"/>
      <c r="Q13" s="320"/>
      <c r="R13" s="320"/>
      <c r="S13" s="338"/>
      <c r="T13" s="320"/>
      <c r="U13" s="319"/>
      <c r="V13" s="320"/>
      <c r="W13" s="320"/>
      <c r="X13" s="320"/>
      <c r="Y13" s="320"/>
      <c r="Z13" s="299"/>
      <c r="AA13" s="299"/>
      <c r="AB13" s="299"/>
      <c r="AC13" s="299"/>
      <c r="AD13" s="299"/>
      <c r="AE13" s="299"/>
      <c r="AF13" s="299"/>
    </row>
    <row r="14" spans="1:32" s="5" customFormat="1" ht="16" x14ac:dyDescent="0.35">
      <c r="A14" s="320"/>
      <c r="B14" s="320"/>
      <c r="C14" s="320"/>
      <c r="D14" s="320"/>
      <c r="E14" s="320"/>
      <c r="F14" s="320"/>
      <c r="G14" s="320"/>
      <c r="H14" s="320"/>
      <c r="I14" s="320"/>
      <c r="J14" s="320"/>
      <c r="K14" s="320"/>
      <c r="L14" s="320"/>
      <c r="M14" s="412"/>
      <c r="N14" s="320"/>
      <c r="O14" s="320"/>
      <c r="P14" s="320"/>
      <c r="Q14" s="320"/>
      <c r="R14" s="320"/>
      <c r="S14" s="338"/>
      <c r="T14" s="320"/>
      <c r="U14" s="319"/>
      <c r="V14" s="320"/>
      <c r="W14" s="320"/>
      <c r="X14" s="320"/>
      <c r="Y14" s="320"/>
      <c r="Z14" s="299"/>
      <c r="AA14" s="299"/>
      <c r="AB14" s="299"/>
      <c r="AC14" s="299"/>
      <c r="AD14" s="299"/>
      <c r="AE14" s="299"/>
      <c r="AF14" s="299"/>
    </row>
    <row r="15" spans="1:32" s="5" customFormat="1" ht="16" x14ac:dyDescent="0.35">
      <c r="A15" s="320"/>
      <c r="B15" s="320"/>
      <c r="C15" s="320"/>
      <c r="D15" s="320"/>
      <c r="E15" s="320"/>
      <c r="F15" s="320"/>
      <c r="G15" s="320"/>
      <c r="H15" s="320"/>
      <c r="I15" s="320"/>
      <c r="J15" s="320"/>
      <c r="K15" s="320"/>
      <c r="L15" s="320"/>
      <c r="M15" s="412"/>
      <c r="N15" s="320"/>
      <c r="O15" s="320"/>
      <c r="P15" s="320"/>
      <c r="Q15" s="320"/>
      <c r="R15" s="320"/>
      <c r="S15" s="338"/>
      <c r="T15" s="320"/>
      <c r="U15" s="319"/>
      <c r="V15" s="320"/>
      <c r="W15" s="320"/>
      <c r="X15" s="320"/>
      <c r="Y15" s="320"/>
      <c r="Z15" s="299"/>
      <c r="AA15" s="299"/>
      <c r="AB15" s="299"/>
      <c r="AC15" s="299"/>
      <c r="AD15" s="299"/>
      <c r="AE15" s="299"/>
      <c r="AF15" s="299"/>
    </row>
    <row r="16" spans="1:32" s="5" customFormat="1" ht="16" x14ac:dyDescent="0.35">
      <c r="A16" s="320"/>
      <c r="B16" s="320"/>
      <c r="C16" s="320"/>
      <c r="D16" s="320"/>
      <c r="E16" s="320"/>
      <c r="F16" s="320"/>
      <c r="G16" s="320"/>
      <c r="H16" s="320"/>
      <c r="I16" s="320"/>
      <c r="J16" s="320"/>
      <c r="K16" s="320"/>
      <c r="L16" s="320"/>
      <c r="M16" s="412"/>
      <c r="N16" s="320"/>
      <c r="O16" s="320"/>
      <c r="P16" s="320"/>
      <c r="Q16" s="320"/>
      <c r="R16" s="320"/>
      <c r="S16" s="338"/>
      <c r="T16" s="320"/>
      <c r="U16" s="319"/>
      <c r="V16" s="320"/>
      <c r="W16" s="320"/>
      <c r="X16" s="320"/>
      <c r="Y16" s="320"/>
      <c r="Z16" s="299"/>
      <c r="AA16" s="299"/>
      <c r="AB16" s="299"/>
      <c r="AC16" s="299"/>
      <c r="AD16" s="299"/>
      <c r="AE16" s="299"/>
      <c r="AF16" s="299"/>
    </row>
    <row r="17" spans="1:32" s="5" customFormat="1" ht="16" x14ac:dyDescent="0.35">
      <c r="A17" s="320"/>
      <c r="B17" s="320"/>
      <c r="C17" s="320"/>
      <c r="D17" s="320"/>
      <c r="E17" s="320"/>
      <c r="F17" s="320"/>
      <c r="G17" s="320"/>
      <c r="H17" s="320"/>
      <c r="I17" s="320"/>
      <c r="J17" s="320"/>
      <c r="K17" s="320"/>
      <c r="L17" s="320"/>
      <c r="M17" s="412"/>
      <c r="N17" s="320"/>
      <c r="O17" s="320"/>
      <c r="P17" s="320"/>
      <c r="Q17" s="320"/>
      <c r="R17" s="320"/>
      <c r="S17" s="338"/>
      <c r="T17" s="320"/>
      <c r="U17" s="319"/>
      <c r="V17" s="320"/>
      <c r="W17" s="320"/>
      <c r="X17" s="320"/>
      <c r="Y17" s="320"/>
      <c r="Z17" s="299"/>
      <c r="AA17" s="299"/>
      <c r="AB17" s="299"/>
      <c r="AC17" s="299"/>
      <c r="AD17" s="299"/>
      <c r="AE17" s="299"/>
      <c r="AF17" s="299"/>
    </row>
    <row r="18" spans="1:32" s="3" customFormat="1" x14ac:dyDescent="0.35">
      <c r="A18" s="320"/>
      <c r="B18" s="320"/>
      <c r="C18" s="320"/>
      <c r="D18" s="320"/>
      <c r="E18" s="320"/>
      <c r="F18" s="320"/>
      <c r="G18" s="320"/>
      <c r="H18" s="320"/>
      <c r="I18" s="320"/>
      <c r="J18" s="320"/>
      <c r="K18" s="320"/>
      <c r="L18" s="320"/>
      <c r="M18" s="412"/>
      <c r="N18" s="320"/>
      <c r="O18" s="320"/>
      <c r="P18" s="320"/>
      <c r="Q18" s="320"/>
      <c r="R18" s="320"/>
      <c r="S18" s="338"/>
      <c r="T18" s="320"/>
      <c r="U18" s="319"/>
      <c r="V18" s="320"/>
      <c r="W18" s="320"/>
      <c r="X18" s="320"/>
      <c r="Y18" s="320"/>
      <c r="Z18" s="299"/>
      <c r="AA18" s="299"/>
      <c r="AB18" s="299"/>
      <c r="AC18" s="299"/>
      <c r="AD18" s="299"/>
      <c r="AE18" s="299"/>
      <c r="AF18" s="299"/>
    </row>
    <row r="19" spans="1:32" s="3" customFormat="1" x14ac:dyDescent="0.35">
      <c r="A19" s="320"/>
      <c r="B19" s="320"/>
      <c r="C19" s="320"/>
      <c r="D19" s="320"/>
      <c r="E19" s="320"/>
      <c r="F19" s="320"/>
      <c r="G19" s="320"/>
      <c r="H19" s="320"/>
      <c r="I19" s="320"/>
      <c r="J19" s="320"/>
      <c r="K19" s="320"/>
      <c r="L19" s="320"/>
      <c r="M19" s="412"/>
      <c r="N19" s="320"/>
      <c r="O19" s="320"/>
      <c r="P19" s="320"/>
      <c r="Q19" s="320"/>
      <c r="R19" s="320"/>
      <c r="S19" s="338"/>
      <c r="T19" s="320"/>
      <c r="U19" s="319"/>
      <c r="V19" s="320"/>
      <c r="W19" s="320"/>
      <c r="X19" s="320"/>
      <c r="Y19" s="320"/>
      <c r="Z19" s="299"/>
      <c r="AA19" s="299"/>
      <c r="AB19" s="299"/>
      <c r="AC19" s="299"/>
      <c r="AD19" s="299"/>
      <c r="AE19" s="299"/>
      <c r="AF19" s="299"/>
    </row>
    <row r="20" spans="1:32" s="3" customFormat="1" x14ac:dyDescent="0.35">
      <c r="A20" s="320"/>
      <c r="B20" s="320"/>
      <c r="C20" s="320"/>
      <c r="D20" s="320"/>
      <c r="E20" s="320"/>
      <c r="F20" s="320"/>
      <c r="G20" s="320"/>
      <c r="H20" s="320"/>
      <c r="I20" s="320"/>
      <c r="J20" s="320"/>
      <c r="K20" s="320"/>
      <c r="L20" s="320"/>
      <c r="M20" s="412"/>
      <c r="N20" s="320"/>
      <c r="O20" s="320"/>
      <c r="P20" s="320"/>
      <c r="Q20" s="320"/>
      <c r="R20" s="320"/>
      <c r="S20" s="338"/>
      <c r="T20" s="320"/>
      <c r="U20" s="319"/>
      <c r="V20" s="320"/>
      <c r="W20" s="320"/>
      <c r="X20" s="320"/>
      <c r="Y20" s="320"/>
      <c r="Z20" s="299"/>
      <c r="AA20" s="299"/>
      <c r="AB20" s="299"/>
      <c r="AC20" s="299"/>
      <c r="AD20" s="299"/>
      <c r="AE20" s="299"/>
      <c r="AF20" s="299"/>
    </row>
    <row r="21" spans="1:32" s="3" customFormat="1" x14ac:dyDescent="0.35">
      <c r="A21" s="320"/>
      <c r="B21" s="320"/>
      <c r="C21" s="320"/>
      <c r="D21" s="320"/>
      <c r="E21" s="320"/>
      <c r="F21" s="320"/>
      <c r="G21" s="320"/>
      <c r="H21" s="320"/>
      <c r="I21" s="320"/>
      <c r="J21" s="320"/>
      <c r="K21" s="320"/>
      <c r="L21" s="320"/>
      <c r="M21" s="412"/>
      <c r="N21" s="320"/>
      <c r="O21" s="320"/>
      <c r="P21" s="320"/>
      <c r="Q21" s="320"/>
      <c r="R21" s="320"/>
      <c r="S21" s="338"/>
      <c r="T21" s="320"/>
      <c r="U21" s="319"/>
      <c r="V21" s="320"/>
      <c r="W21" s="320"/>
      <c r="X21" s="320"/>
      <c r="Y21" s="320"/>
      <c r="Z21" s="299"/>
      <c r="AA21" s="299"/>
      <c r="AB21" s="299"/>
      <c r="AC21" s="299"/>
      <c r="AD21" s="299"/>
      <c r="AE21" s="299"/>
      <c r="AF21" s="299"/>
    </row>
    <row r="22" spans="1:32" s="3" customFormat="1" x14ac:dyDescent="0.35">
      <c r="A22" s="320"/>
      <c r="B22" s="320"/>
      <c r="C22" s="320"/>
      <c r="D22" s="320"/>
      <c r="E22" s="320"/>
      <c r="F22" s="320"/>
      <c r="G22" s="320"/>
      <c r="H22" s="320"/>
      <c r="I22" s="320"/>
      <c r="J22" s="320"/>
      <c r="K22" s="320"/>
      <c r="L22" s="320"/>
      <c r="M22" s="412"/>
      <c r="N22" s="320"/>
      <c r="O22" s="320"/>
      <c r="P22" s="320"/>
      <c r="Q22" s="320"/>
      <c r="R22" s="320"/>
      <c r="S22" s="338"/>
      <c r="T22" s="320"/>
      <c r="U22" s="319"/>
      <c r="V22" s="320"/>
      <c r="W22" s="320"/>
      <c r="X22" s="320"/>
      <c r="Y22" s="320"/>
      <c r="Z22" s="299"/>
      <c r="AA22" s="299"/>
      <c r="AB22" s="299"/>
      <c r="AC22" s="299"/>
      <c r="AD22" s="299"/>
      <c r="AE22" s="299"/>
      <c r="AF22" s="299"/>
    </row>
    <row r="23" spans="1:32" s="3" customFormat="1" x14ac:dyDescent="0.35">
      <c r="A23" s="320"/>
      <c r="B23" s="320"/>
      <c r="C23" s="320"/>
      <c r="D23" s="320"/>
      <c r="E23" s="320"/>
      <c r="F23" s="320"/>
      <c r="G23" s="320"/>
      <c r="H23" s="320"/>
      <c r="I23" s="320"/>
      <c r="J23" s="320"/>
      <c r="K23" s="320"/>
      <c r="L23" s="320"/>
      <c r="M23" s="412"/>
      <c r="N23" s="320"/>
      <c r="O23" s="320"/>
      <c r="P23" s="320"/>
      <c r="Q23" s="320"/>
      <c r="R23" s="320"/>
      <c r="S23" s="338"/>
      <c r="T23" s="320"/>
      <c r="U23" s="319"/>
      <c r="V23" s="320"/>
      <c r="W23" s="320"/>
      <c r="X23" s="320"/>
      <c r="Y23" s="320"/>
      <c r="Z23" s="299"/>
      <c r="AA23" s="299"/>
      <c r="AB23" s="299"/>
      <c r="AC23" s="299"/>
      <c r="AD23" s="299"/>
      <c r="AE23" s="299"/>
      <c r="AF23" s="299"/>
    </row>
    <row r="24" spans="1:32" s="3" customFormat="1" x14ac:dyDescent="0.35">
      <c r="A24" s="320"/>
      <c r="B24" s="320"/>
      <c r="C24" s="320"/>
      <c r="D24" s="320"/>
      <c r="E24" s="320"/>
      <c r="F24" s="320"/>
      <c r="G24" s="320"/>
      <c r="H24" s="320"/>
      <c r="I24" s="320"/>
      <c r="J24" s="320"/>
      <c r="K24" s="320"/>
      <c r="L24" s="320"/>
      <c r="M24" s="412"/>
      <c r="N24" s="320"/>
      <c r="O24" s="320"/>
      <c r="P24" s="320"/>
      <c r="Q24" s="320"/>
      <c r="R24" s="320"/>
      <c r="S24" s="338"/>
      <c r="T24" s="320"/>
      <c r="U24" s="319"/>
      <c r="V24" s="320"/>
      <c r="W24" s="320"/>
      <c r="X24" s="320"/>
      <c r="Y24" s="320"/>
      <c r="Z24" s="299"/>
      <c r="AA24" s="299"/>
      <c r="AB24" s="299"/>
      <c r="AC24" s="299"/>
      <c r="AD24" s="299"/>
      <c r="AE24" s="299"/>
      <c r="AF24" s="299"/>
    </row>
    <row r="25" spans="1:32" s="3" customFormat="1" x14ac:dyDescent="0.35">
      <c r="A25" s="320"/>
      <c r="B25" s="320"/>
      <c r="C25" s="320"/>
      <c r="D25" s="320"/>
      <c r="E25" s="320"/>
      <c r="F25" s="320"/>
      <c r="G25" s="320"/>
      <c r="H25" s="320"/>
      <c r="I25" s="320"/>
      <c r="J25" s="320"/>
      <c r="K25" s="320"/>
      <c r="L25" s="320"/>
      <c r="M25" s="412"/>
      <c r="N25" s="320"/>
      <c r="O25" s="320"/>
      <c r="P25" s="320"/>
      <c r="Q25" s="320"/>
      <c r="R25" s="320"/>
      <c r="S25" s="338"/>
      <c r="T25" s="320"/>
      <c r="U25" s="319"/>
      <c r="V25" s="320"/>
      <c r="W25" s="320"/>
      <c r="X25" s="320"/>
      <c r="Y25" s="320"/>
      <c r="Z25" s="299"/>
      <c r="AA25" s="299"/>
      <c r="AB25" s="299"/>
      <c r="AC25" s="299"/>
      <c r="AD25" s="299"/>
      <c r="AE25" s="299"/>
      <c r="AF25" s="299"/>
    </row>
    <row r="26" spans="1:32" s="3" customFormat="1" x14ac:dyDescent="0.35">
      <c r="A26" s="320"/>
      <c r="B26" s="320"/>
      <c r="C26" s="320"/>
      <c r="D26" s="320"/>
      <c r="E26" s="320"/>
      <c r="F26" s="320"/>
      <c r="G26" s="320"/>
      <c r="H26" s="320"/>
      <c r="I26" s="320"/>
      <c r="J26" s="320"/>
      <c r="K26" s="320"/>
      <c r="L26" s="320"/>
      <c r="M26" s="412"/>
      <c r="N26" s="320"/>
      <c r="O26" s="320"/>
      <c r="P26" s="320"/>
      <c r="Q26" s="320"/>
      <c r="R26" s="320"/>
      <c r="S26" s="338"/>
      <c r="T26" s="320"/>
      <c r="U26" s="319"/>
      <c r="V26" s="320"/>
      <c r="W26" s="320"/>
      <c r="X26" s="320"/>
      <c r="Y26" s="320"/>
      <c r="Z26" s="299"/>
      <c r="AA26" s="299"/>
      <c r="AB26" s="299"/>
      <c r="AC26" s="299"/>
      <c r="AD26" s="299"/>
      <c r="AE26" s="299"/>
      <c r="AF26" s="299"/>
    </row>
    <row r="27" spans="1:32" x14ac:dyDescent="0.35">
      <c r="A27" s="320"/>
      <c r="B27" s="320"/>
      <c r="C27" s="320"/>
      <c r="D27" s="320"/>
      <c r="E27" s="320"/>
      <c r="F27" s="320"/>
      <c r="G27" s="320"/>
      <c r="H27" s="320"/>
      <c r="I27" s="320"/>
      <c r="J27" s="320"/>
      <c r="K27" s="320"/>
      <c r="L27" s="320"/>
      <c r="M27" s="412"/>
      <c r="N27" s="320"/>
      <c r="O27" s="320"/>
      <c r="P27" s="320"/>
      <c r="Q27" s="320"/>
      <c r="R27" s="320"/>
      <c r="S27" s="338"/>
      <c r="T27" s="320"/>
      <c r="U27" s="319"/>
      <c r="V27" s="320"/>
      <c r="W27" s="320"/>
      <c r="X27" s="320"/>
      <c r="Y27" s="320"/>
      <c r="Z27" s="299"/>
      <c r="AA27" s="299"/>
      <c r="AB27" s="299"/>
      <c r="AC27" s="299"/>
      <c r="AD27" s="299"/>
      <c r="AE27" s="299"/>
      <c r="AF27" s="299"/>
    </row>
    <row r="28" spans="1:32" x14ac:dyDescent="0.35">
      <c r="A28" s="320"/>
      <c r="B28" s="320"/>
      <c r="C28" s="320"/>
      <c r="D28" s="320"/>
      <c r="E28" s="320"/>
      <c r="F28" s="320"/>
      <c r="G28" s="320"/>
      <c r="H28" s="320"/>
      <c r="I28" s="320"/>
      <c r="J28" s="320"/>
      <c r="K28" s="320"/>
      <c r="L28" s="320"/>
      <c r="M28" s="412"/>
      <c r="N28" s="320"/>
      <c r="O28" s="320"/>
      <c r="P28" s="320"/>
      <c r="Q28" s="320"/>
      <c r="R28" s="320"/>
      <c r="S28" s="338"/>
      <c r="T28" s="320"/>
      <c r="U28" s="319"/>
      <c r="V28" s="320"/>
      <c r="W28" s="320"/>
      <c r="X28" s="320"/>
      <c r="Y28" s="320"/>
      <c r="Z28" s="299"/>
      <c r="AA28" s="299"/>
      <c r="AB28" s="299"/>
      <c r="AC28" s="299"/>
      <c r="AD28" s="299"/>
      <c r="AE28" s="299"/>
      <c r="AF28" s="299"/>
    </row>
    <row r="29" spans="1:32" x14ac:dyDescent="0.35">
      <c r="A29" s="320"/>
      <c r="B29" s="320"/>
      <c r="C29" s="320"/>
      <c r="D29" s="320"/>
      <c r="E29" s="320"/>
      <c r="F29" s="320"/>
      <c r="G29" s="320"/>
      <c r="H29" s="320"/>
      <c r="I29" s="320"/>
      <c r="J29" s="320"/>
      <c r="K29" s="320"/>
      <c r="L29" s="320"/>
      <c r="M29" s="412"/>
      <c r="N29" s="320"/>
      <c r="O29" s="320"/>
      <c r="P29" s="320"/>
      <c r="Q29" s="320"/>
      <c r="R29" s="320"/>
      <c r="S29" s="338"/>
      <c r="T29" s="320"/>
      <c r="U29" s="319"/>
      <c r="V29" s="320"/>
      <c r="W29" s="320"/>
      <c r="X29" s="320"/>
      <c r="Y29" s="320"/>
      <c r="Z29" s="299"/>
      <c r="AA29" s="299"/>
      <c r="AB29" s="299"/>
      <c r="AC29" s="299"/>
      <c r="AD29" s="299"/>
      <c r="AE29" s="299"/>
      <c r="AF29" s="299"/>
    </row>
    <row r="30" spans="1:32" x14ac:dyDescent="0.35">
      <c r="A30" s="320"/>
      <c r="B30" s="320"/>
      <c r="C30" s="320"/>
      <c r="D30" s="320"/>
      <c r="E30" s="320"/>
      <c r="F30" s="320"/>
      <c r="G30" s="320"/>
      <c r="H30" s="320"/>
      <c r="I30" s="320"/>
      <c r="J30" s="320"/>
      <c r="K30" s="320"/>
      <c r="L30" s="320"/>
      <c r="M30" s="412"/>
      <c r="N30" s="320"/>
      <c r="O30" s="320"/>
      <c r="P30" s="320"/>
      <c r="Q30" s="320"/>
      <c r="R30" s="320"/>
      <c r="S30" s="338"/>
      <c r="T30" s="320"/>
      <c r="U30" s="319"/>
      <c r="V30" s="320"/>
      <c r="W30" s="320"/>
      <c r="X30" s="320"/>
      <c r="Y30" s="320"/>
      <c r="Z30" s="299"/>
      <c r="AA30" s="299"/>
      <c r="AB30" s="299"/>
      <c r="AC30" s="299"/>
      <c r="AD30" s="299"/>
      <c r="AE30" s="299"/>
      <c r="AF30" s="299"/>
    </row>
    <row r="31" spans="1:32" x14ac:dyDescent="0.35">
      <c r="A31" s="320"/>
      <c r="B31" s="320"/>
      <c r="C31" s="320"/>
      <c r="D31" s="320"/>
      <c r="E31" s="320"/>
      <c r="F31" s="320"/>
      <c r="G31" s="320"/>
      <c r="H31" s="320"/>
      <c r="I31" s="320"/>
      <c r="J31" s="320"/>
      <c r="K31" s="320"/>
      <c r="L31" s="320"/>
      <c r="M31" s="412"/>
      <c r="N31" s="320"/>
      <c r="O31" s="320"/>
      <c r="P31" s="320"/>
      <c r="Q31" s="320"/>
      <c r="R31" s="320"/>
      <c r="S31" s="338"/>
      <c r="T31" s="320"/>
      <c r="U31" s="319"/>
      <c r="V31" s="320"/>
      <c r="W31" s="320"/>
      <c r="X31" s="320"/>
      <c r="Y31" s="320"/>
      <c r="Z31" s="299"/>
      <c r="AA31" s="299"/>
      <c r="AB31" s="299"/>
      <c r="AC31" s="299"/>
      <c r="AD31" s="299"/>
      <c r="AE31" s="299"/>
      <c r="AF31" s="299"/>
    </row>
    <row r="32" spans="1:32" x14ac:dyDescent="0.35">
      <c r="A32" s="320"/>
      <c r="B32" s="320"/>
      <c r="C32" s="320"/>
      <c r="D32" s="320"/>
      <c r="E32" s="320"/>
      <c r="F32" s="320"/>
      <c r="G32" s="320"/>
      <c r="H32" s="320"/>
      <c r="I32" s="320"/>
      <c r="J32" s="320"/>
      <c r="K32" s="320"/>
      <c r="L32" s="320"/>
      <c r="M32" s="412"/>
      <c r="N32" s="320"/>
      <c r="O32" s="320"/>
      <c r="P32" s="320"/>
      <c r="Q32" s="320"/>
      <c r="R32" s="320"/>
      <c r="S32" s="338"/>
      <c r="T32" s="320"/>
      <c r="U32" s="319"/>
      <c r="V32" s="320"/>
      <c r="W32" s="320"/>
      <c r="X32" s="320"/>
      <c r="Y32" s="320"/>
      <c r="Z32" s="299"/>
      <c r="AA32" s="299"/>
      <c r="AB32" s="299"/>
      <c r="AC32" s="299"/>
      <c r="AD32" s="299"/>
      <c r="AE32" s="299"/>
      <c r="AF32" s="299"/>
    </row>
    <row r="33" spans="1:32" x14ac:dyDescent="0.35">
      <c r="A33" s="320"/>
      <c r="B33" s="320"/>
      <c r="C33" s="320"/>
      <c r="D33" s="320"/>
      <c r="E33" s="320"/>
      <c r="F33" s="320"/>
      <c r="G33" s="320"/>
      <c r="H33" s="320"/>
      <c r="I33" s="320"/>
      <c r="J33" s="320"/>
      <c r="K33" s="320"/>
      <c r="L33" s="320"/>
      <c r="M33" s="412"/>
      <c r="N33" s="320"/>
      <c r="O33" s="320"/>
      <c r="P33" s="320"/>
      <c r="Q33" s="320"/>
      <c r="R33" s="320"/>
      <c r="S33" s="338"/>
      <c r="T33" s="320"/>
      <c r="U33" s="319"/>
      <c r="V33" s="320"/>
      <c r="W33" s="320"/>
      <c r="X33" s="320"/>
      <c r="Y33" s="320"/>
      <c r="Z33" s="299"/>
      <c r="AA33" s="299"/>
      <c r="AB33" s="299"/>
      <c r="AC33" s="299"/>
      <c r="AD33" s="299"/>
      <c r="AE33" s="299"/>
      <c r="AF33" s="299"/>
    </row>
    <row r="34" spans="1:32" x14ac:dyDescent="0.35">
      <c r="A34" s="320"/>
      <c r="B34" s="320"/>
      <c r="C34" s="320"/>
      <c r="D34" s="320"/>
      <c r="E34" s="320"/>
      <c r="F34" s="320"/>
      <c r="G34" s="320"/>
      <c r="H34" s="320"/>
      <c r="I34" s="320"/>
      <c r="J34" s="320"/>
      <c r="K34" s="320"/>
      <c r="L34" s="320"/>
      <c r="M34" s="412"/>
      <c r="N34" s="320"/>
      <c r="O34" s="320"/>
      <c r="P34" s="320"/>
      <c r="Q34" s="320"/>
      <c r="R34" s="320"/>
      <c r="S34" s="338"/>
      <c r="T34" s="320"/>
      <c r="U34" s="319"/>
      <c r="V34" s="320"/>
      <c r="W34" s="320"/>
      <c r="X34" s="320"/>
      <c r="Y34" s="320"/>
      <c r="Z34" s="299"/>
      <c r="AA34" s="299"/>
      <c r="AB34" s="299"/>
      <c r="AC34" s="299"/>
      <c r="AD34" s="299"/>
      <c r="AE34" s="299"/>
      <c r="AF34" s="299"/>
    </row>
    <row r="35" spans="1:32" x14ac:dyDescent="0.35">
      <c r="A35" s="320"/>
      <c r="B35" s="320"/>
      <c r="C35" s="320"/>
      <c r="D35" s="320"/>
      <c r="E35" s="320"/>
      <c r="F35" s="320"/>
      <c r="G35" s="320"/>
      <c r="H35" s="320"/>
      <c r="I35" s="320"/>
      <c r="J35" s="320"/>
      <c r="K35" s="320"/>
      <c r="L35" s="320"/>
      <c r="M35" s="412"/>
      <c r="N35" s="320"/>
      <c r="O35" s="320"/>
      <c r="P35" s="320"/>
      <c r="Q35" s="320"/>
      <c r="R35" s="320"/>
      <c r="S35" s="338"/>
      <c r="T35" s="320"/>
      <c r="U35" s="319"/>
      <c r="V35" s="320"/>
      <c r="W35" s="320"/>
      <c r="X35" s="320"/>
      <c r="Y35" s="320"/>
      <c r="Z35" s="299"/>
      <c r="AA35" s="299"/>
      <c r="AB35" s="299"/>
      <c r="AC35" s="299"/>
      <c r="AD35" s="299"/>
      <c r="AE35" s="299"/>
      <c r="AF35" s="299"/>
    </row>
    <row r="36" spans="1:32" x14ac:dyDescent="0.35">
      <c r="A36" s="320"/>
      <c r="B36" s="320"/>
      <c r="C36" s="320"/>
      <c r="D36" s="320"/>
      <c r="E36" s="320"/>
      <c r="F36" s="320"/>
      <c r="G36" s="320"/>
      <c r="H36" s="320"/>
      <c r="I36" s="320"/>
      <c r="J36" s="320"/>
      <c r="K36" s="320"/>
      <c r="L36" s="320"/>
      <c r="M36" s="412"/>
      <c r="N36" s="320"/>
      <c r="O36" s="320"/>
      <c r="P36" s="320"/>
      <c r="Q36" s="320"/>
      <c r="R36" s="320"/>
      <c r="S36" s="338"/>
      <c r="T36" s="320"/>
      <c r="U36" s="319"/>
      <c r="V36" s="320"/>
      <c r="W36" s="320"/>
      <c r="X36" s="320"/>
      <c r="Y36" s="320"/>
      <c r="Z36" s="299"/>
      <c r="AA36" s="299"/>
      <c r="AB36" s="299"/>
      <c r="AC36" s="299"/>
      <c r="AD36" s="299"/>
      <c r="AE36" s="299"/>
      <c r="AF36" s="299"/>
    </row>
    <row r="37" spans="1:32" x14ac:dyDescent="0.35">
      <c r="A37" s="320"/>
      <c r="B37" s="320"/>
      <c r="C37" s="320"/>
      <c r="D37" s="320"/>
      <c r="E37" s="320"/>
      <c r="F37" s="320"/>
      <c r="G37" s="320"/>
      <c r="H37" s="320"/>
      <c r="I37" s="320"/>
      <c r="J37" s="320"/>
      <c r="K37" s="320"/>
      <c r="L37" s="320"/>
      <c r="M37" s="412"/>
      <c r="N37" s="320"/>
      <c r="O37" s="320"/>
      <c r="P37" s="320"/>
      <c r="Q37" s="320"/>
      <c r="R37" s="320"/>
      <c r="S37" s="338"/>
      <c r="T37" s="320"/>
      <c r="U37" s="319"/>
      <c r="V37" s="320"/>
      <c r="W37" s="320"/>
      <c r="X37" s="320"/>
      <c r="Y37" s="320"/>
      <c r="Z37" s="299"/>
      <c r="AA37" s="299"/>
      <c r="AB37" s="299"/>
      <c r="AC37" s="299"/>
      <c r="AD37" s="299"/>
      <c r="AE37" s="299"/>
      <c r="AF37" s="299"/>
    </row>
    <row r="38" spans="1:32" x14ac:dyDescent="0.35">
      <c r="A38" s="320"/>
      <c r="B38" s="320"/>
      <c r="C38" s="320"/>
      <c r="D38" s="320"/>
      <c r="E38" s="320"/>
      <c r="F38" s="320"/>
      <c r="G38" s="320"/>
      <c r="H38" s="320"/>
      <c r="I38" s="320"/>
      <c r="J38" s="320"/>
      <c r="K38" s="320"/>
      <c r="L38" s="320"/>
      <c r="M38" s="412"/>
      <c r="N38" s="320"/>
      <c r="O38" s="320"/>
      <c r="P38" s="320"/>
      <c r="Q38" s="320"/>
      <c r="R38" s="320"/>
      <c r="S38" s="338"/>
      <c r="T38" s="320"/>
      <c r="U38" s="319"/>
      <c r="V38" s="320"/>
      <c r="W38" s="320"/>
      <c r="X38" s="320"/>
      <c r="Y38" s="320"/>
      <c r="Z38" s="299"/>
      <c r="AA38" s="299"/>
      <c r="AB38" s="299"/>
      <c r="AC38" s="299"/>
      <c r="AD38" s="299"/>
      <c r="AE38" s="299"/>
      <c r="AF38" s="299"/>
    </row>
    <row r="39" spans="1:32" x14ac:dyDescent="0.35">
      <c r="A39" s="320"/>
      <c r="B39" s="320"/>
      <c r="C39" s="320"/>
      <c r="D39" s="320"/>
      <c r="E39" s="320"/>
      <c r="F39" s="320"/>
      <c r="G39" s="320"/>
      <c r="H39" s="320"/>
      <c r="I39" s="320"/>
      <c r="J39" s="320"/>
      <c r="K39" s="320"/>
      <c r="L39" s="320"/>
      <c r="M39" s="412"/>
      <c r="N39" s="320"/>
      <c r="O39" s="320"/>
      <c r="P39" s="320"/>
      <c r="Q39" s="320"/>
      <c r="R39" s="320"/>
      <c r="S39" s="338"/>
      <c r="T39" s="320"/>
      <c r="U39" s="319"/>
      <c r="V39" s="320"/>
      <c r="W39" s="320"/>
      <c r="X39" s="320"/>
      <c r="Y39" s="320"/>
      <c r="Z39" s="299"/>
      <c r="AA39" s="299"/>
      <c r="AB39" s="299"/>
      <c r="AC39" s="299"/>
      <c r="AD39" s="299"/>
      <c r="AE39" s="299"/>
      <c r="AF39" s="299"/>
    </row>
    <row r="40" spans="1:32" x14ac:dyDescent="0.35">
      <c r="A40" s="320"/>
      <c r="B40" s="320"/>
      <c r="C40" s="320"/>
      <c r="D40" s="320"/>
      <c r="E40" s="320"/>
      <c r="F40" s="320"/>
      <c r="G40" s="320"/>
      <c r="H40" s="320"/>
      <c r="I40" s="320"/>
      <c r="J40" s="320"/>
      <c r="K40" s="320"/>
      <c r="L40" s="320"/>
      <c r="M40" s="412"/>
      <c r="N40" s="320"/>
      <c r="O40" s="320"/>
      <c r="P40" s="320"/>
      <c r="Q40" s="320"/>
      <c r="R40" s="320"/>
      <c r="S40" s="338"/>
      <c r="T40" s="320"/>
      <c r="U40" s="319"/>
      <c r="V40" s="320"/>
      <c r="W40" s="320"/>
      <c r="X40" s="320"/>
      <c r="Y40" s="320"/>
      <c r="Z40" s="299"/>
      <c r="AA40" s="299"/>
      <c r="AB40" s="299"/>
      <c r="AC40" s="299"/>
      <c r="AD40" s="299"/>
      <c r="AE40" s="299"/>
      <c r="AF40" s="299"/>
    </row>
    <row r="41" spans="1:32" x14ac:dyDescent="0.35">
      <c r="A41" s="320"/>
      <c r="B41" s="320"/>
      <c r="C41" s="320"/>
      <c r="D41" s="320"/>
      <c r="E41" s="320"/>
      <c r="F41" s="320"/>
      <c r="G41" s="320"/>
      <c r="H41" s="320"/>
      <c r="I41" s="320"/>
      <c r="J41" s="320"/>
      <c r="K41" s="320"/>
      <c r="L41" s="320"/>
      <c r="M41" s="412"/>
      <c r="N41" s="320"/>
      <c r="O41" s="320"/>
      <c r="P41" s="320"/>
      <c r="Q41" s="320"/>
      <c r="R41" s="320"/>
      <c r="S41" s="338"/>
      <c r="T41" s="320"/>
      <c r="U41" s="319"/>
      <c r="V41" s="320"/>
      <c r="W41" s="320"/>
      <c r="X41" s="320"/>
      <c r="Y41" s="320"/>
      <c r="Z41" s="299"/>
      <c r="AA41" s="299"/>
      <c r="AB41" s="299"/>
      <c r="AC41" s="299"/>
      <c r="AD41" s="299"/>
      <c r="AE41" s="299"/>
      <c r="AF41" s="299"/>
    </row>
    <row r="42" spans="1:32" x14ac:dyDescent="0.35">
      <c r="A42" s="320"/>
      <c r="B42" s="320"/>
      <c r="C42" s="320"/>
      <c r="D42" s="320"/>
      <c r="E42" s="320"/>
      <c r="F42" s="320"/>
      <c r="G42" s="320"/>
      <c r="H42" s="320"/>
      <c r="I42" s="320"/>
      <c r="J42" s="320"/>
      <c r="K42" s="320"/>
      <c r="L42" s="320"/>
      <c r="M42" s="412"/>
      <c r="N42" s="320"/>
      <c r="O42" s="320"/>
      <c r="P42" s="320"/>
      <c r="Q42" s="320"/>
      <c r="R42" s="320"/>
      <c r="S42" s="338"/>
      <c r="T42" s="320"/>
      <c r="U42" s="319"/>
      <c r="V42" s="320"/>
      <c r="W42" s="320"/>
      <c r="X42" s="320"/>
      <c r="Y42" s="320"/>
      <c r="Z42" s="299"/>
      <c r="AA42" s="299"/>
      <c r="AB42" s="299"/>
      <c r="AC42" s="299"/>
      <c r="AD42" s="299"/>
      <c r="AE42" s="299"/>
      <c r="AF42" s="299"/>
    </row>
    <row r="43" spans="1:32" x14ac:dyDescent="0.35">
      <c r="A43" s="320"/>
      <c r="B43" s="320"/>
      <c r="C43" s="320"/>
      <c r="D43" s="320"/>
      <c r="E43" s="320"/>
      <c r="F43" s="320"/>
      <c r="G43" s="320"/>
      <c r="H43" s="320"/>
      <c r="I43" s="320"/>
      <c r="J43" s="320"/>
      <c r="K43" s="320"/>
      <c r="L43" s="320"/>
      <c r="M43" s="412"/>
      <c r="N43" s="320"/>
      <c r="O43" s="320"/>
      <c r="P43" s="320"/>
      <c r="Q43" s="320"/>
      <c r="R43" s="320"/>
      <c r="S43" s="338"/>
      <c r="T43" s="320"/>
      <c r="U43" s="319"/>
      <c r="V43" s="320"/>
      <c r="W43" s="320"/>
      <c r="X43" s="320"/>
      <c r="Y43" s="320"/>
      <c r="Z43" s="299"/>
      <c r="AA43" s="299"/>
      <c r="AB43" s="299"/>
      <c r="AC43" s="299"/>
      <c r="AD43" s="299"/>
      <c r="AE43" s="299"/>
      <c r="AF43" s="299"/>
    </row>
    <row r="44" spans="1:32" x14ac:dyDescent="0.35">
      <c r="A44" s="320"/>
      <c r="B44" s="320"/>
      <c r="C44" s="320"/>
      <c r="D44" s="320"/>
      <c r="E44" s="320"/>
      <c r="F44" s="320"/>
      <c r="G44" s="320"/>
      <c r="H44" s="320"/>
      <c r="I44" s="320"/>
      <c r="J44" s="320"/>
      <c r="K44" s="320"/>
      <c r="L44" s="320"/>
      <c r="M44" s="412"/>
      <c r="N44" s="320"/>
      <c r="O44" s="320"/>
      <c r="P44" s="320"/>
      <c r="Q44" s="320"/>
      <c r="R44" s="320"/>
      <c r="S44" s="338"/>
      <c r="T44" s="320"/>
      <c r="U44" s="319"/>
      <c r="V44" s="320"/>
      <c r="W44" s="320"/>
      <c r="X44" s="320"/>
      <c r="Y44" s="320"/>
      <c r="Z44" s="299"/>
      <c r="AA44" s="299"/>
      <c r="AB44" s="299"/>
      <c r="AC44" s="299"/>
      <c r="AD44" s="299"/>
      <c r="AE44" s="299"/>
      <c r="AF44" s="299"/>
    </row>
    <row r="45" spans="1:32" x14ac:dyDescent="0.35">
      <c r="A45" s="320"/>
      <c r="B45" s="320"/>
      <c r="C45" s="320"/>
      <c r="D45" s="320"/>
      <c r="E45" s="320"/>
      <c r="F45" s="320"/>
      <c r="G45" s="320"/>
      <c r="H45" s="320"/>
      <c r="I45" s="320"/>
      <c r="J45" s="320"/>
      <c r="K45" s="320"/>
      <c r="L45" s="320"/>
      <c r="M45" s="412"/>
      <c r="N45" s="320"/>
      <c r="O45" s="320"/>
      <c r="P45" s="320"/>
      <c r="Q45" s="320"/>
      <c r="R45" s="320"/>
      <c r="S45" s="338"/>
      <c r="T45" s="320"/>
      <c r="U45" s="319"/>
      <c r="V45" s="320"/>
      <c r="W45" s="320"/>
      <c r="X45" s="320"/>
      <c r="Y45" s="320"/>
      <c r="Z45" s="299"/>
      <c r="AA45" s="299"/>
      <c r="AB45" s="299"/>
      <c r="AC45" s="299"/>
      <c r="AD45" s="299"/>
      <c r="AE45" s="299"/>
      <c r="AF45" s="299"/>
    </row>
    <row r="46" spans="1:32" x14ac:dyDescent="0.35">
      <c r="A46" s="320"/>
      <c r="B46" s="320"/>
      <c r="C46" s="320"/>
      <c r="D46" s="320"/>
      <c r="E46" s="320"/>
      <c r="F46" s="320"/>
      <c r="G46" s="320"/>
      <c r="H46" s="320"/>
      <c r="I46" s="320"/>
      <c r="J46" s="320"/>
      <c r="K46" s="320"/>
      <c r="L46" s="320"/>
      <c r="M46" s="412"/>
      <c r="N46" s="320"/>
      <c r="O46" s="320"/>
      <c r="P46" s="320"/>
      <c r="Q46" s="320"/>
      <c r="R46" s="320"/>
      <c r="S46" s="338"/>
      <c r="T46" s="320"/>
      <c r="U46" s="319"/>
      <c r="V46" s="320"/>
      <c r="W46" s="320"/>
      <c r="X46" s="320"/>
      <c r="Y46" s="320"/>
      <c r="Z46" s="299"/>
      <c r="AA46" s="299"/>
      <c r="AB46" s="299"/>
      <c r="AC46" s="299"/>
      <c r="AD46" s="299"/>
      <c r="AE46" s="299"/>
      <c r="AF46" s="299"/>
    </row>
    <row r="47" spans="1:32" x14ac:dyDescent="0.35">
      <c r="A47" s="320"/>
      <c r="B47" s="320"/>
      <c r="C47" s="320"/>
      <c r="D47" s="320"/>
      <c r="E47" s="320"/>
      <c r="F47" s="320"/>
      <c r="G47" s="320"/>
      <c r="H47" s="320"/>
      <c r="I47" s="320"/>
      <c r="J47" s="320"/>
      <c r="K47" s="320"/>
      <c r="L47" s="320"/>
      <c r="M47" s="412"/>
      <c r="N47" s="320"/>
      <c r="O47" s="320"/>
      <c r="P47" s="320"/>
      <c r="Q47" s="320"/>
      <c r="R47" s="320"/>
      <c r="S47" s="338"/>
      <c r="T47" s="320"/>
      <c r="U47" s="319"/>
      <c r="V47" s="320"/>
      <c r="W47" s="320"/>
      <c r="X47" s="320"/>
      <c r="Y47" s="320"/>
      <c r="Z47" s="299"/>
      <c r="AA47" s="299"/>
      <c r="AB47" s="299"/>
      <c r="AC47" s="299"/>
      <c r="AD47" s="299"/>
      <c r="AE47" s="299"/>
      <c r="AF47" s="299"/>
    </row>
    <row r="48" spans="1:32" x14ac:dyDescent="0.35">
      <c r="A48" s="320"/>
      <c r="B48" s="320"/>
      <c r="C48" s="320"/>
      <c r="D48" s="320"/>
      <c r="E48" s="320"/>
      <c r="F48" s="320"/>
      <c r="G48" s="320"/>
      <c r="H48" s="320"/>
      <c r="I48" s="320"/>
      <c r="J48" s="320"/>
      <c r="K48" s="320"/>
      <c r="L48" s="320"/>
      <c r="M48" s="412"/>
      <c r="N48" s="320"/>
      <c r="O48" s="320"/>
      <c r="P48" s="320"/>
      <c r="Q48" s="320"/>
      <c r="R48" s="320"/>
      <c r="S48" s="338"/>
      <c r="T48" s="320"/>
      <c r="U48" s="319"/>
      <c r="V48" s="320"/>
      <c r="W48" s="320"/>
      <c r="X48" s="320"/>
      <c r="Y48" s="320"/>
      <c r="Z48" s="299"/>
      <c r="AA48" s="299"/>
      <c r="AB48" s="299"/>
      <c r="AC48" s="299"/>
      <c r="AD48" s="299"/>
      <c r="AE48" s="299"/>
      <c r="AF48" s="299"/>
    </row>
    <row r="49" spans="1:32" x14ac:dyDescent="0.35">
      <c r="A49" s="320"/>
      <c r="B49" s="320"/>
      <c r="C49" s="320"/>
      <c r="D49" s="320"/>
      <c r="E49" s="320"/>
      <c r="F49" s="320"/>
      <c r="G49" s="320"/>
      <c r="H49" s="320"/>
      <c r="I49" s="320"/>
      <c r="J49" s="320"/>
      <c r="K49" s="320"/>
      <c r="L49" s="320"/>
      <c r="M49" s="412"/>
      <c r="N49" s="320"/>
      <c r="O49" s="320"/>
      <c r="P49" s="320"/>
      <c r="Q49" s="320"/>
      <c r="R49" s="320"/>
      <c r="S49" s="338"/>
      <c r="T49" s="320"/>
      <c r="U49" s="319"/>
      <c r="V49" s="320"/>
      <c r="W49" s="320"/>
      <c r="X49" s="320"/>
      <c r="Y49" s="320"/>
      <c r="Z49" s="299"/>
      <c r="AA49" s="299"/>
      <c r="AB49" s="299"/>
      <c r="AC49" s="299"/>
      <c r="AD49" s="299"/>
      <c r="AE49" s="299"/>
      <c r="AF49" s="299"/>
    </row>
    <row r="50" spans="1:32" x14ac:dyDescent="0.35">
      <c r="A50" s="320"/>
      <c r="B50" s="320"/>
      <c r="C50" s="320"/>
      <c r="D50" s="320"/>
      <c r="E50" s="320"/>
      <c r="F50" s="320"/>
      <c r="G50" s="320"/>
      <c r="H50" s="320"/>
      <c r="I50" s="320"/>
      <c r="J50" s="320"/>
      <c r="K50" s="320"/>
      <c r="L50" s="320"/>
      <c r="M50" s="412"/>
      <c r="N50" s="320"/>
      <c r="O50" s="320"/>
      <c r="P50" s="320"/>
      <c r="Q50" s="320"/>
      <c r="R50" s="320"/>
      <c r="S50" s="338"/>
      <c r="T50" s="320"/>
      <c r="U50" s="319"/>
      <c r="V50" s="320"/>
      <c r="W50" s="320"/>
      <c r="X50" s="320"/>
      <c r="Y50" s="320"/>
      <c r="Z50" s="299"/>
      <c r="AA50" s="299"/>
      <c r="AB50" s="299"/>
      <c r="AC50" s="299"/>
      <c r="AD50" s="299"/>
      <c r="AE50" s="299"/>
      <c r="AF50" s="299"/>
    </row>
    <row r="51" spans="1:32" x14ac:dyDescent="0.35">
      <c r="A51" s="320"/>
      <c r="B51" s="320"/>
      <c r="C51" s="320"/>
      <c r="D51" s="320"/>
      <c r="E51" s="320"/>
      <c r="F51" s="320"/>
      <c r="G51" s="320"/>
      <c r="H51" s="320"/>
      <c r="I51" s="320"/>
      <c r="J51" s="320"/>
      <c r="K51" s="320"/>
      <c r="L51" s="320"/>
      <c r="M51" s="412"/>
      <c r="N51" s="320"/>
      <c r="O51" s="320"/>
      <c r="P51" s="320"/>
      <c r="Q51" s="320"/>
      <c r="R51" s="320"/>
      <c r="S51" s="338"/>
      <c r="T51" s="320"/>
      <c r="U51" s="319"/>
      <c r="V51" s="320"/>
      <c r="W51" s="320"/>
      <c r="X51" s="320"/>
      <c r="Y51" s="320"/>
      <c r="Z51" s="299"/>
      <c r="AA51" s="299"/>
      <c r="AB51" s="299"/>
      <c r="AC51" s="299"/>
      <c r="AD51" s="299"/>
      <c r="AE51" s="299"/>
      <c r="AF51" s="299"/>
    </row>
    <row r="52" spans="1:32" x14ac:dyDescent="0.35">
      <c r="A52" s="320"/>
      <c r="B52" s="320"/>
      <c r="C52" s="320"/>
      <c r="D52" s="320"/>
      <c r="E52" s="320"/>
      <c r="F52" s="320"/>
      <c r="G52" s="320"/>
      <c r="H52" s="320"/>
      <c r="I52" s="320"/>
      <c r="J52" s="320"/>
      <c r="K52" s="320"/>
      <c r="L52" s="320"/>
      <c r="M52" s="412"/>
      <c r="N52" s="320"/>
      <c r="O52" s="320"/>
      <c r="P52" s="320"/>
      <c r="Q52" s="320"/>
      <c r="R52" s="320"/>
      <c r="S52" s="338"/>
      <c r="T52" s="320"/>
      <c r="U52" s="319"/>
      <c r="V52" s="320"/>
      <c r="W52" s="320"/>
      <c r="X52" s="320"/>
      <c r="Y52" s="320"/>
      <c r="Z52" s="299"/>
      <c r="AA52" s="299"/>
      <c r="AB52" s="299"/>
      <c r="AC52" s="299"/>
      <c r="AD52" s="299"/>
      <c r="AE52" s="299"/>
      <c r="AF52" s="299"/>
    </row>
    <row r="53" spans="1:32" x14ac:dyDescent="0.35">
      <c r="A53" s="320"/>
      <c r="B53" s="320"/>
      <c r="C53" s="320"/>
      <c r="D53" s="320"/>
      <c r="E53" s="320"/>
      <c r="F53" s="320"/>
      <c r="G53" s="320"/>
      <c r="H53" s="320"/>
      <c r="I53" s="320"/>
      <c r="J53" s="320"/>
      <c r="K53" s="320"/>
      <c r="L53" s="320"/>
      <c r="M53" s="412"/>
      <c r="N53" s="320"/>
      <c r="O53" s="320"/>
      <c r="P53" s="320"/>
      <c r="Q53" s="320"/>
      <c r="R53" s="320"/>
      <c r="S53" s="338"/>
      <c r="T53" s="320"/>
      <c r="U53" s="319"/>
      <c r="V53" s="320"/>
      <c r="W53" s="320"/>
      <c r="X53" s="320"/>
      <c r="Y53" s="320"/>
      <c r="Z53" s="299"/>
      <c r="AA53" s="299"/>
      <c r="AB53" s="299"/>
      <c r="AC53" s="299"/>
      <c r="AD53" s="299"/>
      <c r="AE53" s="299"/>
      <c r="AF53" s="299"/>
    </row>
    <row r="54" spans="1:32" x14ac:dyDescent="0.35">
      <c r="A54" s="320"/>
      <c r="B54" s="320"/>
      <c r="C54" s="320"/>
      <c r="D54" s="320"/>
      <c r="E54" s="320"/>
      <c r="F54" s="320"/>
      <c r="G54" s="320"/>
      <c r="H54" s="320"/>
      <c r="I54" s="320"/>
      <c r="J54" s="320"/>
      <c r="K54" s="320"/>
      <c r="L54" s="320"/>
      <c r="M54" s="412"/>
      <c r="N54" s="320"/>
      <c r="O54" s="320"/>
      <c r="P54" s="320"/>
      <c r="Q54" s="320"/>
      <c r="R54" s="320"/>
      <c r="S54" s="338"/>
      <c r="T54" s="320"/>
      <c r="U54" s="319"/>
      <c r="V54" s="320"/>
      <c r="W54" s="320"/>
      <c r="X54" s="320"/>
      <c r="Y54" s="320"/>
      <c r="Z54" s="299"/>
      <c r="AA54" s="299"/>
      <c r="AB54" s="299"/>
      <c r="AC54" s="299"/>
      <c r="AD54" s="299"/>
      <c r="AE54" s="299"/>
      <c r="AF54" s="299"/>
    </row>
    <row r="55" spans="1:32" x14ac:dyDescent="0.35">
      <c r="A55" s="320"/>
      <c r="B55" s="320"/>
      <c r="C55" s="320"/>
      <c r="D55" s="320"/>
      <c r="E55" s="320"/>
      <c r="F55" s="320"/>
      <c r="G55" s="320"/>
      <c r="H55" s="320"/>
      <c r="I55" s="320"/>
      <c r="J55" s="320"/>
      <c r="K55" s="320"/>
      <c r="L55" s="320"/>
      <c r="M55" s="412"/>
      <c r="N55" s="320"/>
      <c r="O55" s="320"/>
      <c r="P55" s="320"/>
      <c r="Q55" s="320"/>
      <c r="R55" s="320"/>
      <c r="S55" s="338"/>
      <c r="T55" s="320"/>
      <c r="U55" s="319"/>
      <c r="V55" s="320"/>
      <c r="W55" s="320"/>
      <c r="X55" s="320"/>
      <c r="Y55" s="320"/>
      <c r="Z55" s="299"/>
      <c r="AA55" s="299"/>
      <c r="AB55" s="299"/>
      <c r="AC55" s="299"/>
      <c r="AD55" s="299"/>
      <c r="AE55" s="299"/>
      <c r="AF55" s="299"/>
    </row>
    <row r="56" spans="1:32" x14ac:dyDescent="0.35">
      <c r="A56" s="320"/>
      <c r="B56" s="320"/>
      <c r="C56" s="320"/>
      <c r="D56" s="320"/>
      <c r="E56" s="320"/>
      <c r="F56" s="320"/>
      <c r="G56" s="320"/>
      <c r="H56" s="320"/>
      <c r="I56" s="320"/>
      <c r="J56" s="320"/>
      <c r="K56" s="320"/>
      <c r="L56" s="320"/>
      <c r="M56" s="412"/>
      <c r="N56" s="320"/>
      <c r="O56" s="320"/>
      <c r="P56" s="320"/>
      <c r="Q56" s="320"/>
      <c r="R56" s="320"/>
      <c r="S56" s="338"/>
      <c r="T56" s="320"/>
      <c r="U56" s="319"/>
      <c r="V56" s="320"/>
      <c r="W56" s="320"/>
      <c r="X56" s="320"/>
      <c r="Y56" s="320"/>
      <c r="Z56" s="299"/>
      <c r="AA56" s="299"/>
      <c r="AB56" s="299"/>
      <c r="AC56" s="299"/>
      <c r="AD56" s="299"/>
      <c r="AE56" s="299"/>
      <c r="AF56" s="299"/>
    </row>
    <row r="57" spans="1:32" x14ac:dyDescent="0.35">
      <c r="A57" s="320"/>
      <c r="B57" s="320"/>
      <c r="C57" s="320"/>
      <c r="D57" s="320"/>
      <c r="E57" s="320"/>
      <c r="F57" s="320"/>
      <c r="G57" s="320"/>
      <c r="H57" s="320"/>
      <c r="I57" s="320"/>
      <c r="J57" s="320"/>
      <c r="K57" s="320"/>
      <c r="L57" s="320"/>
      <c r="M57" s="412"/>
      <c r="N57" s="320"/>
      <c r="O57" s="320"/>
      <c r="P57" s="320"/>
      <c r="Q57" s="320"/>
      <c r="R57" s="320"/>
      <c r="S57" s="338"/>
      <c r="T57" s="320"/>
      <c r="U57" s="319"/>
      <c r="V57" s="320"/>
      <c r="W57" s="320"/>
      <c r="X57" s="320"/>
      <c r="Y57" s="320"/>
      <c r="Z57" s="299"/>
      <c r="AA57" s="299"/>
      <c r="AB57" s="299"/>
      <c r="AC57" s="299"/>
      <c r="AD57" s="299"/>
      <c r="AE57" s="299"/>
      <c r="AF57" s="299"/>
    </row>
    <row r="58" spans="1:32" x14ac:dyDescent="0.35">
      <c r="A58" s="320"/>
      <c r="B58" s="320"/>
      <c r="C58" s="320"/>
      <c r="D58" s="320"/>
      <c r="E58" s="320"/>
      <c r="F58" s="320"/>
      <c r="G58" s="320"/>
      <c r="H58" s="320"/>
      <c r="I58" s="320"/>
      <c r="J58" s="320"/>
      <c r="K58" s="320"/>
      <c r="L58" s="320"/>
      <c r="M58" s="412"/>
      <c r="N58" s="320"/>
      <c r="O58" s="320"/>
      <c r="P58" s="320"/>
      <c r="Q58" s="320"/>
      <c r="R58" s="320"/>
      <c r="S58" s="338"/>
      <c r="T58" s="320"/>
      <c r="U58" s="319"/>
      <c r="V58" s="320"/>
      <c r="W58" s="320"/>
      <c r="X58" s="320"/>
      <c r="Y58" s="320"/>
      <c r="Z58" s="299"/>
      <c r="AA58" s="299"/>
      <c r="AB58" s="299"/>
      <c r="AC58" s="299"/>
      <c r="AD58" s="299"/>
      <c r="AE58" s="299"/>
      <c r="AF58" s="299"/>
    </row>
    <row r="59" spans="1:32" x14ac:dyDescent="0.35">
      <c r="A59" s="320"/>
      <c r="B59" s="320"/>
      <c r="C59" s="320"/>
      <c r="D59" s="320"/>
      <c r="E59" s="320"/>
      <c r="F59" s="320"/>
      <c r="G59" s="320"/>
      <c r="H59" s="320"/>
      <c r="I59" s="320"/>
      <c r="J59" s="320"/>
      <c r="K59" s="320"/>
      <c r="L59" s="320"/>
      <c r="M59" s="412"/>
      <c r="N59" s="320"/>
      <c r="O59" s="320"/>
      <c r="P59" s="320"/>
      <c r="Q59" s="320"/>
      <c r="R59" s="320"/>
      <c r="S59" s="338"/>
      <c r="T59" s="320"/>
      <c r="U59" s="319"/>
      <c r="V59" s="320"/>
      <c r="W59" s="320"/>
      <c r="X59" s="320"/>
      <c r="Y59" s="320"/>
      <c r="Z59" s="299"/>
      <c r="AA59" s="299"/>
      <c r="AB59" s="299"/>
      <c r="AC59" s="299"/>
      <c r="AD59" s="299"/>
      <c r="AE59" s="299"/>
      <c r="AF59" s="299"/>
    </row>
    <row r="60" spans="1:32" x14ac:dyDescent="0.35">
      <c r="A60" s="320"/>
      <c r="B60" s="320"/>
      <c r="C60" s="320"/>
      <c r="D60" s="320"/>
      <c r="E60" s="320"/>
      <c r="F60" s="320"/>
      <c r="G60" s="320"/>
      <c r="H60" s="320"/>
      <c r="I60" s="320"/>
      <c r="J60" s="320"/>
      <c r="K60" s="320"/>
      <c r="L60" s="320"/>
      <c r="M60" s="412"/>
      <c r="N60" s="320"/>
      <c r="O60" s="320"/>
      <c r="P60" s="320"/>
      <c r="Q60" s="320"/>
      <c r="R60" s="320"/>
      <c r="S60" s="338"/>
      <c r="T60" s="320"/>
      <c r="U60" s="319"/>
      <c r="V60" s="320"/>
      <c r="W60" s="320"/>
      <c r="X60" s="320"/>
      <c r="Y60" s="320"/>
      <c r="Z60" s="299"/>
      <c r="AA60" s="299"/>
      <c r="AB60" s="299"/>
      <c r="AC60" s="299"/>
      <c r="AD60" s="299"/>
      <c r="AE60" s="299"/>
      <c r="AF60" s="299"/>
    </row>
    <row r="61" spans="1:32" x14ac:dyDescent="0.35">
      <c r="A61" s="320"/>
      <c r="B61" s="320"/>
      <c r="C61" s="320"/>
      <c r="D61" s="320"/>
      <c r="E61" s="320"/>
      <c r="F61" s="320"/>
      <c r="G61" s="320"/>
      <c r="H61" s="320"/>
      <c r="I61" s="320"/>
      <c r="J61" s="320"/>
      <c r="K61" s="320"/>
      <c r="L61" s="320"/>
      <c r="M61" s="412"/>
      <c r="N61" s="320"/>
      <c r="O61" s="319"/>
      <c r="P61" s="319"/>
      <c r="Q61" s="319"/>
      <c r="R61" s="319"/>
      <c r="S61" s="319"/>
      <c r="T61" s="320"/>
      <c r="U61" s="319"/>
      <c r="V61" s="319"/>
      <c r="W61" s="319"/>
      <c r="X61" s="319"/>
      <c r="Y61" s="319"/>
      <c r="Z61" s="299"/>
      <c r="AA61" s="299"/>
      <c r="AB61" s="299"/>
      <c r="AC61" s="299"/>
      <c r="AD61" s="299"/>
      <c r="AE61" s="299"/>
      <c r="AF61" s="299"/>
    </row>
    <row r="62" spans="1:32" x14ac:dyDescent="0.35">
      <c r="A62" s="338"/>
      <c r="B62" s="319"/>
      <c r="C62" s="319"/>
      <c r="D62" s="319"/>
      <c r="E62" s="331"/>
      <c r="F62" s="319"/>
      <c r="G62" s="319"/>
      <c r="H62" s="319"/>
      <c r="I62" s="319"/>
      <c r="J62" s="319"/>
      <c r="K62" s="319"/>
      <c r="L62" s="319"/>
      <c r="M62" s="413"/>
      <c r="N62" s="319"/>
      <c r="O62" s="319"/>
      <c r="P62" s="319"/>
      <c r="Q62" s="319"/>
      <c r="R62" s="319"/>
      <c r="S62" s="319"/>
      <c r="T62" s="319"/>
      <c r="U62" s="319"/>
      <c r="V62" s="319"/>
      <c r="W62" s="319"/>
      <c r="X62" s="319"/>
      <c r="Y62" s="319"/>
      <c r="Z62" s="299"/>
      <c r="AA62" s="299"/>
      <c r="AB62" s="299"/>
      <c r="AC62" s="299"/>
      <c r="AD62" s="299"/>
      <c r="AE62" s="299"/>
      <c r="AF62" s="299"/>
    </row>
    <row r="63" spans="1:32" x14ac:dyDescent="0.35">
      <c r="A63" s="338"/>
      <c r="B63" s="319"/>
      <c r="C63" s="319"/>
      <c r="D63" s="319"/>
      <c r="E63" s="331"/>
      <c r="F63" s="319"/>
      <c r="G63" s="319"/>
      <c r="H63" s="319"/>
      <c r="I63" s="319"/>
      <c r="J63" s="319"/>
      <c r="K63" s="319"/>
      <c r="L63" s="319"/>
      <c r="M63" s="413"/>
      <c r="N63" s="319"/>
      <c r="O63" s="319"/>
      <c r="P63" s="319"/>
      <c r="Q63" s="319"/>
      <c r="R63" s="319"/>
      <c r="S63" s="319"/>
      <c r="T63" s="319"/>
      <c r="U63" s="319"/>
      <c r="V63" s="319"/>
      <c r="W63" s="319"/>
      <c r="X63" s="319"/>
      <c r="Y63" s="319"/>
      <c r="Z63" s="299"/>
      <c r="AA63" s="299"/>
      <c r="AB63" s="299"/>
      <c r="AC63" s="299"/>
      <c r="AD63" s="299"/>
      <c r="AE63" s="299"/>
      <c r="AF63" s="299"/>
    </row>
    <row r="64" spans="1:32" x14ac:dyDescent="0.35">
      <c r="A64" s="338"/>
      <c r="B64" s="319"/>
      <c r="C64" s="319"/>
      <c r="D64" s="319"/>
      <c r="E64" s="331"/>
      <c r="F64" s="319"/>
      <c r="G64" s="319"/>
      <c r="H64" s="319"/>
      <c r="I64" s="319"/>
      <c r="J64" s="319"/>
      <c r="K64" s="319"/>
      <c r="L64" s="319"/>
      <c r="M64" s="413"/>
      <c r="N64" s="319"/>
      <c r="O64" s="319"/>
      <c r="P64" s="319"/>
      <c r="Q64" s="319"/>
      <c r="R64" s="319"/>
      <c r="S64" s="319"/>
      <c r="T64" s="319"/>
      <c r="U64" s="319"/>
      <c r="V64" s="319"/>
      <c r="W64" s="319"/>
      <c r="X64" s="319"/>
      <c r="Y64" s="319"/>
      <c r="Z64" s="299"/>
      <c r="AA64" s="299"/>
      <c r="AB64" s="299"/>
      <c r="AC64" s="299"/>
      <c r="AD64" s="299"/>
      <c r="AE64" s="299"/>
      <c r="AF64" s="299"/>
    </row>
    <row r="65" spans="1:32" x14ac:dyDescent="0.35">
      <c r="A65" s="338"/>
      <c r="B65" s="319"/>
      <c r="C65" s="319"/>
      <c r="D65" s="319"/>
      <c r="E65" s="331"/>
      <c r="F65" s="319"/>
      <c r="G65" s="319"/>
      <c r="H65" s="319"/>
      <c r="I65" s="319"/>
      <c r="J65" s="319"/>
      <c r="K65" s="319"/>
      <c r="L65" s="319"/>
      <c r="M65" s="413"/>
      <c r="N65" s="319"/>
      <c r="O65" s="319"/>
      <c r="P65" s="319"/>
      <c r="Q65" s="319"/>
      <c r="R65" s="319"/>
      <c r="S65" s="319"/>
      <c r="T65" s="319"/>
      <c r="U65" s="319"/>
      <c r="V65" s="319"/>
      <c r="W65" s="319"/>
      <c r="X65" s="319"/>
      <c r="Y65" s="319"/>
      <c r="Z65" s="299"/>
      <c r="AA65" s="299"/>
      <c r="AB65" s="299"/>
      <c r="AC65" s="299"/>
      <c r="AD65" s="299"/>
      <c r="AE65" s="299"/>
      <c r="AF65" s="299"/>
    </row>
    <row r="66" spans="1:32" x14ac:dyDescent="0.35">
      <c r="A66" s="338"/>
      <c r="B66" s="319"/>
      <c r="C66" s="319"/>
      <c r="D66" s="319"/>
      <c r="E66" s="331"/>
      <c r="F66" s="319"/>
      <c r="G66" s="319"/>
      <c r="H66" s="319"/>
      <c r="I66" s="319"/>
      <c r="J66" s="319"/>
      <c r="K66" s="319"/>
      <c r="L66" s="319"/>
      <c r="M66" s="413"/>
      <c r="N66" s="319"/>
      <c r="O66" s="319"/>
      <c r="P66" s="319"/>
      <c r="Q66" s="319"/>
      <c r="R66" s="319"/>
      <c r="S66" s="319"/>
      <c r="T66" s="319"/>
      <c r="U66" s="319"/>
      <c r="V66" s="319"/>
      <c r="W66" s="319"/>
      <c r="X66" s="319"/>
      <c r="Y66" s="319"/>
      <c r="Z66" s="299"/>
      <c r="AA66" s="299"/>
      <c r="AB66" s="299"/>
      <c r="AC66" s="299"/>
      <c r="AD66" s="299"/>
      <c r="AE66" s="299"/>
      <c r="AF66" s="299"/>
    </row>
    <row r="67" spans="1:32" x14ac:dyDescent="0.35">
      <c r="A67" s="338"/>
      <c r="B67" s="319"/>
      <c r="C67" s="319"/>
      <c r="D67" s="319"/>
      <c r="E67" s="331"/>
      <c r="F67" s="319"/>
      <c r="G67" s="319"/>
      <c r="H67" s="319"/>
      <c r="I67" s="319"/>
      <c r="J67" s="319"/>
      <c r="K67" s="319"/>
      <c r="L67" s="319"/>
      <c r="M67" s="413"/>
      <c r="N67" s="319"/>
      <c r="O67" s="319"/>
      <c r="P67" s="319"/>
      <c r="Q67" s="319"/>
      <c r="R67" s="319"/>
      <c r="S67" s="319"/>
      <c r="T67" s="319"/>
      <c r="U67" s="319"/>
      <c r="V67" s="319"/>
      <c r="W67" s="319"/>
      <c r="X67" s="319"/>
      <c r="Y67" s="319"/>
      <c r="Z67" s="299"/>
      <c r="AA67" s="299"/>
      <c r="AB67" s="299"/>
      <c r="AC67" s="299"/>
      <c r="AD67" s="299"/>
      <c r="AE67" s="299"/>
      <c r="AF67" s="299"/>
    </row>
    <row r="68" spans="1:32" x14ac:dyDescent="0.35">
      <c r="A68" s="338"/>
      <c r="B68" s="319"/>
      <c r="C68" s="319"/>
      <c r="D68" s="319"/>
      <c r="E68" s="331"/>
      <c r="F68" s="319"/>
      <c r="G68" s="319"/>
      <c r="H68" s="319"/>
      <c r="I68" s="319"/>
      <c r="J68" s="319"/>
      <c r="K68" s="319"/>
      <c r="L68" s="319"/>
      <c r="M68" s="413"/>
      <c r="N68" s="319"/>
      <c r="O68" s="319"/>
      <c r="P68" s="319"/>
      <c r="Q68" s="319"/>
      <c r="R68" s="319"/>
      <c r="S68" s="319"/>
      <c r="T68" s="319"/>
      <c r="U68" s="319"/>
      <c r="V68" s="319"/>
      <c r="W68" s="319"/>
      <c r="X68" s="319"/>
      <c r="Y68" s="319"/>
      <c r="Z68" s="299"/>
      <c r="AA68" s="299"/>
      <c r="AB68" s="299"/>
      <c r="AC68" s="299"/>
      <c r="AD68" s="299"/>
      <c r="AE68" s="299"/>
      <c r="AF68" s="299"/>
    </row>
    <row r="69" spans="1:32" x14ac:dyDescent="0.35">
      <c r="A69" s="338"/>
      <c r="B69" s="319"/>
      <c r="C69" s="319"/>
      <c r="D69" s="319"/>
      <c r="E69" s="331"/>
      <c r="F69" s="319"/>
      <c r="G69" s="319"/>
      <c r="H69" s="319"/>
      <c r="I69" s="319"/>
      <c r="J69" s="319"/>
      <c r="K69" s="319"/>
      <c r="L69" s="319"/>
      <c r="M69" s="413"/>
      <c r="N69" s="319"/>
      <c r="O69" s="319"/>
      <c r="P69" s="319"/>
      <c r="Q69" s="319"/>
      <c r="R69" s="319"/>
      <c r="S69" s="319"/>
      <c r="T69" s="319"/>
      <c r="U69" s="319"/>
      <c r="V69" s="319"/>
      <c r="W69" s="319"/>
      <c r="X69" s="319"/>
      <c r="Y69" s="319"/>
      <c r="Z69" s="299"/>
      <c r="AA69" s="299"/>
      <c r="AB69" s="299"/>
      <c r="AC69" s="299"/>
      <c r="AD69" s="299"/>
      <c r="AE69" s="299"/>
      <c r="AF69" s="299"/>
    </row>
    <row r="70" spans="1:32" x14ac:dyDescent="0.35">
      <c r="A70" s="338"/>
      <c r="B70" s="319"/>
      <c r="C70" s="319"/>
      <c r="D70" s="319"/>
      <c r="E70" s="331"/>
      <c r="F70" s="319"/>
      <c r="G70" s="319"/>
      <c r="H70" s="319"/>
      <c r="I70" s="319"/>
      <c r="J70" s="319"/>
      <c r="K70" s="319"/>
      <c r="L70" s="319"/>
      <c r="M70" s="413"/>
      <c r="N70" s="319"/>
      <c r="O70" s="319"/>
      <c r="P70" s="319"/>
      <c r="Q70" s="319"/>
      <c r="R70" s="319"/>
      <c r="S70" s="319"/>
      <c r="T70" s="319"/>
      <c r="U70" s="319"/>
      <c r="V70" s="319"/>
      <c r="W70" s="319"/>
      <c r="X70" s="319"/>
      <c r="Y70" s="319"/>
      <c r="Z70" s="299"/>
      <c r="AA70" s="299"/>
      <c r="AB70" s="299"/>
      <c r="AC70" s="299"/>
      <c r="AD70" s="299"/>
      <c r="AE70" s="299"/>
      <c r="AF70" s="299"/>
    </row>
    <row r="71" spans="1:32" x14ac:dyDescent="0.35">
      <c r="A71" s="338"/>
      <c r="B71" s="319"/>
      <c r="C71" s="319"/>
      <c r="D71" s="319"/>
      <c r="E71" s="331"/>
      <c r="F71" s="319"/>
      <c r="G71" s="319"/>
      <c r="H71" s="319"/>
      <c r="I71" s="319"/>
      <c r="J71" s="319"/>
      <c r="K71" s="319"/>
      <c r="L71" s="319"/>
      <c r="M71" s="413"/>
      <c r="N71" s="319"/>
      <c r="O71" s="319"/>
      <c r="P71" s="319"/>
      <c r="Q71" s="319"/>
      <c r="R71" s="319"/>
      <c r="S71" s="319"/>
      <c r="T71" s="319"/>
      <c r="U71" s="319"/>
      <c r="V71" s="319"/>
      <c r="W71" s="319"/>
      <c r="X71" s="319"/>
      <c r="Y71" s="319"/>
      <c r="Z71" s="299"/>
      <c r="AA71" s="299"/>
      <c r="AB71" s="299"/>
      <c r="AC71" s="299"/>
      <c r="AD71" s="299"/>
      <c r="AE71" s="299"/>
      <c r="AF71" s="299"/>
    </row>
    <row r="72" spans="1:32" x14ac:dyDescent="0.35">
      <c r="A72" s="338"/>
      <c r="B72" s="319"/>
      <c r="C72" s="319"/>
      <c r="D72" s="319"/>
      <c r="E72" s="331"/>
      <c r="F72" s="319"/>
      <c r="G72" s="319"/>
      <c r="H72" s="319"/>
      <c r="I72" s="319"/>
      <c r="J72" s="319"/>
      <c r="K72" s="319"/>
      <c r="L72" s="319"/>
      <c r="M72" s="413"/>
      <c r="N72" s="319"/>
      <c r="O72" s="319"/>
      <c r="P72" s="319"/>
      <c r="Q72" s="319"/>
      <c r="R72" s="319"/>
      <c r="S72" s="319"/>
      <c r="T72" s="319"/>
      <c r="U72" s="319"/>
      <c r="V72" s="319"/>
      <c r="W72" s="319"/>
      <c r="X72" s="319"/>
      <c r="Y72" s="319"/>
      <c r="Z72" s="299"/>
      <c r="AA72" s="299"/>
      <c r="AB72" s="299"/>
      <c r="AC72" s="299"/>
      <c r="AD72" s="299"/>
      <c r="AE72" s="299"/>
      <c r="AF72" s="299"/>
    </row>
    <row r="73" spans="1:32" x14ac:dyDescent="0.35">
      <c r="A73" s="338"/>
      <c r="B73" s="319"/>
      <c r="C73" s="319"/>
      <c r="D73" s="319"/>
      <c r="E73" s="331"/>
      <c r="F73" s="319"/>
      <c r="G73" s="319"/>
      <c r="H73" s="319"/>
      <c r="I73" s="319"/>
      <c r="J73" s="319"/>
      <c r="K73" s="319"/>
      <c r="L73" s="319"/>
      <c r="M73" s="413"/>
      <c r="N73" s="319"/>
      <c r="O73" s="319"/>
      <c r="P73" s="319"/>
      <c r="Q73" s="319"/>
      <c r="R73" s="319"/>
      <c r="S73" s="319"/>
      <c r="T73" s="319"/>
      <c r="U73" s="319"/>
      <c r="V73" s="319"/>
      <c r="W73" s="319"/>
      <c r="X73" s="319"/>
      <c r="Y73" s="319"/>
      <c r="Z73" s="299"/>
      <c r="AA73" s="299"/>
      <c r="AB73" s="299"/>
      <c r="AC73" s="299"/>
      <c r="AD73" s="299"/>
      <c r="AE73" s="299"/>
      <c r="AF73" s="299"/>
    </row>
    <row r="74" spans="1:32" x14ac:dyDescent="0.35">
      <c r="A74" s="338"/>
      <c r="B74" s="319"/>
      <c r="C74" s="319"/>
      <c r="D74" s="319"/>
      <c r="E74" s="331"/>
      <c r="F74" s="319"/>
      <c r="G74" s="319"/>
      <c r="H74" s="319"/>
      <c r="I74" s="319"/>
      <c r="J74" s="319"/>
      <c r="K74" s="319"/>
      <c r="L74" s="319"/>
      <c r="M74" s="413"/>
      <c r="N74" s="319"/>
      <c r="O74" s="319"/>
      <c r="P74" s="319"/>
      <c r="Q74" s="319"/>
      <c r="R74" s="319"/>
      <c r="S74" s="319"/>
      <c r="T74" s="319"/>
      <c r="U74" s="319"/>
      <c r="V74" s="319"/>
      <c r="W74" s="319"/>
      <c r="X74" s="319"/>
      <c r="Y74" s="319"/>
      <c r="Z74" s="299"/>
      <c r="AA74" s="299"/>
      <c r="AB74" s="299"/>
      <c r="AC74" s="299"/>
      <c r="AD74" s="299"/>
      <c r="AE74" s="299"/>
      <c r="AF74" s="299"/>
    </row>
    <row r="75" spans="1:32" x14ac:dyDescent="0.35">
      <c r="A75" s="338"/>
      <c r="B75" s="319"/>
      <c r="C75" s="319"/>
      <c r="D75" s="319"/>
      <c r="E75" s="331"/>
      <c r="F75" s="319"/>
      <c r="G75" s="319"/>
      <c r="H75" s="319"/>
      <c r="I75" s="319"/>
      <c r="J75" s="319"/>
      <c r="K75" s="319"/>
      <c r="L75" s="319"/>
      <c r="M75" s="413"/>
      <c r="N75" s="319"/>
      <c r="O75" s="319"/>
      <c r="P75" s="319"/>
      <c r="Q75" s="319"/>
      <c r="R75" s="319"/>
      <c r="S75" s="319"/>
      <c r="T75" s="319"/>
      <c r="U75" s="319"/>
      <c r="V75" s="319"/>
      <c r="W75" s="319"/>
      <c r="X75" s="319"/>
      <c r="Y75" s="319"/>
      <c r="Z75" s="299"/>
      <c r="AA75" s="299"/>
      <c r="AB75" s="299"/>
      <c r="AC75" s="299"/>
      <c r="AD75" s="299"/>
      <c r="AE75" s="299"/>
      <c r="AF75" s="299"/>
    </row>
    <row r="76" spans="1:32" x14ac:dyDescent="0.35">
      <c r="A76" s="338"/>
      <c r="B76" s="319"/>
      <c r="C76" s="319"/>
      <c r="D76" s="319"/>
      <c r="E76" s="331"/>
      <c r="F76" s="319"/>
      <c r="G76" s="319"/>
      <c r="H76" s="319"/>
      <c r="I76" s="319"/>
      <c r="J76" s="319"/>
      <c r="K76" s="319"/>
      <c r="L76" s="319"/>
      <c r="M76" s="413"/>
      <c r="N76" s="319"/>
      <c r="O76" s="319"/>
      <c r="P76" s="319"/>
      <c r="Q76" s="319"/>
      <c r="R76" s="319"/>
      <c r="S76" s="319"/>
      <c r="T76" s="319"/>
      <c r="U76" s="319"/>
      <c r="V76" s="319"/>
      <c r="W76" s="319"/>
      <c r="X76" s="319"/>
      <c r="Y76" s="319"/>
      <c r="Z76" s="299"/>
      <c r="AA76" s="299"/>
      <c r="AB76" s="299"/>
      <c r="AC76" s="299"/>
      <c r="AD76" s="299"/>
      <c r="AE76" s="299"/>
      <c r="AF76" s="299"/>
    </row>
    <row r="77" spans="1:32" x14ac:dyDescent="0.35">
      <c r="A77" s="338"/>
      <c r="B77" s="319"/>
      <c r="C77" s="319"/>
      <c r="D77" s="319"/>
      <c r="E77" s="331"/>
      <c r="F77" s="319"/>
      <c r="G77" s="319"/>
      <c r="H77" s="319"/>
      <c r="I77" s="319"/>
      <c r="J77" s="319"/>
      <c r="K77" s="319"/>
      <c r="L77" s="319"/>
      <c r="M77" s="413"/>
      <c r="N77" s="319"/>
      <c r="O77" s="319"/>
      <c r="P77" s="319"/>
      <c r="Q77" s="319"/>
      <c r="R77" s="319"/>
      <c r="S77" s="319"/>
      <c r="T77" s="319"/>
      <c r="U77" s="319"/>
      <c r="V77" s="319"/>
      <c r="W77" s="319"/>
      <c r="X77" s="319"/>
      <c r="Y77" s="319"/>
      <c r="Z77" s="299"/>
      <c r="AA77" s="299"/>
      <c r="AB77" s="299"/>
      <c r="AC77" s="299"/>
      <c r="AD77" s="299"/>
      <c r="AE77" s="299"/>
      <c r="AF77" s="299"/>
    </row>
    <row r="78" spans="1:32" x14ac:dyDescent="0.35">
      <c r="A78" s="338"/>
      <c r="B78" s="319"/>
      <c r="C78" s="319"/>
      <c r="D78" s="319"/>
      <c r="E78" s="331"/>
      <c r="F78" s="319"/>
      <c r="G78" s="319"/>
      <c r="H78" s="319"/>
      <c r="I78" s="319"/>
      <c r="J78" s="319"/>
      <c r="K78" s="319"/>
      <c r="L78" s="319"/>
      <c r="M78" s="413"/>
      <c r="N78" s="319"/>
      <c r="O78" s="319"/>
      <c r="P78" s="319"/>
      <c r="Q78" s="319"/>
      <c r="R78" s="319"/>
      <c r="S78" s="319"/>
      <c r="T78" s="319"/>
      <c r="U78" s="319"/>
      <c r="V78" s="319"/>
      <c r="W78" s="319"/>
      <c r="X78" s="319"/>
      <c r="Y78" s="319"/>
      <c r="Z78" s="299"/>
      <c r="AA78" s="299"/>
      <c r="AB78" s="299"/>
      <c r="AC78" s="299"/>
      <c r="AD78" s="299"/>
      <c r="AE78" s="299"/>
      <c r="AF78" s="299"/>
    </row>
    <row r="79" spans="1:32" x14ac:dyDescent="0.35">
      <c r="A79" s="338"/>
      <c r="B79" s="319"/>
      <c r="C79" s="319"/>
      <c r="D79" s="319"/>
      <c r="E79" s="331"/>
      <c r="F79" s="319"/>
      <c r="G79" s="319"/>
      <c r="H79" s="319"/>
      <c r="I79" s="319"/>
      <c r="J79" s="319"/>
      <c r="K79" s="319"/>
      <c r="L79" s="319"/>
      <c r="M79" s="413"/>
      <c r="N79" s="319"/>
      <c r="O79" s="319"/>
      <c r="P79" s="319"/>
      <c r="Q79" s="319"/>
      <c r="R79" s="319"/>
      <c r="S79" s="319"/>
      <c r="T79" s="319"/>
      <c r="U79" s="319"/>
      <c r="V79" s="319"/>
      <c r="W79" s="319"/>
      <c r="X79" s="319"/>
      <c r="Y79" s="319"/>
      <c r="Z79" s="299"/>
      <c r="AA79" s="299"/>
      <c r="AB79" s="299"/>
      <c r="AC79" s="299"/>
      <c r="AD79" s="299"/>
      <c r="AE79" s="299"/>
      <c r="AF79" s="299"/>
    </row>
    <row r="80" spans="1:32" x14ac:dyDescent="0.35">
      <c r="A80" s="338"/>
      <c r="B80" s="319"/>
      <c r="C80" s="319"/>
      <c r="D80" s="319"/>
      <c r="E80" s="331"/>
      <c r="F80" s="319"/>
      <c r="G80" s="319"/>
      <c r="H80" s="319"/>
      <c r="I80" s="319"/>
      <c r="J80" s="319"/>
      <c r="K80" s="319"/>
      <c r="L80" s="319"/>
      <c r="M80" s="413"/>
      <c r="N80" s="319"/>
      <c r="O80" s="319"/>
      <c r="P80" s="319"/>
      <c r="Q80" s="319"/>
      <c r="R80" s="319"/>
      <c r="S80" s="319"/>
      <c r="T80" s="319"/>
      <c r="U80" s="319"/>
      <c r="V80" s="319"/>
      <c r="W80" s="319"/>
      <c r="X80" s="319"/>
      <c r="Y80" s="319"/>
      <c r="Z80" s="299"/>
      <c r="AA80" s="299"/>
      <c r="AB80" s="299"/>
      <c r="AC80" s="299"/>
      <c r="AD80" s="299"/>
      <c r="AE80" s="299"/>
      <c r="AF80" s="299"/>
    </row>
    <row r="81" spans="1:32" x14ac:dyDescent="0.35">
      <c r="A81" s="338"/>
      <c r="B81" s="319"/>
      <c r="C81" s="319"/>
      <c r="D81" s="319"/>
      <c r="E81" s="331"/>
      <c r="F81" s="319"/>
      <c r="G81" s="319"/>
      <c r="H81" s="319"/>
      <c r="I81" s="319"/>
      <c r="J81" s="319"/>
      <c r="K81" s="319"/>
      <c r="L81" s="319"/>
      <c r="M81" s="413"/>
      <c r="N81" s="319"/>
      <c r="O81" s="319"/>
      <c r="P81" s="319"/>
      <c r="Q81" s="319"/>
      <c r="R81" s="319"/>
      <c r="S81" s="319"/>
      <c r="T81" s="319"/>
      <c r="U81" s="319"/>
      <c r="V81" s="319"/>
      <c r="W81" s="319"/>
      <c r="X81" s="319"/>
      <c r="Y81" s="319"/>
      <c r="Z81" s="299"/>
      <c r="AA81" s="299"/>
      <c r="AB81" s="299"/>
      <c r="AC81" s="299"/>
      <c r="AD81" s="299"/>
      <c r="AE81" s="299"/>
      <c r="AF81" s="299"/>
    </row>
    <row r="82" spans="1:32" x14ac:dyDescent="0.35">
      <c r="A82" s="338"/>
      <c r="B82" s="319"/>
      <c r="C82" s="319"/>
      <c r="D82" s="319"/>
      <c r="E82" s="331"/>
      <c r="F82" s="319"/>
      <c r="G82" s="319"/>
      <c r="H82" s="319"/>
      <c r="I82" s="319"/>
      <c r="J82" s="319"/>
      <c r="K82" s="319"/>
      <c r="L82" s="319"/>
      <c r="M82" s="413"/>
      <c r="N82" s="319"/>
      <c r="O82" s="319"/>
      <c r="P82" s="319"/>
      <c r="Q82" s="319"/>
      <c r="R82" s="319"/>
      <c r="S82" s="319"/>
      <c r="T82" s="319"/>
      <c r="U82" s="319"/>
      <c r="V82" s="319"/>
      <c r="W82" s="319"/>
      <c r="X82" s="319"/>
      <c r="Y82" s="319"/>
      <c r="Z82" s="299"/>
      <c r="AA82" s="299"/>
      <c r="AB82" s="299"/>
      <c r="AC82" s="299"/>
      <c r="AD82" s="299"/>
      <c r="AE82" s="299"/>
      <c r="AF82" s="299"/>
    </row>
    <row r="83" spans="1:32" x14ac:dyDescent="0.35">
      <c r="A83" s="338"/>
      <c r="B83" s="319"/>
      <c r="C83" s="319"/>
      <c r="D83" s="319"/>
      <c r="E83" s="331"/>
      <c r="F83" s="319"/>
      <c r="G83" s="319"/>
      <c r="H83" s="319"/>
      <c r="I83" s="319"/>
      <c r="J83" s="319"/>
      <c r="K83" s="319"/>
      <c r="L83" s="319"/>
      <c r="M83" s="413"/>
      <c r="N83" s="319"/>
      <c r="O83" s="319"/>
      <c r="P83" s="319"/>
      <c r="Q83" s="319"/>
      <c r="R83" s="319"/>
      <c r="S83" s="319"/>
      <c r="T83" s="319"/>
      <c r="U83" s="319"/>
      <c r="V83" s="319"/>
      <c r="W83" s="319"/>
      <c r="X83" s="319"/>
      <c r="Y83" s="319"/>
      <c r="Z83" s="299"/>
      <c r="AA83" s="299"/>
      <c r="AB83" s="299"/>
      <c r="AC83" s="299"/>
      <c r="AD83" s="299"/>
      <c r="AE83" s="299"/>
      <c r="AF83" s="299"/>
    </row>
    <row r="84" spans="1:32" x14ac:dyDescent="0.35">
      <c r="A84" s="338"/>
      <c r="B84" s="319"/>
      <c r="C84" s="319"/>
      <c r="D84" s="319"/>
      <c r="E84" s="331"/>
      <c r="F84" s="319"/>
      <c r="G84" s="319"/>
      <c r="H84" s="319"/>
      <c r="I84" s="319"/>
      <c r="J84" s="319"/>
      <c r="K84" s="319"/>
      <c r="L84" s="319"/>
      <c r="M84" s="413"/>
      <c r="N84" s="319"/>
      <c r="O84" s="319"/>
      <c r="P84" s="319"/>
      <c r="Q84" s="319"/>
      <c r="R84" s="319"/>
      <c r="S84" s="319"/>
      <c r="T84" s="319"/>
      <c r="U84" s="319"/>
      <c r="V84" s="319"/>
      <c r="W84" s="319"/>
      <c r="X84" s="319"/>
      <c r="Y84" s="319"/>
      <c r="Z84" s="299"/>
      <c r="AA84" s="299"/>
      <c r="AB84" s="299"/>
      <c r="AC84" s="299"/>
      <c r="AD84" s="299"/>
      <c r="AE84" s="299"/>
      <c r="AF84" s="299"/>
    </row>
    <row r="85" spans="1:32" x14ac:dyDescent="0.35">
      <c r="A85" s="338"/>
      <c r="B85" s="319"/>
      <c r="C85" s="319"/>
      <c r="D85" s="319"/>
      <c r="E85" s="331"/>
      <c r="F85" s="319"/>
      <c r="G85" s="319"/>
      <c r="H85" s="319"/>
      <c r="I85" s="319"/>
      <c r="J85" s="319"/>
      <c r="K85" s="319"/>
      <c r="L85" s="319"/>
      <c r="M85" s="413"/>
      <c r="N85" s="319"/>
      <c r="O85" s="319"/>
      <c r="P85" s="319"/>
      <c r="Q85" s="319"/>
      <c r="R85" s="319"/>
      <c r="S85" s="319"/>
      <c r="T85" s="319"/>
      <c r="U85" s="319"/>
      <c r="V85" s="319"/>
      <c r="W85" s="319"/>
      <c r="X85" s="319"/>
      <c r="Y85" s="319"/>
      <c r="Z85" s="299"/>
      <c r="AA85" s="299"/>
      <c r="AB85" s="299"/>
      <c r="AC85" s="299"/>
      <c r="AD85" s="299"/>
      <c r="AE85" s="299"/>
      <c r="AF85" s="299"/>
    </row>
    <row r="86" spans="1:32" x14ac:dyDescent="0.35">
      <c r="A86" s="338"/>
      <c r="B86" s="319"/>
      <c r="C86" s="319"/>
      <c r="D86" s="319"/>
      <c r="E86" s="331"/>
      <c r="F86" s="319"/>
      <c r="G86" s="319"/>
      <c r="H86" s="319"/>
      <c r="I86" s="319"/>
      <c r="J86" s="319"/>
      <c r="K86" s="319"/>
      <c r="L86" s="319"/>
      <c r="M86" s="413"/>
      <c r="N86" s="319"/>
      <c r="O86" s="319"/>
      <c r="P86" s="319"/>
      <c r="Q86" s="319"/>
      <c r="R86" s="319"/>
      <c r="S86" s="319"/>
      <c r="T86" s="319"/>
      <c r="U86" s="319"/>
      <c r="V86" s="319"/>
      <c r="W86" s="319"/>
      <c r="X86" s="319"/>
      <c r="Y86" s="319"/>
      <c r="Z86" s="299"/>
      <c r="AA86" s="299"/>
      <c r="AB86" s="299"/>
      <c r="AC86" s="299"/>
      <c r="AD86" s="299"/>
      <c r="AE86" s="299"/>
      <c r="AF86" s="299"/>
    </row>
    <row r="87" spans="1:32" x14ac:dyDescent="0.35">
      <c r="A87" s="338"/>
      <c r="B87" s="319"/>
      <c r="C87" s="319"/>
      <c r="D87" s="319"/>
      <c r="E87" s="331"/>
      <c r="F87" s="319"/>
      <c r="G87" s="319"/>
      <c r="H87" s="319"/>
      <c r="I87" s="319"/>
      <c r="J87" s="319"/>
      <c r="K87" s="319"/>
      <c r="L87" s="319"/>
      <c r="M87" s="413"/>
      <c r="N87" s="319"/>
      <c r="O87" s="319"/>
      <c r="P87" s="319"/>
      <c r="Q87" s="319"/>
      <c r="R87" s="319"/>
      <c r="S87" s="319"/>
      <c r="T87" s="319"/>
      <c r="U87" s="319"/>
      <c r="V87" s="319"/>
      <c r="W87" s="319"/>
      <c r="X87" s="319"/>
      <c r="Y87" s="319"/>
      <c r="Z87" s="299"/>
      <c r="AA87" s="299"/>
      <c r="AB87" s="299"/>
      <c r="AC87" s="299"/>
      <c r="AD87" s="299"/>
      <c r="AE87" s="299"/>
      <c r="AF87" s="299"/>
    </row>
    <row r="88" spans="1:32" x14ac:dyDescent="0.35">
      <c r="A88" s="338"/>
      <c r="B88" s="319"/>
      <c r="C88" s="319"/>
      <c r="D88" s="319"/>
      <c r="E88" s="331"/>
      <c r="F88" s="319"/>
      <c r="G88" s="319"/>
      <c r="H88" s="319"/>
      <c r="I88" s="319"/>
      <c r="J88" s="319"/>
      <c r="K88" s="319"/>
      <c r="L88" s="319"/>
      <c r="M88" s="413"/>
      <c r="N88" s="319"/>
      <c r="O88" s="319"/>
      <c r="P88" s="319"/>
      <c r="Q88" s="319"/>
      <c r="R88" s="319"/>
      <c r="S88" s="319"/>
      <c r="T88" s="319"/>
      <c r="U88" s="319"/>
      <c r="V88" s="319"/>
      <c r="W88" s="319"/>
      <c r="X88" s="319"/>
      <c r="Y88" s="319"/>
      <c r="Z88" s="299"/>
      <c r="AA88" s="299"/>
      <c r="AB88" s="299"/>
      <c r="AC88" s="299"/>
      <c r="AD88" s="299"/>
      <c r="AE88" s="299"/>
      <c r="AF88" s="299"/>
    </row>
    <row r="89" spans="1:32" x14ac:dyDescent="0.35">
      <c r="A89" s="338"/>
      <c r="B89" s="319"/>
      <c r="C89" s="319"/>
      <c r="D89" s="319"/>
      <c r="E89" s="331"/>
      <c r="F89" s="319"/>
      <c r="G89" s="319"/>
      <c r="H89" s="319"/>
      <c r="I89" s="319"/>
      <c r="J89" s="319"/>
      <c r="K89" s="319"/>
      <c r="L89" s="319"/>
      <c r="M89" s="413"/>
      <c r="N89" s="319"/>
      <c r="O89" s="319"/>
      <c r="P89" s="319"/>
      <c r="Q89" s="319"/>
      <c r="R89" s="319"/>
      <c r="S89" s="319"/>
      <c r="T89" s="319"/>
      <c r="U89" s="319"/>
      <c r="V89" s="319"/>
      <c r="W89" s="319"/>
      <c r="X89" s="319"/>
      <c r="Y89" s="319"/>
      <c r="Z89" s="299"/>
      <c r="AA89" s="299"/>
      <c r="AB89" s="299"/>
      <c r="AC89" s="299"/>
      <c r="AD89" s="299"/>
      <c r="AE89" s="299"/>
      <c r="AF89" s="299"/>
    </row>
    <row r="90" spans="1:32" x14ac:dyDescent="0.35">
      <c r="A90" s="338"/>
      <c r="B90" s="319"/>
      <c r="C90" s="319"/>
      <c r="D90" s="319"/>
      <c r="E90" s="331"/>
      <c r="F90" s="319"/>
      <c r="G90" s="319"/>
      <c r="H90" s="319"/>
      <c r="I90" s="319"/>
      <c r="J90" s="319"/>
      <c r="K90" s="319"/>
      <c r="L90" s="319"/>
      <c r="M90" s="413"/>
      <c r="N90" s="319"/>
      <c r="O90" s="319"/>
      <c r="P90" s="319"/>
      <c r="Q90" s="319"/>
      <c r="R90" s="319"/>
      <c r="S90" s="319"/>
      <c r="T90" s="319"/>
      <c r="U90" s="319"/>
      <c r="V90" s="319"/>
      <c r="W90" s="319"/>
      <c r="X90" s="319"/>
      <c r="Y90" s="319"/>
      <c r="Z90" s="299"/>
      <c r="AA90" s="299"/>
      <c r="AB90" s="299"/>
      <c r="AC90" s="299"/>
      <c r="AD90" s="299"/>
      <c r="AE90" s="299"/>
      <c r="AF90" s="299"/>
    </row>
    <row r="91" spans="1:32" x14ac:dyDescent="0.35">
      <c r="A91" s="338"/>
      <c r="B91" s="319"/>
      <c r="C91" s="319"/>
      <c r="D91" s="319"/>
      <c r="E91" s="331"/>
      <c r="F91" s="319"/>
      <c r="G91" s="319"/>
      <c r="H91" s="319"/>
      <c r="I91" s="319"/>
      <c r="J91" s="319"/>
      <c r="K91" s="319"/>
      <c r="L91" s="319"/>
      <c r="M91" s="413"/>
      <c r="N91" s="319"/>
      <c r="O91" s="319"/>
      <c r="P91" s="319"/>
      <c r="Q91" s="319"/>
      <c r="R91" s="319"/>
      <c r="S91" s="319"/>
      <c r="T91" s="319"/>
      <c r="U91" s="319"/>
      <c r="V91" s="319"/>
      <c r="W91" s="319"/>
      <c r="X91" s="319"/>
      <c r="Y91" s="319"/>
      <c r="Z91" s="299"/>
      <c r="AA91" s="299"/>
      <c r="AB91" s="299"/>
      <c r="AC91" s="299"/>
      <c r="AD91" s="299"/>
      <c r="AE91" s="299"/>
      <c r="AF91" s="299"/>
    </row>
    <row r="92" spans="1:32" x14ac:dyDescent="0.35">
      <c r="A92" s="338"/>
      <c r="B92" s="319"/>
      <c r="C92" s="319"/>
      <c r="D92" s="319"/>
      <c r="E92" s="331"/>
      <c r="F92" s="319"/>
      <c r="G92" s="319"/>
      <c r="H92" s="319"/>
      <c r="I92" s="319"/>
      <c r="J92" s="319"/>
      <c r="K92" s="319"/>
      <c r="L92" s="319"/>
      <c r="M92" s="413"/>
      <c r="N92" s="319"/>
      <c r="O92" s="319"/>
      <c r="P92" s="319"/>
      <c r="Q92" s="319"/>
      <c r="R92" s="319"/>
      <c r="S92" s="319"/>
      <c r="T92" s="319"/>
      <c r="U92" s="319"/>
      <c r="V92" s="319"/>
      <c r="W92" s="319"/>
      <c r="X92" s="319"/>
      <c r="Y92" s="319"/>
      <c r="Z92" s="299"/>
      <c r="AA92" s="299"/>
      <c r="AB92" s="299"/>
      <c r="AC92" s="299"/>
      <c r="AD92" s="299"/>
      <c r="AE92" s="299"/>
      <c r="AF92" s="299"/>
    </row>
    <row r="93" spans="1:32" x14ac:dyDescent="0.35">
      <c r="A93" s="338"/>
      <c r="B93" s="319"/>
      <c r="C93" s="319"/>
      <c r="D93" s="319"/>
      <c r="E93" s="331"/>
      <c r="F93" s="319"/>
      <c r="G93" s="319"/>
      <c r="H93" s="319"/>
      <c r="I93" s="319"/>
      <c r="J93" s="319"/>
      <c r="K93" s="319"/>
      <c r="L93" s="319"/>
      <c r="M93" s="413"/>
      <c r="N93" s="319"/>
      <c r="O93" s="319"/>
      <c r="P93" s="319"/>
      <c r="Q93" s="319"/>
      <c r="R93" s="319"/>
      <c r="S93" s="319"/>
      <c r="T93" s="319"/>
      <c r="U93" s="319"/>
      <c r="V93" s="319"/>
      <c r="W93" s="319"/>
      <c r="X93" s="319"/>
      <c r="Y93" s="319"/>
      <c r="Z93" s="299"/>
      <c r="AA93" s="299"/>
      <c r="AB93" s="299"/>
      <c r="AC93" s="299"/>
      <c r="AD93" s="299"/>
      <c r="AE93" s="299"/>
      <c r="AF93" s="299"/>
    </row>
    <row r="94" spans="1:32" x14ac:dyDescent="0.35">
      <c r="A94" s="338"/>
      <c r="B94" s="319"/>
      <c r="C94" s="319"/>
      <c r="D94" s="319"/>
      <c r="E94" s="331"/>
      <c r="F94" s="319"/>
      <c r="G94" s="319"/>
      <c r="H94" s="319"/>
      <c r="I94" s="319"/>
      <c r="J94" s="319"/>
      <c r="K94" s="319"/>
      <c r="L94" s="319"/>
      <c r="M94" s="413"/>
      <c r="N94" s="319"/>
      <c r="O94" s="319"/>
      <c r="P94" s="319"/>
      <c r="Q94" s="319"/>
      <c r="R94" s="319"/>
      <c r="S94" s="319"/>
      <c r="T94" s="319"/>
      <c r="U94" s="319"/>
      <c r="V94" s="319"/>
      <c r="W94" s="319"/>
      <c r="X94" s="319"/>
      <c r="Y94" s="319"/>
      <c r="Z94" s="299"/>
      <c r="AA94" s="299"/>
      <c r="AB94" s="299"/>
      <c r="AC94" s="299"/>
      <c r="AD94" s="299"/>
      <c r="AE94" s="299"/>
      <c r="AF94" s="299"/>
    </row>
    <row r="95" spans="1:32" x14ac:dyDescent="0.35">
      <c r="A95" s="338"/>
      <c r="B95" s="319"/>
      <c r="C95" s="319"/>
      <c r="D95" s="319"/>
      <c r="E95" s="331"/>
      <c r="F95" s="319"/>
      <c r="G95" s="319"/>
      <c r="H95" s="319"/>
      <c r="I95" s="319"/>
      <c r="J95" s="319"/>
      <c r="K95" s="319"/>
      <c r="L95" s="319"/>
      <c r="M95" s="413"/>
      <c r="N95" s="319"/>
      <c r="O95" s="319"/>
      <c r="P95" s="319"/>
      <c r="Q95" s="319"/>
      <c r="R95" s="319"/>
      <c r="S95" s="319"/>
      <c r="T95" s="319"/>
      <c r="U95" s="319"/>
      <c r="V95" s="319"/>
      <c r="W95" s="319"/>
      <c r="X95" s="319"/>
      <c r="Y95" s="319"/>
      <c r="Z95" s="299"/>
      <c r="AA95" s="299"/>
      <c r="AB95" s="299"/>
      <c r="AC95" s="299"/>
      <c r="AD95" s="299"/>
      <c r="AE95" s="299"/>
      <c r="AF95" s="299"/>
    </row>
    <row r="96" spans="1:32" x14ac:dyDescent="0.35">
      <c r="A96" s="338"/>
      <c r="B96" s="319"/>
      <c r="C96" s="319"/>
      <c r="D96" s="319"/>
      <c r="E96" s="331"/>
      <c r="F96" s="319"/>
      <c r="G96" s="319"/>
      <c r="H96" s="319"/>
      <c r="I96" s="319"/>
      <c r="J96" s="319"/>
      <c r="K96" s="319"/>
      <c r="L96" s="319"/>
      <c r="M96" s="413"/>
      <c r="N96" s="319"/>
      <c r="O96" s="319"/>
      <c r="P96" s="319"/>
      <c r="Q96" s="319"/>
      <c r="R96" s="319"/>
      <c r="S96" s="319"/>
      <c r="T96" s="319"/>
      <c r="U96" s="319"/>
      <c r="V96" s="319"/>
      <c r="W96" s="319"/>
      <c r="X96" s="319"/>
      <c r="Y96" s="319"/>
      <c r="Z96" s="299"/>
      <c r="AA96" s="299"/>
      <c r="AB96" s="299"/>
      <c r="AC96" s="299"/>
      <c r="AD96" s="299"/>
      <c r="AE96" s="299"/>
      <c r="AF96" s="299"/>
    </row>
    <row r="97" spans="1:32" x14ac:dyDescent="0.35">
      <c r="A97" s="338"/>
      <c r="B97" s="319"/>
      <c r="C97" s="319"/>
      <c r="D97" s="319"/>
      <c r="E97" s="331"/>
      <c r="F97" s="319"/>
      <c r="G97" s="319"/>
      <c r="H97" s="319"/>
      <c r="I97" s="319"/>
      <c r="J97" s="319"/>
      <c r="K97" s="319"/>
      <c r="L97" s="319"/>
      <c r="M97" s="413"/>
      <c r="N97" s="319"/>
      <c r="O97" s="319"/>
      <c r="P97" s="319"/>
      <c r="Q97" s="319"/>
      <c r="R97" s="319"/>
      <c r="S97" s="319"/>
      <c r="T97" s="319"/>
      <c r="U97" s="319"/>
      <c r="V97" s="319"/>
      <c r="W97" s="319"/>
      <c r="X97" s="319"/>
      <c r="Y97" s="319"/>
      <c r="Z97" s="299"/>
      <c r="AA97" s="299"/>
      <c r="AB97" s="299"/>
      <c r="AC97" s="299"/>
      <c r="AD97" s="299"/>
      <c r="AE97" s="299"/>
      <c r="AF97" s="299"/>
    </row>
    <row r="98" spans="1:32" x14ac:dyDescent="0.35">
      <c r="A98" s="338"/>
      <c r="B98" s="319"/>
      <c r="C98" s="319"/>
      <c r="D98" s="319"/>
      <c r="E98" s="331"/>
      <c r="F98" s="319"/>
      <c r="G98" s="319"/>
      <c r="H98" s="319"/>
      <c r="I98" s="319"/>
      <c r="J98" s="319"/>
      <c r="K98" s="319"/>
      <c r="L98" s="319"/>
      <c r="M98" s="413"/>
      <c r="N98" s="319"/>
      <c r="O98" s="319"/>
      <c r="P98" s="319"/>
      <c r="Q98" s="319"/>
      <c r="R98" s="319"/>
      <c r="S98" s="319"/>
      <c r="T98" s="319"/>
      <c r="U98" s="319"/>
      <c r="V98" s="319"/>
      <c r="W98" s="319"/>
      <c r="X98" s="319"/>
      <c r="Y98" s="319"/>
      <c r="Z98" s="299"/>
      <c r="AA98" s="299"/>
      <c r="AB98" s="299"/>
      <c r="AC98" s="299"/>
      <c r="AD98" s="299"/>
      <c r="AE98" s="299"/>
      <c r="AF98" s="299"/>
    </row>
    <row r="99" spans="1:32" x14ac:dyDescent="0.35">
      <c r="A99" s="338"/>
      <c r="B99" s="319"/>
      <c r="C99" s="319"/>
      <c r="D99" s="319"/>
      <c r="E99" s="331"/>
      <c r="F99" s="319"/>
      <c r="G99" s="319"/>
      <c r="H99" s="319"/>
      <c r="I99" s="319"/>
      <c r="J99" s="319"/>
      <c r="K99" s="319"/>
      <c r="L99" s="319"/>
      <c r="M99" s="413"/>
      <c r="N99" s="319"/>
      <c r="O99" s="319"/>
      <c r="P99" s="319"/>
      <c r="Q99" s="319"/>
      <c r="R99" s="319"/>
      <c r="S99" s="319"/>
      <c r="T99" s="319"/>
      <c r="U99" s="319"/>
      <c r="V99" s="319"/>
      <c r="W99" s="319"/>
      <c r="X99" s="319"/>
      <c r="Y99" s="319"/>
      <c r="Z99" s="299"/>
      <c r="AA99" s="299"/>
      <c r="AB99" s="299"/>
      <c r="AC99" s="299"/>
      <c r="AD99" s="299"/>
      <c r="AE99" s="299"/>
      <c r="AF99" s="299"/>
    </row>
    <row r="100" spans="1:32" x14ac:dyDescent="0.35">
      <c r="A100" s="338"/>
      <c r="B100" s="319"/>
      <c r="C100" s="319"/>
      <c r="D100" s="319"/>
      <c r="E100" s="331"/>
      <c r="F100" s="319"/>
      <c r="G100" s="319"/>
      <c r="H100" s="319"/>
      <c r="I100" s="319"/>
      <c r="J100" s="319"/>
      <c r="K100" s="319"/>
      <c r="L100" s="319"/>
      <c r="M100" s="413"/>
      <c r="N100" s="319"/>
      <c r="O100" s="319"/>
      <c r="P100" s="319"/>
      <c r="Q100" s="319"/>
      <c r="R100" s="319"/>
      <c r="S100" s="319"/>
      <c r="T100" s="319"/>
      <c r="U100" s="319"/>
      <c r="V100" s="319"/>
      <c r="W100" s="319"/>
      <c r="X100" s="319"/>
      <c r="Y100" s="319"/>
      <c r="Z100" s="299"/>
      <c r="AA100" s="299"/>
      <c r="AB100" s="299"/>
      <c r="AC100" s="299"/>
      <c r="AD100" s="299"/>
      <c r="AE100" s="299"/>
      <c r="AF100" s="299"/>
    </row>
    <row r="101" spans="1:32" x14ac:dyDescent="0.35">
      <c r="A101" s="338"/>
      <c r="B101" s="319"/>
      <c r="C101" s="319"/>
      <c r="D101" s="319"/>
      <c r="E101" s="331"/>
      <c r="F101" s="319"/>
      <c r="G101" s="319"/>
      <c r="H101" s="319"/>
      <c r="I101" s="319"/>
      <c r="J101" s="319"/>
      <c r="K101" s="319"/>
      <c r="L101" s="319"/>
      <c r="M101" s="413"/>
      <c r="N101" s="319"/>
      <c r="O101" s="319"/>
      <c r="P101" s="319"/>
      <c r="Q101" s="319"/>
      <c r="R101" s="319"/>
      <c r="S101" s="319"/>
      <c r="T101" s="319"/>
      <c r="U101" s="319"/>
      <c r="V101" s="319"/>
      <c r="W101" s="319"/>
      <c r="X101" s="319"/>
      <c r="Y101" s="319"/>
      <c r="Z101" s="299"/>
      <c r="AA101" s="299"/>
      <c r="AB101" s="299"/>
      <c r="AC101" s="299"/>
      <c r="AD101" s="299"/>
      <c r="AE101" s="299"/>
      <c r="AF101" s="299"/>
    </row>
    <row r="102" spans="1:32" x14ac:dyDescent="0.35">
      <c r="A102" s="338"/>
      <c r="B102" s="319"/>
      <c r="C102" s="319"/>
      <c r="D102" s="319"/>
      <c r="E102" s="331"/>
      <c r="F102" s="319"/>
      <c r="G102" s="319"/>
      <c r="H102" s="319"/>
      <c r="I102" s="319"/>
      <c r="J102" s="319"/>
      <c r="K102" s="319"/>
      <c r="L102" s="319"/>
      <c r="M102" s="413"/>
      <c r="N102" s="319"/>
      <c r="O102" s="319"/>
      <c r="P102" s="319"/>
      <c r="Q102" s="319"/>
      <c r="R102" s="319"/>
      <c r="S102" s="319"/>
      <c r="T102" s="319"/>
      <c r="U102" s="319"/>
      <c r="V102" s="319"/>
      <c r="W102" s="319"/>
      <c r="X102" s="319"/>
      <c r="Y102" s="319"/>
      <c r="Z102" s="299"/>
      <c r="AA102" s="299"/>
      <c r="AB102" s="299"/>
      <c r="AC102" s="299"/>
      <c r="AD102" s="299"/>
      <c r="AE102" s="299"/>
      <c r="AF102" s="299"/>
    </row>
    <row r="103" spans="1:32" x14ac:dyDescent="0.35">
      <c r="A103" s="338"/>
      <c r="B103" s="319"/>
      <c r="C103" s="319"/>
      <c r="D103" s="319"/>
      <c r="E103" s="331"/>
      <c r="F103" s="319"/>
      <c r="G103" s="319"/>
      <c r="H103" s="319"/>
      <c r="I103" s="319"/>
      <c r="J103" s="319"/>
      <c r="K103" s="319"/>
      <c r="L103" s="319"/>
      <c r="M103" s="413"/>
      <c r="N103" s="319"/>
      <c r="O103" s="319"/>
      <c r="P103" s="319"/>
      <c r="Q103" s="319"/>
      <c r="R103" s="319"/>
      <c r="S103" s="319"/>
      <c r="T103" s="319"/>
      <c r="U103" s="319"/>
      <c r="V103" s="319"/>
      <c r="W103" s="319"/>
      <c r="X103" s="319"/>
      <c r="Y103" s="319"/>
      <c r="Z103" s="299"/>
      <c r="AA103" s="299"/>
      <c r="AB103" s="299"/>
      <c r="AC103" s="299"/>
      <c r="AD103" s="299"/>
      <c r="AE103" s="299"/>
      <c r="AF103" s="299"/>
    </row>
    <row r="104" spans="1:32" x14ac:dyDescent="0.35">
      <c r="A104" s="338"/>
      <c r="B104" s="319"/>
      <c r="C104" s="319"/>
      <c r="D104" s="319"/>
      <c r="E104" s="331"/>
      <c r="F104" s="319"/>
      <c r="G104" s="319"/>
      <c r="H104" s="319"/>
      <c r="I104" s="319"/>
      <c r="J104" s="319"/>
      <c r="K104" s="319"/>
      <c r="L104" s="319"/>
      <c r="M104" s="413"/>
      <c r="N104" s="319"/>
      <c r="O104" s="319"/>
      <c r="P104" s="319"/>
      <c r="Q104" s="319"/>
      <c r="R104" s="319"/>
      <c r="S104" s="319"/>
      <c r="T104" s="319"/>
      <c r="U104" s="319"/>
      <c r="V104" s="319"/>
      <c r="W104" s="319"/>
      <c r="X104" s="319"/>
      <c r="Y104" s="319"/>
      <c r="Z104" s="299"/>
      <c r="AA104" s="299"/>
      <c r="AB104" s="299"/>
      <c r="AC104" s="299"/>
      <c r="AD104" s="299"/>
      <c r="AE104" s="299"/>
      <c r="AF104" s="299"/>
    </row>
    <row r="105" spans="1:32" x14ac:dyDescent="0.35">
      <c r="A105" s="338"/>
      <c r="B105" s="319"/>
      <c r="C105" s="319"/>
      <c r="D105" s="319"/>
      <c r="E105" s="331"/>
      <c r="F105" s="319"/>
      <c r="G105" s="319"/>
      <c r="H105" s="319"/>
      <c r="I105" s="319"/>
      <c r="J105" s="319"/>
      <c r="K105" s="319"/>
      <c r="L105" s="319"/>
      <c r="M105" s="413"/>
      <c r="N105" s="319"/>
      <c r="O105" s="319"/>
      <c r="P105" s="319"/>
      <c r="Q105" s="319"/>
      <c r="R105" s="319"/>
      <c r="S105" s="319"/>
      <c r="T105" s="319"/>
      <c r="U105" s="319"/>
      <c r="V105" s="319"/>
      <c r="W105" s="319"/>
      <c r="X105" s="319"/>
      <c r="Y105" s="319"/>
      <c r="Z105" s="299"/>
      <c r="AA105" s="299"/>
      <c r="AB105" s="299"/>
      <c r="AC105" s="299"/>
      <c r="AD105" s="299"/>
      <c r="AE105" s="299"/>
      <c r="AF105" s="299"/>
    </row>
    <row r="106" spans="1:32" x14ac:dyDescent="0.35">
      <c r="A106" s="338"/>
      <c r="B106" s="319"/>
      <c r="C106" s="319"/>
      <c r="D106" s="319"/>
      <c r="E106" s="331"/>
      <c r="F106" s="319"/>
      <c r="G106" s="319"/>
      <c r="H106" s="319"/>
      <c r="I106" s="319"/>
      <c r="J106" s="319"/>
      <c r="K106" s="319"/>
      <c r="L106" s="319"/>
      <c r="M106" s="413"/>
      <c r="N106" s="319"/>
      <c r="O106" s="319"/>
      <c r="P106" s="319"/>
      <c r="Q106" s="319"/>
      <c r="R106" s="319"/>
      <c r="S106" s="319"/>
      <c r="T106" s="319"/>
      <c r="U106" s="319"/>
      <c r="V106" s="319"/>
      <c r="W106" s="319"/>
      <c r="X106" s="319"/>
      <c r="Y106" s="319"/>
      <c r="Z106" s="299"/>
      <c r="AA106" s="299"/>
      <c r="AB106" s="299"/>
      <c r="AC106" s="299"/>
      <c r="AD106" s="299"/>
      <c r="AE106" s="299"/>
      <c r="AF106" s="299"/>
    </row>
    <row r="107" spans="1:32" x14ac:dyDescent="0.35">
      <c r="A107" s="338"/>
      <c r="B107" s="319"/>
      <c r="C107" s="319"/>
      <c r="D107" s="319"/>
      <c r="E107" s="331"/>
      <c r="F107" s="319"/>
      <c r="G107" s="319"/>
      <c r="H107" s="319"/>
      <c r="I107" s="319"/>
      <c r="J107" s="319"/>
      <c r="K107" s="319"/>
      <c r="L107" s="319"/>
      <c r="M107" s="413"/>
      <c r="N107" s="319"/>
      <c r="O107" s="319"/>
      <c r="P107" s="319"/>
      <c r="Q107" s="319"/>
      <c r="R107" s="319"/>
      <c r="S107" s="319"/>
      <c r="T107" s="319"/>
      <c r="U107" s="319"/>
      <c r="V107" s="319"/>
      <c r="W107" s="319"/>
      <c r="X107" s="319"/>
      <c r="Y107" s="319"/>
      <c r="Z107" s="299"/>
      <c r="AA107" s="299"/>
      <c r="AB107" s="299"/>
      <c r="AC107" s="299"/>
      <c r="AD107" s="299"/>
      <c r="AE107" s="299"/>
      <c r="AF107" s="299"/>
    </row>
    <row r="108" spans="1:32" x14ac:dyDescent="0.35">
      <c r="A108" s="338"/>
      <c r="B108" s="319"/>
      <c r="C108" s="319"/>
      <c r="D108" s="319"/>
      <c r="E108" s="331"/>
      <c r="F108" s="319"/>
      <c r="G108" s="319"/>
      <c r="H108" s="319"/>
      <c r="I108" s="319"/>
      <c r="J108" s="319"/>
      <c r="K108" s="319"/>
      <c r="L108" s="319"/>
      <c r="M108" s="413"/>
      <c r="N108" s="319"/>
      <c r="O108" s="319"/>
      <c r="P108" s="319"/>
      <c r="Q108" s="319"/>
      <c r="R108" s="319"/>
      <c r="S108" s="319"/>
      <c r="T108" s="319"/>
      <c r="U108" s="319"/>
      <c r="V108" s="319"/>
      <c r="W108" s="319"/>
      <c r="X108" s="319"/>
      <c r="Y108" s="319"/>
      <c r="Z108" s="299"/>
      <c r="AA108" s="299"/>
      <c r="AB108" s="299"/>
      <c r="AC108" s="299"/>
      <c r="AD108" s="299"/>
      <c r="AE108" s="299"/>
      <c r="AF108" s="299"/>
    </row>
    <row r="109" spans="1:32" x14ac:dyDescent="0.35">
      <c r="A109" s="338"/>
      <c r="B109" s="319"/>
      <c r="C109" s="319"/>
      <c r="D109" s="319"/>
      <c r="E109" s="331"/>
      <c r="F109" s="319"/>
      <c r="G109" s="319"/>
      <c r="H109" s="319"/>
      <c r="I109" s="319"/>
      <c r="J109" s="319"/>
      <c r="K109" s="319"/>
      <c r="L109" s="319"/>
      <c r="M109" s="413"/>
      <c r="N109" s="319"/>
      <c r="O109" s="319"/>
      <c r="P109" s="319"/>
      <c r="Q109" s="319"/>
      <c r="R109" s="319"/>
      <c r="S109" s="319"/>
      <c r="T109" s="319"/>
      <c r="U109" s="319"/>
      <c r="V109" s="319"/>
      <c r="W109" s="319"/>
      <c r="X109" s="319"/>
      <c r="Y109" s="319"/>
      <c r="Z109" s="299"/>
      <c r="AA109" s="299"/>
      <c r="AB109" s="299"/>
      <c r="AC109" s="299"/>
      <c r="AD109" s="299"/>
      <c r="AE109" s="299"/>
      <c r="AF109" s="299"/>
    </row>
    <row r="110" spans="1:32" x14ac:dyDescent="0.35">
      <c r="A110" s="338"/>
      <c r="B110" s="319"/>
      <c r="C110" s="319"/>
      <c r="D110" s="319"/>
      <c r="E110" s="331"/>
      <c r="F110" s="319"/>
      <c r="G110" s="319"/>
      <c r="H110" s="319"/>
      <c r="I110" s="319"/>
      <c r="J110" s="319"/>
      <c r="K110" s="319"/>
      <c r="L110" s="319"/>
      <c r="M110" s="413"/>
      <c r="N110" s="319"/>
      <c r="O110" s="319"/>
      <c r="P110" s="319"/>
      <c r="Q110" s="319"/>
      <c r="R110" s="319"/>
      <c r="S110" s="319"/>
      <c r="T110" s="319"/>
      <c r="U110" s="319"/>
      <c r="V110" s="319"/>
      <c r="W110" s="319"/>
      <c r="X110" s="319"/>
      <c r="Y110" s="319"/>
      <c r="Z110" s="299"/>
      <c r="AA110" s="299"/>
      <c r="AB110" s="299"/>
      <c r="AC110" s="299"/>
      <c r="AD110" s="299"/>
      <c r="AE110" s="299"/>
      <c r="AF110" s="299"/>
    </row>
    <row r="111" spans="1:32" x14ac:dyDescent="0.35">
      <c r="A111" s="338"/>
      <c r="B111" s="319"/>
      <c r="C111" s="319"/>
      <c r="D111" s="319"/>
      <c r="E111" s="331"/>
      <c r="F111" s="319"/>
      <c r="G111" s="319"/>
      <c r="H111" s="319"/>
      <c r="I111" s="319"/>
      <c r="J111" s="319"/>
      <c r="K111" s="319"/>
      <c r="L111" s="319"/>
      <c r="M111" s="413"/>
      <c r="N111" s="319"/>
      <c r="O111" s="319"/>
      <c r="P111" s="319"/>
      <c r="Q111" s="319"/>
      <c r="R111" s="319"/>
      <c r="S111" s="319"/>
      <c r="T111" s="319"/>
      <c r="U111" s="319"/>
      <c r="V111" s="319"/>
      <c r="W111" s="319"/>
      <c r="X111" s="319"/>
      <c r="Y111" s="319"/>
      <c r="Z111" s="299"/>
      <c r="AA111" s="299"/>
      <c r="AB111" s="299"/>
      <c r="AC111" s="299"/>
      <c r="AD111" s="299"/>
      <c r="AE111" s="299"/>
      <c r="AF111" s="299"/>
    </row>
    <row r="112" spans="1:32" x14ac:dyDescent="0.35">
      <c r="A112" s="338"/>
      <c r="B112" s="319"/>
      <c r="C112" s="319"/>
      <c r="D112" s="319"/>
      <c r="E112" s="331"/>
      <c r="F112" s="319"/>
      <c r="G112" s="319"/>
      <c r="H112" s="319"/>
      <c r="I112" s="319"/>
      <c r="J112" s="319"/>
      <c r="K112" s="319"/>
      <c r="L112" s="319"/>
      <c r="M112" s="413"/>
      <c r="N112" s="319"/>
      <c r="O112" s="319"/>
      <c r="P112" s="319"/>
      <c r="Q112" s="319"/>
      <c r="R112" s="319"/>
      <c r="S112" s="319"/>
      <c r="T112" s="319"/>
      <c r="U112" s="319"/>
      <c r="V112" s="319"/>
      <c r="W112" s="319"/>
      <c r="X112" s="319"/>
      <c r="Y112" s="319"/>
      <c r="Z112" s="299"/>
      <c r="AA112" s="299"/>
      <c r="AB112" s="299"/>
      <c r="AC112" s="299"/>
      <c r="AD112" s="299"/>
      <c r="AE112" s="299"/>
      <c r="AF112" s="299"/>
    </row>
    <row r="113" spans="1:32" x14ac:dyDescent="0.35">
      <c r="A113" s="338"/>
      <c r="B113" s="319"/>
      <c r="C113" s="319"/>
      <c r="D113" s="319"/>
      <c r="E113" s="331"/>
      <c r="F113" s="319"/>
      <c r="G113" s="319"/>
      <c r="H113" s="319"/>
      <c r="I113" s="319"/>
      <c r="J113" s="319"/>
      <c r="K113" s="319"/>
      <c r="L113" s="319"/>
      <c r="M113" s="413"/>
      <c r="N113" s="319"/>
      <c r="O113" s="319"/>
      <c r="P113" s="319"/>
      <c r="Q113" s="319"/>
      <c r="R113" s="319"/>
      <c r="S113" s="319"/>
      <c r="T113" s="319"/>
      <c r="U113" s="319"/>
      <c r="V113" s="319"/>
      <c r="W113" s="319"/>
      <c r="X113" s="319"/>
      <c r="Y113" s="319"/>
      <c r="Z113" s="299"/>
      <c r="AA113" s="299"/>
      <c r="AB113" s="299"/>
      <c r="AC113" s="299"/>
      <c r="AD113" s="299"/>
      <c r="AE113" s="299"/>
      <c r="AF113" s="299"/>
    </row>
    <row r="114" spans="1:32" x14ac:dyDescent="0.35">
      <c r="A114" s="338"/>
      <c r="B114" s="319"/>
      <c r="C114" s="319"/>
      <c r="D114" s="319"/>
      <c r="E114" s="331"/>
      <c r="F114" s="319"/>
      <c r="G114" s="319"/>
      <c r="H114" s="319"/>
      <c r="I114" s="319"/>
      <c r="J114" s="319"/>
      <c r="K114" s="319"/>
      <c r="L114" s="319"/>
      <c r="M114" s="413"/>
      <c r="N114" s="319"/>
      <c r="O114" s="319"/>
      <c r="P114" s="319"/>
      <c r="Q114" s="319"/>
      <c r="R114" s="319"/>
      <c r="S114" s="319"/>
      <c r="T114" s="319"/>
      <c r="U114" s="319"/>
      <c r="V114" s="319"/>
      <c r="W114" s="319"/>
      <c r="X114" s="319"/>
      <c r="Y114" s="319"/>
      <c r="Z114" s="299"/>
      <c r="AA114" s="299"/>
      <c r="AB114" s="299"/>
      <c r="AC114" s="299"/>
      <c r="AD114" s="299"/>
      <c r="AE114" s="299"/>
      <c r="AF114" s="299"/>
    </row>
    <row r="115" spans="1:32" x14ac:dyDescent="0.35">
      <c r="A115" s="338"/>
      <c r="B115" s="319"/>
      <c r="C115" s="319"/>
      <c r="D115" s="319"/>
      <c r="E115" s="331"/>
      <c r="F115" s="319"/>
      <c r="G115" s="319"/>
      <c r="H115" s="319"/>
      <c r="I115" s="319"/>
      <c r="J115" s="319"/>
      <c r="K115" s="319"/>
      <c r="L115" s="319"/>
      <c r="M115" s="413"/>
      <c r="N115" s="319"/>
      <c r="O115" s="319"/>
      <c r="P115" s="319"/>
      <c r="Q115" s="319"/>
      <c r="R115" s="319"/>
      <c r="S115" s="319"/>
      <c r="T115" s="319"/>
      <c r="U115" s="319"/>
      <c r="V115" s="319"/>
      <c r="W115" s="319"/>
      <c r="X115" s="319"/>
      <c r="Y115" s="319"/>
      <c r="Z115" s="299"/>
      <c r="AA115" s="299"/>
      <c r="AB115" s="299"/>
      <c r="AC115" s="299"/>
      <c r="AD115" s="299"/>
      <c r="AE115" s="299"/>
      <c r="AF115" s="299"/>
    </row>
    <row r="116" spans="1:32" x14ac:dyDescent="0.35">
      <c r="A116" s="338"/>
      <c r="B116" s="319"/>
      <c r="C116" s="319"/>
      <c r="D116" s="319"/>
      <c r="E116" s="331"/>
      <c r="F116" s="319"/>
      <c r="G116" s="319"/>
      <c r="H116" s="319"/>
      <c r="I116" s="319"/>
      <c r="J116" s="319"/>
      <c r="K116" s="319"/>
      <c r="L116" s="319"/>
      <c r="M116" s="413"/>
      <c r="N116" s="319"/>
      <c r="O116" s="319"/>
      <c r="P116" s="319"/>
      <c r="Q116" s="319"/>
      <c r="R116" s="319"/>
      <c r="S116" s="319"/>
      <c r="T116" s="319"/>
      <c r="U116" s="319"/>
      <c r="V116" s="319"/>
      <c r="W116" s="319"/>
      <c r="X116" s="319"/>
      <c r="Y116" s="319"/>
      <c r="Z116" s="299"/>
      <c r="AA116" s="299"/>
      <c r="AB116" s="299"/>
      <c r="AC116" s="299"/>
      <c r="AD116" s="299"/>
      <c r="AE116" s="299"/>
      <c r="AF116" s="299"/>
    </row>
    <row r="117" spans="1:32" x14ac:dyDescent="0.35">
      <c r="A117" s="338"/>
      <c r="B117" s="319"/>
      <c r="C117" s="319"/>
      <c r="D117" s="319"/>
      <c r="E117" s="331"/>
      <c r="F117" s="319"/>
      <c r="G117" s="319"/>
      <c r="H117" s="319"/>
      <c r="I117" s="319"/>
      <c r="J117" s="319"/>
      <c r="K117" s="319"/>
      <c r="L117" s="319"/>
      <c r="M117" s="413"/>
      <c r="N117" s="319"/>
      <c r="O117" s="319"/>
      <c r="P117" s="319"/>
      <c r="Q117" s="319"/>
      <c r="R117" s="319"/>
      <c r="S117" s="319"/>
      <c r="T117" s="319"/>
      <c r="U117" s="319"/>
      <c r="V117" s="319"/>
      <c r="W117" s="319"/>
      <c r="X117" s="319"/>
      <c r="Y117" s="319"/>
      <c r="Z117" s="299"/>
      <c r="AA117" s="299"/>
      <c r="AB117" s="299"/>
      <c r="AC117" s="299"/>
      <c r="AD117" s="299"/>
      <c r="AE117" s="299"/>
      <c r="AF117" s="299"/>
    </row>
    <row r="118" spans="1:32" x14ac:dyDescent="0.35">
      <c r="A118" s="338"/>
      <c r="B118" s="319"/>
      <c r="C118" s="319"/>
      <c r="D118" s="319"/>
      <c r="E118" s="331"/>
      <c r="F118" s="319"/>
      <c r="G118" s="319"/>
      <c r="H118" s="319"/>
      <c r="I118" s="319"/>
      <c r="J118" s="319"/>
      <c r="K118" s="319"/>
      <c r="L118" s="319"/>
      <c r="M118" s="413"/>
      <c r="N118" s="319"/>
      <c r="O118" s="319"/>
      <c r="P118" s="319"/>
      <c r="Q118" s="319"/>
      <c r="R118" s="319"/>
      <c r="S118" s="319"/>
      <c r="T118" s="319"/>
      <c r="U118" s="319"/>
      <c r="V118" s="319"/>
      <c r="W118" s="319"/>
      <c r="X118" s="319"/>
      <c r="Y118" s="319"/>
      <c r="Z118" s="299"/>
      <c r="AA118" s="299"/>
      <c r="AB118" s="299"/>
      <c r="AC118" s="299"/>
      <c r="AD118" s="299"/>
      <c r="AE118" s="299"/>
      <c r="AF118" s="299"/>
    </row>
    <row r="119" spans="1:32" x14ac:dyDescent="0.35">
      <c r="A119" s="338"/>
      <c r="B119" s="319"/>
      <c r="C119" s="319"/>
      <c r="D119" s="319"/>
      <c r="E119" s="331"/>
      <c r="F119" s="319"/>
      <c r="G119" s="319"/>
      <c r="H119" s="319"/>
      <c r="I119" s="319"/>
      <c r="J119" s="319"/>
      <c r="K119" s="319"/>
      <c r="L119" s="319"/>
      <c r="M119" s="413"/>
      <c r="N119" s="319"/>
      <c r="O119" s="319"/>
      <c r="P119" s="319"/>
      <c r="Q119" s="319"/>
      <c r="R119" s="319"/>
      <c r="S119" s="319"/>
      <c r="T119" s="319"/>
      <c r="U119" s="319"/>
      <c r="V119" s="319"/>
      <c r="W119" s="319"/>
      <c r="X119" s="319"/>
      <c r="Y119" s="319"/>
      <c r="Z119" s="299"/>
      <c r="AA119" s="299"/>
      <c r="AB119" s="299"/>
      <c r="AC119" s="299"/>
      <c r="AD119" s="299"/>
      <c r="AE119" s="299"/>
      <c r="AF119" s="299"/>
    </row>
    <row r="120" spans="1:32" x14ac:dyDescent="0.35">
      <c r="A120" s="338"/>
      <c r="B120" s="319"/>
      <c r="C120" s="319"/>
      <c r="D120" s="319"/>
      <c r="E120" s="331"/>
      <c r="F120" s="319"/>
      <c r="G120" s="319"/>
      <c r="H120" s="319"/>
      <c r="I120" s="319"/>
      <c r="J120" s="319"/>
      <c r="K120" s="319"/>
      <c r="L120" s="319"/>
      <c r="M120" s="413"/>
      <c r="N120" s="319"/>
      <c r="O120" s="319"/>
      <c r="P120" s="319"/>
      <c r="Q120" s="319"/>
      <c r="R120" s="319"/>
      <c r="S120" s="319"/>
      <c r="T120" s="319"/>
      <c r="U120" s="319"/>
      <c r="V120" s="319"/>
      <c r="W120" s="319"/>
      <c r="X120" s="319"/>
      <c r="Y120" s="319"/>
      <c r="Z120" s="299"/>
      <c r="AA120" s="299"/>
      <c r="AB120" s="299"/>
      <c r="AC120" s="299"/>
      <c r="AD120" s="299"/>
      <c r="AE120" s="299"/>
      <c r="AF120" s="299"/>
    </row>
    <row r="121" spans="1:32" x14ac:dyDescent="0.35">
      <c r="A121" s="338"/>
      <c r="B121" s="319"/>
      <c r="C121" s="319"/>
      <c r="D121" s="319"/>
      <c r="E121" s="331"/>
      <c r="F121" s="319"/>
      <c r="G121" s="319"/>
      <c r="H121" s="319"/>
      <c r="I121" s="319"/>
      <c r="J121" s="319"/>
      <c r="K121" s="319"/>
      <c r="L121" s="319"/>
      <c r="M121" s="413"/>
      <c r="N121" s="319"/>
      <c r="O121" s="319"/>
      <c r="P121" s="319"/>
      <c r="Q121" s="319"/>
      <c r="R121" s="319"/>
      <c r="S121" s="319"/>
      <c r="T121" s="319"/>
      <c r="U121" s="319"/>
      <c r="V121" s="319"/>
      <c r="W121" s="319"/>
      <c r="X121" s="319"/>
      <c r="Y121" s="319"/>
      <c r="Z121" s="299"/>
      <c r="AA121" s="299"/>
      <c r="AB121" s="299"/>
      <c r="AC121" s="299"/>
      <c r="AD121" s="299"/>
      <c r="AE121" s="299"/>
      <c r="AF121" s="299"/>
    </row>
    <row r="122" spans="1:32" x14ac:dyDescent="0.35">
      <c r="A122" s="338"/>
      <c r="B122" s="319"/>
      <c r="C122" s="319"/>
      <c r="D122" s="319"/>
      <c r="E122" s="331"/>
      <c r="F122" s="319"/>
      <c r="G122" s="319"/>
      <c r="H122" s="319"/>
      <c r="I122" s="319"/>
      <c r="J122" s="319"/>
      <c r="K122" s="319"/>
      <c r="L122" s="319"/>
      <c r="M122" s="413"/>
      <c r="N122" s="319"/>
      <c r="O122" s="319"/>
      <c r="P122" s="319"/>
      <c r="Q122" s="319"/>
      <c r="R122" s="319"/>
      <c r="S122" s="319"/>
      <c r="T122" s="319"/>
      <c r="U122" s="319"/>
      <c r="V122" s="319"/>
      <c r="W122" s="319"/>
      <c r="X122" s="319"/>
      <c r="Y122" s="319"/>
      <c r="Z122" s="299"/>
      <c r="AA122" s="299"/>
      <c r="AB122" s="299"/>
      <c r="AC122" s="299"/>
      <c r="AD122" s="299"/>
      <c r="AE122" s="299"/>
      <c r="AF122" s="299"/>
    </row>
    <row r="123" spans="1:32" x14ac:dyDescent="0.35">
      <c r="A123" s="339"/>
      <c r="B123" s="299"/>
      <c r="C123" s="299"/>
      <c r="D123" s="299"/>
      <c r="E123" s="344"/>
      <c r="F123" s="299"/>
      <c r="G123" s="299"/>
      <c r="H123" s="299"/>
      <c r="I123" s="299"/>
      <c r="J123" s="299"/>
      <c r="K123" s="299"/>
      <c r="L123" s="299"/>
      <c r="M123" s="414"/>
      <c r="N123" s="299"/>
      <c r="O123" s="537"/>
      <c r="P123" s="537"/>
      <c r="Q123" s="537"/>
      <c r="R123" s="537"/>
      <c r="S123" s="299"/>
      <c r="T123" s="299"/>
      <c r="U123" s="299"/>
      <c r="V123" s="299"/>
      <c r="W123" s="299"/>
      <c r="X123" s="299"/>
      <c r="Y123" s="299"/>
      <c r="Z123" s="299"/>
      <c r="AA123" s="299"/>
      <c r="AB123" s="299"/>
      <c r="AC123" s="299"/>
      <c r="AD123" s="299"/>
      <c r="AE123" s="299"/>
      <c r="AF123" s="299"/>
    </row>
    <row r="124" spans="1:32" x14ac:dyDescent="0.35">
      <c r="A124" s="339"/>
      <c r="B124" s="299"/>
      <c r="C124" s="299"/>
      <c r="D124" s="299"/>
      <c r="E124" s="344"/>
      <c r="F124" s="299"/>
      <c r="G124" s="299"/>
      <c r="H124" s="299"/>
      <c r="I124" s="299"/>
      <c r="J124" s="299"/>
      <c r="K124" s="299"/>
      <c r="L124" s="299"/>
      <c r="M124" s="414"/>
      <c r="N124" s="299"/>
      <c r="O124" s="537"/>
      <c r="P124" s="537"/>
      <c r="Q124" s="537"/>
      <c r="R124" s="537"/>
      <c r="S124" s="299"/>
      <c r="T124" s="299"/>
      <c r="U124" s="299"/>
      <c r="V124" s="299"/>
      <c r="W124" s="299"/>
      <c r="X124" s="299"/>
      <c r="Y124" s="299"/>
      <c r="Z124" s="299"/>
      <c r="AA124" s="299"/>
      <c r="AB124" s="299"/>
      <c r="AC124" s="299"/>
      <c r="AD124" s="299"/>
      <c r="AE124" s="299"/>
      <c r="AF124" s="299"/>
    </row>
    <row r="125" spans="1:32" x14ac:dyDescent="0.35">
      <c r="A125" s="339"/>
      <c r="B125" s="299"/>
      <c r="C125" s="299"/>
      <c r="D125" s="299"/>
      <c r="E125" s="344"/>
      <c r="F125" s="299"/>
      <c r="G125" s="299"/>
      <c r="H125" s="299"/>
      <c r="I125" s="299"/>
      <c r="J125" s="299"/>
      <c r="K125" s="299"/>
      <c r="L125" s="299"/>
      <c r="M125" s="414"/>
      <c r="N125" s="299"/>
      <c r="O125" s="537"/>
      <c r="P125" s="537"/>
      <c r="Q125" s="537"/>
      <c r="R125" s="537"/>
      <c r="S125" s="299"/>
      <c r="T125" s="299"/>
      <c r="U125" s="299"/>
      <c r="V125" s="299"/>
      <c r="W125" s="299"/>
      <c r="X125" s="299"/>
      <c r="Y125" s="299"/>
      <c r="Z125" s="299"/>
      <c r="AA125" s="299"/>
      <c r="AB125" s="299"/>
      <c r="AC125" s="299"/>
      <c r="AD125" s="299"/>
      <c r="AE125" s="299"/>
      <c r="AF125" s="299"/>
    </row>
    <row r="126" spans="1:32" x14ac:dyDescent="0.35">
      <c r="A126" s="339"/>
      <c r="B126" s="299"/>
      <c r="C126" s="299"/>
      <c r="D126" s="299"/>
      <c r="E126" s="344"/>
      <c r="F126" s="299"/>
      <c r="G126" s="299"/>
      <c r="H126" s="299"/>
      <c r="I126" s="299"/>
      <c r="J126" s="299"/>
      <c r="K126" s="299"/>
      <c r="L126" s="299"/>
      <c r="M126" s="414"/>
      <c r="N126" s="299"/>
      <c r="O126" s="537"/>
      <c r="P126" s="537"/>
      <c r="Q126" s="537"/>
      <c r="R126" s="537"/>
      <c r="S126" s="299"/>
      <c r="T126" s="299"/>
      <c r="U126" s="299"/>
      <c r="V126" s="299"/>
      <c r="W126" s="299"/>
      <c r="X126" s="299"/>
      <c r="Y126" s="299"/>
      <c r="Z126" s="299"/>
      <c r="AA126" s="299"/>
      <c r="AB126" s="299"/>
      <c r="AC126" s="299"/>
      <c r="AD126" s="299"/>
      <c r="AE126" s="299"/>
      <c r="AF126" s="299"/>
    </row>
    <row r="127" spans="1:32" x14ac:dyDescent="0.35">
      <c r="A127" s="339"/>
      <c r="B127" s="299"/>
      <c r="C127" s="299"/>
      <c r="D127" s="299"/>
      <c r="E127" s="344"/>
      <c r="F127" s="299"/>
      <c r="G127" s="299"/>
      <c r="H127" s="299"/>
      <c r="I127" s="299"/>
      <c r="J127" s="299"/>
      <c r="K127" s="299"/>
      <c r="L127" s="299"/>
      <c r="M127" s="414"/>
      <c r="N127" s="299"/>
      <c r="O127" s="537"/>
      <c r="P127" s="537"/>
      <c r="Q127" s="537"/>
      <c r="R127" s="537"/>
      <c r="S127" s="299"/>
      <c r="T127" s="299"/>
      <c r="U127" s="299"/>
      <c r="V127" s="299"/>
      <c r="W127" s="299"/>
      <c r="X127" s="299"/>
      <c r="Y127" s="299"/>
      <c r="Z127" s="299"/>
      <c r="AA127" s="299"/>
      <c r="AB127" s="299"/>
      <c r="AC127" s="299"/>
      <c r="AD127" s="299"/>
      <c r="AE127" s="299"/>
      <c r="AF127" s="299"/>
    </row>
    <row r="128" spans="1:32" x14ac:dyDescent="0.35">
      <c r="A128" s="339"/>
      <c r="B128" s="299"/>
      <c r="C128" s="299"/>
      <c r="D128" s="299"/>
      <c r="E128" s="344"/>
      <c r="F128" s="299"/>
      <c r="G128" s="299"/>
      <c r="H128" s="299"/>
      <c r="I128" s="299"/>
      <c r="J128" s="299"/>
      <c r="K128" s="299"/>
      <c r="L128" s="299"/>
      <c r="M128" s="414"/>
      <c r="N128" s="299"/>
      <c r="O128" s="537"/>
      <c r="P128" s="537"/>
      <c r="Q128" s="537"/>
      <c r="R128" s="537"/>
      <c r="S128" s="299"/>
      <c r="T128" s="299"/>
      <c r="U128" s="299"/>
      <c r="V128" s="299"/>
      <c r="W128" s="299"/>
      <c r="X128" s="299"/>
      <c r="Y128" s="299"/>
      <c r="Z128" s="299"/>
      <c r="AA128" s="299"/>
      <c r="AB128" s="299"/>
      <c r="AC128" s="299"/>
      <c r="AD128" s="299"/>
      <c r="AE128" s="299"/>
      <c r="AF128" s="299"/>
    </row>
    <row r="129" spans="1:32" x14ac:dyDescent="0.35">
      <c r="A129" s="339"/>
      <c r="B129" s="299"/>
      <c r="C129" s="299"/>
      <c r="D129" s="299"/>
      <c r="E129" s="344"/>
      <c r="F129" s="299"/>
      <c r="G129" s="299"/>
      <c r="H129" s="299"/>
      <c r="I129" s="299"/>
      <c r="J129" s="299"/>
      <c r="K129" s="299"/>
      <c r="L129" s="299"/>
      <c r="M129" s="414"/>
      <c r="N129" s="299"/>
      <c r="O129" s="537"/>
      <c r="P129" s="537"/>
      <c r="Q129" s="537"/>
      <c r="R129" s="537"/>
      <c r="S129" s="299"/>
      <c r="T129" s="299"/>
      <c r="U129" s="299"/>
      <c r="V129" s="299"/>
      <c r="W129" s="299"/>
      <c r="X129" s="299"/>
      <c r="Y129" s="299"/>
      <c r="Z129" s="299"/>
      <c r="AA129" s="299"/>
      <c r="AB129" s="299"/>
      <c r="AC129" s="299"/>
      <c r="AD129" s="299"/>
      <c r="AE129" s="299"/>
      <c r="AF129" s="299"/>
    </row>
    <row r="130" spans="1:32" x14ac:dyDescent="0.35">
      <c r="A130" s="339"/>
      <c r="B130" s="299"/>
      <c r="C130" s="299"/>
      <c r="D130" s="299"/>
      <c r="E130" s="344"/>
      <c r="F130" s="299"/>
      <c r="G130" s="299"/>
      <c r="H130" s="299"/>
      <c r="I130" s="299"/>
      <c r="J130" s="299"/>
      <c r="K130" s="299"/>
      <c r="L130" s="299"/>
      <c r="M130" s="414"/>
      <c r="N130" s="299"/>
      <c r="O130" s="537"/>
      <c r="P130" s="537"/>
      <c r="Q130" s="537"/>
      <c r="R130" s="537"/>
      <c r="S130" s="299"/>
      <c r="T130" s="299"/>
      <c r="U130" s="299"/>
      <c r="V130" s="299"/>
      <c r="W130" s="299"/>
      <c r="X130" s="299"/>
      <c r="Y130" s="299"/>
      <c r="Z130" s="299"/>
      <c r="AA130" s="299"/>
      <c r="AB130" s="299"/>
      <c r="AC130" s="299"/>
      <c r="AD130" s="299"/>
      <c r="AE130" s="299"/>
      <c r="AF130" s="299"/>
    </row>
    <row r="131" spans="1:32" x14ac:dyDescent="0.35">
      <c r="A131" s="339"/>
      <c r="B131" s="299"/>
      <c r="C131" s="299"/>
      <c r="D131" s="299"/>
      <c r="E131" s="344"/>
      <c r="F131" s="299"/>
      <c r="G131" s="299"/>
      <c r="H131" s="299"/>
      <c r="I131" s="299"/>
      <c r="J131" s="299"/>
      <c r="K131" s="299"/>
      <c r="L131" s="299"/>
      <c r="M131" s="414"/>
      <c r="N131" s="299"/>
      <c r="O131" s="537"/>
      <c r="P131" s="537"/>
      <c r="Q131" s="537"/>
      <c r="R131" s="537"/>
      <c r="S131" s="299"/>
      <c r="T131" s="299"/>
      <c r="U131" s="299"/>
      <c r="V131" s="299"/>
      <c r="W131" s="299"/>
      <c r="X131" s="299"/>
      <c r="Y131" s="299"/>
      <c r="Z131" s="299"/>
      <c r="AA131" s="299"/>
      <c r="AB131" s="299"/>
      <c r="AC131" s="299"/>
      <c r="AD131" s="299"/>
      <c r="AE131" s="299"/>
      <c r="AF131" s="299"/>
    </row>
    <row r="132" spans="1:32" x14ac:dyDescent="0.35">
      <c r="A132" s="339"/>
      <c r="B132" s="299"/>
      <c r="C132" s="299"/>
      <c r="D132" s="299"/>
      <c r="E132" s="344"/>
      <c r="F132" s="299"/>
      <c r="G132" s="299"/>
      <c r="H132" s="299"/>
      <c r="I132" s="299"/>
      <c r="J132" s="299"/>
      <c r="K132" s="299"/>
      <c r="L132" s="299"/>
      <c r="M132" s="414"/>
      <c r="N132" s="299"/>
      <c r="O132" s="537"/>
      <c r="P132" s="537"/>
      <c r="Q132" s="537"/>
      <c r="R132" s="537"/>
      <c r="S132" s="299"/>
      <c r="T132" s="299"/>
      <c r="U132" s="299"/>
      <c r="V132" s="299"/>
      <c r="W132" s="299"/>
      <c r="X132" s="299"/>
      <c r="Y132" s="299"/>
      <c r="Z132" s="299"/>
      <c r="AA132" s="299"/>
      <c r="AB132" s="299"/>
      <c r="AC132" s="299"/>
      <c r="AD132" s="299"/>
      <c r="AE132" s="299"/>
      <c r="AF132" s="299"/>
    </row>
    <row r="133" spans="1:32" x14ac:dyDescent="0.35">
      <c r="A133" s="339"/>
      <c r="B133" s="299"/>
      <c r="C133" s="299"/>
      <c r="D133" s="299"/>
      <c r="E133" s="344"/>
      <c r="F133" s="299"/>
      <c r="G133" s="299"/>
      <c r="H133" s="299"/>
      <c r="I133" s="299"/>
      <c r="J133" s="299"/>
      <c r="K133" s="299"/>
      <c r="L133" s="299"/>
      <c r="M133" s="414"/>
      <c r="N133" s="299"/>
      <c r="O133" s="537"/>
      <c r="P133" s="537"/>
      <c r="Q133" s="537"/>
      <c r="R133" s="537"/>
      <c r="S133" s="299"/>
      <c r="T133" s="299"/>
      <c r="U133" s="299"/>
      <c r="V133" s="299"/>
      <c r="W133" s="299"/>
      <c r="X133" s="299"/>
      <c r="Y133" s="299"/>
      <c r="Z133" s="299"/>
      <c r="AA133" s="299"/>
      <c r="AB133" s="299"/>
      <c r="AC133" s="299"/>
      <c r="AD133" s="299"/>
      <c r="AE133" s="299"/>
      <c r="AF133" s="299"/>
    </row>
    <row r="134" spans="1:32" x14ac:dyDescent="0.35">
      <c r="A134" s="339"/>
      <c r="B134" s="299"/>
      <c r="C134" s="299"/>
      <c r="D134" s="299"/>
      <c r="E134" s="344"/>
      <c r="F134" s="299"/>
      <c r="G134" s="299"/>
      <c r="H134" s="299"/>
      <c r="I134" s="299"/>
      <c r="J134" s="299"/>
      <c r="K134" s="299"/>
      <c r="L134" s="299"/>
      <c r="M134" s="414"/>
      <c r="N134" s="299"/>
      <c r="O134" s="537"/>
      <c r="P134" s="537"/>
      <c r="Q134" s="537"/>
      <c r="R134" s="537"/>
      <c r="S134" s="299"/>
      <c r="T134" s="299"/>
      <c r="U134" s="299"/>
      <c r="V134" s="299"/>
      <c r="W134" s="299"/>
      <c r="X134" s="299"/>
      <c r="Y134" s="299"/>
      <c r="Z134" s="299"/>
      <c r="AA134" s="299"/>
      <c r="AB134" s="299"/>
      <c r="AC134" s="299"/>
      <c r="AD134" s="299"/>
      <c r="AE134" s="299"/>
      <c r="AF134" s="299"/>
    </row>
    <row r="135" spans="1:32" x14ac:dyDescent="0.35">
      <c r="A135" s="339"/>
      <c r="B135" s="299"/>
      <c r="C135" s="299"/>
      <c r="D135" s="299"/>
      <c r="E135" s="344"/>
      <c r="F135" s="299"/>
      <c r="G135" s="299"/>
      <c r="H135" s="299"/>
      <c r="I135" s="299"/>
      <c r="J135" s="299"/>
      <c r="K135" s="299"/>
      <c r="L135" s="299"/>
      <c r="M135" s="414"/>
      <c r="N135" s="299"/>
      <c r="O135" s="537"/>
      <c r="P135" s="537"/>
      <c r="Q135" s="537"/>
      <c r="R135" s="537"/>
      <c r="S135" s="299"/>
      <c r="T135" s="299"/>
      <c r="U135" s="299"/>
      <c r="V135" s="299"/>
      <c r="W135" s="299"/>
      <c r="X135" s="299"/>
      <c r="Y135" s="299"/>
      <c r="Z135" s="299"/>
      <c r="AA135" s="299"/>
      <c r="AB135" s="299"/>
      <c r="AC135" s="299"/>
      <c r="AD135" s="299"/>
      <c r="AE135" s="299"/>
      <c r="AF135" s="299"/>
    </row>
    <row r="136" spans="1:32" x14ac:dyDescent="0.35">
      <c r="A136" s="339"/>
      <c r="B136" s="299"/>
      <c r="C136" s="299"/>
      <c r="D136" s="299"/>
      <c r="E136" s="344"/>
      <c r="F136" s="299"/>
      <c r="G136" s="299"/>
      <c r="H136" s="299"/>
      <c r="I136" s="299"/>
      <c r="J136" s="299"/>
      <c r="K136" s="299"/>
      <c r="L136" s="299"/>
      <c r="M136" s="414"/>
      <c r="N136" s="299"/>
      <c r="O136" s="537"/>
      <c r="P136" s="537"/>
      <c r="Q136" s="537"/>
      <c r="R136" s="537"/>
      <c r="S136" s="299"/>
      <c r="T136" s="299"/>
      <c r="U136" s="299"/>
      <c r="V136" s="299"/>
      <c r="W136" s="299"/>
      <c r="X136" s="299"/>
      <c r="Y136" s="299"/>
      <c r="Z136" s="299"/>
      <c r="AA136" s="299"/>
      <c r="AB136" s="299"/>
      <c r="AC136" s="299"/>
      <c r="AD136" s="299"/>
      <c r="AE136" s="299"/>
      <c r="AF136" s="299"/>
    </row>
    <row r="137" spans="1:32" x14ac:dyDescent="0.35">
      <c r="A137" s="339"/>
      <c r="B137" s="299"/>
      <c r="C137" s="299"/>
      <c r="D137" s="299"/>
      <c r="E137" s="344"/>
      <c r="F137" s="299"/>
      <c r="G137" s="299"/>
      <c r="H137" s="299"/>
      <c r="I137" s="299"/>
      <c r="J137" s="299"/>
      <c r="K137" s="299"/>
      <c r="L137" s="299"/>
      <c r="M137" s="414"/>
      <c r="N137" s="299"/>
      <c r="O137" s="537"/>
      <c r="P137" s="537"/>
      <c r="Q137" s="537"/>
      <c r="R137" s="537"/>
      <c r="S137" s="299"/>
      <c r="T137" s="299"/>
      <c r="U137" s="299"/>
      <c r="V137" s="299"/>
      <c r="W137" s="299"/>
      <c r="X137" s="299"/>
      <c r="Y137" s="299"/>
      <c r="Z137" s="299"/>
      <c r="AA137" s="299"/>
      <c r="AB137" s="299"/>
      <c r="AC137" s="299"/>
      <c r="AD137" s="299"/>
      <c r="AE137" s="299"/>
      <c r="AF137" s="299"/>
    </row>
    <row r="138" spans="1:32" x14ac:dyDescent="0.35">
      <c r="A138" s="339"/>
      <c r="B138" s="299"/>
      <c r="C138" s="299"/>
      <c r="D138" s="299"/>
      <c r="E138" s="344"/>
      <c r="F138" s="299"/>
      <c r="G138" s="299"/>
      <c r="H138" s="299"/>
      <c r="I138" s="299"/>
      <c r="J138" s="299"/>
      <c r="K138" s="299"/>
      <c r="L138" s="299"/>
      <c r="M138" s="414"/>
      <c r="N138" s="299"/>
      <c r="O138" s="537"/>
      <c r="P138" s="537"/>
      <c r="Q138" s="537"/>
      <c r="R138" s="537"/>
      <c r="S138" s="299"/>
      <c r="T138" s="299"/>
      <c r="U138" s="299"/>
      <c r="V138" s="299"/>
      <c r="W138" s="299"/>
      <c r="X138" s="299"/>
      <c r="Y138" s="299"/>
      <c r="Z138" s="299"/>
      <c r="AA138" s="299"/>
      <c r="AB138" s="299"/>
      <c r="AC138" s="299"/>
      <c r="AD138" s="299"/>
      <c r="AE138" s="299"/>
      <c r="AF138" s="299"/>
    </row>
    <row r="139" spans="1:32" x14ac:dyDescent="0.35">
      <c r="A139" s="339"/>
      <c r="B139" s="299"/>
      <c r="C139" s="299"/>
      <c r="D139" s="299"/>
      <c r="E139" s="344"/>
      <c r="F139" s="299"/>
      <c r="G139" s="299"/>
      <c r="H139" s="299"/>
      <c r="I139" s="299"/>
      <c r="J139" s="299"/>
      <c r="K139" s="299"/>
      <c r="L139" s="299"/>
      <c r="M139" s="414"/>
      <c r="N139" s="299"/>
      <c r="O139" s="537"/>
      <c r="P139" s="537"/>
      <c r="Q139" s="537"/>
      <c r="R139" s="537"/>
      <c r="S139" s="299"/>
      <c r="T139" s="299"/>
      <c r="U139" s="299"/>
      <c r="V139" s="299"/>
      <c r="W139" s="299"/>
      <c r="X139" s="299"/>
      <c r="Y139" s="299"/>
      <c r="Z139" s="299"/>
      <c r="AA139" s="299"/>
      <c r="AB139" s="299"/>
      <c r="AC139" s="299"/>
      <c r="AD139" s="299"/>
      <c r="AE139" s="299"/>
      <c r="AF139" s="299"/>
    </row>
    <row r="140" spans="1:32" x14ac:dyDescent="0.35">
      <c r="A140" s="339"/>
      <c r="B140" s="299"/>
      <c r="C140" s="299"/>
      <c r="D140" s="299"/>
      <c r="E140" s="344"/>
      <c r="F140" s="299"/>
      <c r="G140" s="299"/>
      <c r="H140" s="299"/>
      <c r="I140" s="299"/>
      <c r="J140" s="299"/>
      <c r="K140" s="299"/>
      <c r="L140" s="299"/>
      <c r="M140" s="414"/>
      <c r="N140" s="299"/>
      <c r="O140" s="537"/>
      <c r="P140" s="537"/>
      <c r="Q140" s="537"/>
      <c r="R140" s="537"/>
      <c r="S140" s="299"/>
      <c r="T140" s="299"/>
      <c r="U140" s="299"/>
      <c r="V140" s="299"/>
      <c r="W140" s="299"/>
      <c r="X140" s="299"/>
      <c r="Y140" s="299"/>
      <c r="Z140" s="299"/>
      <c r="AA140" s="299"/>
      <c r="AB140" s="299"/>
      <c r="AC140" s="299"/>
      <c r="AD140" s="299"/>
      <c r="AE140" s="299"/>
      <c r="AF140" s="299"/>
    </row>
    <row r="141" spans="1:32" x14ac:dyDescent="0.35">
      <c r="A141" s="339"/>
      <c r="B141" s="299"/>
      <c r="C141" s="299"/>
      <c r="D141" s="299"/>
      <c r="E141" s="344"/>
      <c r="F141" s="299"/>
      <c r="G141" s="299"/>
      <c r="H141" s="299"/>
      <c r="I141" s="299"/>
      <c r="J141" s="299"/>
      <c r="K141" s="299"/>
      <c r="L141" s="299"/>
      <c r="M141" s="414"/>
      <c r="N141" s="299"/>
      <c r="O141" s="537"/>
      <c r="P141" s="537"/>
      <c r="Q141" s="537"/>
      <c r="R141" s="537"/>
      <c r="S141" s="299"/>
      <c r="T141" s="299"/>
      <c r="U141" s="299"/>
      <c r="V141" s="299"/>
      <c r="W141" s="299"/>
      <c r="X141" s="299"/>
      <c r="Y141" s="299"/>
      <c r="Z141" s="299"/>
      <c r="AA141" s="299"/>
      <c r="AB141" s="299"/>
      <c r="AC141" s="299"/>
      <c r="AD141" s="299"/>
      <c r="AE141" s="299"/>
      <c r="AF141" s="299"/>
    </row>
    <row r="142" spans="1:32" x14ac:dyDescent="0.35">
      <c r="A142" s="339"/>
      <c r="B142" s="299"/>
      <c r="C142" s="299"/>
      <c r="D142" s="299"/>
      <c r="E142" s="344"/>
      <c r="F142" s="299"/>
      <c r="G142" s="299"/>
      <c r="H142" s="299"/>
      <c r="I142" s="299"/>
      <c r="J142" s="299"/>
      <c r="K142" s="299"/>
      <c r="L142" s="299"/>
      <c r="M142" s="414"/>
      <c r="N142" s="299"/>
      <c r="O142" s="537"/>
      <c r="P142" s="537"/>
      <c r="Q142" s="537"/>
      <c r="R142" s="537"/>
      <c r="S142" s="299"/>
      <c r="T142" s="299"/>
      <c r="U142" s="299"/>
      <c r="V142" s="299"/>
      <c r="W142" s="299"/>
      <c r="X142" s="299"/>
      <c r="Y142" s="299"/>
      <c r="Z142" s="299"/>
      <c r="AA142" s="299"/>
      <c r="AB142" s="299"/>
      <c r="AC142" s="299"/>
      <c r="AD142" s="299"/>
      <c r="AE142" s="299"/>
      <c r="AF142" s="299"/>
    </row>
    <row r="143" spans="1:32" x14ac:dyDescent="0.35">
      <c r="A143" s="339"/>
      <c r="B143" s="299"/>
      <c r="C143" s="299"/>
      <c r="D143" s="299"/>
      <c r="E143" s="344"/>
      <c r="F143" s="299"/>
      <c r="G143" s="299"/>
      <c r="H143" s="299"/>
      <c r="I143" s="299"/>
      <c r="J143" s="299"/>
      <c r="K143" s="299"/>
      <c r="L143" s="299"/>
      <c r="M143" s="414"/>
      <c r="N143" s="299"/>
      <c r="O143" s="537"/>
      <c r="P143" s="537"/>
      <c r="Q143" s="537"/>
      <c r="R143" s="537"/>
      <c r="S143" s="299"/>
      <c r="T143" s="299"/>
      <c r="U143" s="299"/>
      <c r="V143" s="299"/>
      <c r="W143" s="299"/>
      <c r="X143" s="299"/>
      <c r="Y143" s="299"/>
      <c r="Z143" s="299"/>
      <c r="AA143" s="299"/>
      <c r="AB143" s="299"/>
      <c r="AC143" s="299"/>
      <c r="AD143" s="299"/>
      <c r="AE143" s="299"/>
      <c r="AF143" s="299"/>
    </row>
    <row r="144" spans="1:32" x14ac:dyDescent="0.35">
      <c r="A144" s="339"/>
      <c r="B144" s="299"/>
      <c r="C144" s="299"/>
      <c r="D144" s="299"/>
      <c r="E144" s="344"/>
      <c r="F144" s="299"/>
      <c r="G144" s="299"/>
      <c r="H144" s="299"/>
      <c r="I144" s="299"/>
      <c r="J144" s="299"/>
      <c r="K144" s="299"/>
      <c r="L144" s="299"/>
      <c r="M144" s="414"/>
      <c r="N144" s="299"/>
      <c r="O144" s="537"/>
      <c r="P144" s="537"/>
      <c r="Q144" s="537"/>
      <c r="R144" s="537"/>
      <c r="S144" s="299"/>
      <c r="T144" s="299"/>
      <c r="U144" s="299"/>
      <c r="V144" s="299"/>
      <c r="W144" s="299"/>
      <c r="X144" s="299"/>
      <c r="Y144" s="299"/>
      <c r="Z144" s="299"/>
      <c r="AA144" s="299"/>
      <c r="AB144" s="299"/>
      <c r="AC144" s="299"/>
      <c r="AD144" s="299"/>
      <c r="AE144" s="299"/>
      <c r="AF144" s="299"/>
    </row>
    <row r="145" spans="1:32" x14ac:dyDescent="0.35">
      <c r="A145" s="339"/>
      <c r="B145" s="299"/>
      <c r="C145" s="299"/>
      <c r="D145" s="299"/>
      <c r="E145" s="344"/>
      <c r="F145" s="299"/>
      <c r="G145" s="299"/>
      <c r="H145" s="299"/>
      <c r="I145" s="299"/>
      <c r="J145" s="299"/>
      <c r="K145" s="299"/>
      <c r="L145" s="299"/>
      <c r="M145" s="414"/>
      <c r="N145" s="299"/>
      <c r="O145" s="537"/>
      <c r="P145" s="537"/>
      <c r="Q145" s="537"/>
      <c r="R145" s="537"/>
      <c r="S145" s="299"/>
      <c r="T145" s="299"/>
      <c r="U145" s="299"/>
      <c r="V145" s="299"/>
      <c r="W145" s="299"/>
      <c r="X145" s="299"/>
      <c r="Y145" s="299"/>
      <c r="Z145" s="299"/>
      <c r="AA145" s="299"/>
      <c r="AB145" s="299"/>
      <c r="AC145" s="299"/>
      <c r="AD145" s="299"/>
      <c r="AE145" s="299"/>
      <c r="AF145" s="299"/>
    </row>
    <row r="146" spans="1:32" x14ac:dyDescent="0.35">
      <c r="A146" s="339"/>
      <c r="B146" s="299"/>
      <c r="C146" s="299"/>
      <c r="D146" s="299"/>
      <c r="E146" s="344"/>
      <c r="F146" s="299"/>
      <c r="G146" s="299"/>
      <c r="H146" s="299"/>
      <c r="I146" s="299"/>
      <c r="J146" s="299"/>
      <c r="K146" s="299"/>
      <c r="L146" s="299"/>
      <c r="M146" s="414"/>
      <c r="N146" s="299"/>
      <c r="O146" s="537"/>
      <c r="P146" s="537"/>
      <c r="Q146" s="537"/>
      <c r="R146" s="537"/>
      <c r="S146" s="299"/>
      <c r="T146" s="299"/>
      <c r="U146" s="299"/>
      <c r="V146" s="299"/>
      <c r="W146" s="299"/>
      <c r="X146" s="299"/>
      <c r="Y146" s="299"/>
      <c r="Z146" s="299"/>
      <c r="AA146" s="299"/>
      <c r="AB146" s="299"/>
      <c r="AC146" s="299"/>
      <c r="AD146" s="299"/>
      <c r="AE146" s="299"/>
      <c r="AF146" s="299"/>
    </row>
    <row r="147" spans="1:32" x14ac:dyDescent="0.35">
      <c r="A147" s="339"/>
      <c r="B147" s="299"/>
      <c r="C147" s="299"/>
      <c r="D147" s="299"/>
      <c r="E147" s="344"/>
      <c r="F147" s="299"/>
      <c r="G147" s="299"/>
      <c r="H147" s="299"/>
      <c r="I147" s="299"/>
      <c r="J147" s="299"/>
      <c r="K147" s="299"/>
      <c r="L147" s="299"/>
      <c r="M147" s="414"/>
      <c r="N147" s="299"/>
      <c r="O147" s="537"/>
      <c r="P147" s="537"/>
      <c r="Q147" s="537"/>
      <c r="R147" s="537"/>
      <c r="S147" s="299"/>
      <c r="T147" s="299"/>
      <c r="U147" s="299"/>
      <c r="V147" s="299"/>
      <c r="W147" s="299"/>
      <c r="X147" s="299"/>
      <c r="Y147" s="299"/>
      <c r="Z147" s="299"/>
      <c r="AA147" s="299"/>
      <c r="AB147" s="299"/>
      <c r="AC147" s="299"/>
      <c r="AD147" s="299"/>
      <c r="AE147" s="299"/>
      <c r="AF147" s="299"/>
    </row>
    <row r="148" spans="1:32" x14ac:dyDescent="0.35">
      <c r="A148" s="339"/>
      <c r="B148" s="299"/>
      <c r="C148" s="299"/>
      <c r="D148" s="299"/>
      <c r="E148" s="344"/>
      <c r="F148" s="299"/>
      <c r="G148" s="299"/>
      <c r="H148" s="299"/>
      <c r="I148" s="299"/>
      <c r="J148" s="299"/>
      <c r="K148" s="299"/>
      <c r="L148" s="299"/>
      <c r="M148" s="414"/>
      <c r="N148" s="299"/>
      <c r="O148" s="537"/>
      <c r="P148" s="537"/>
      <c r="Q148" s="537"/>
      <c r="R148" s="537"/>
      <c r="S148" s="299"/>
      <c r="T148" s="299"/>
      <c r="U148" s="299"/>
      <c r="V148" s="299"/>
      <c r="W148" s="299"/>
      <c r="X148" s="299"/>
      <c r="Y148" s="299"/>
      <c r="Z148" s="299"/>
      <c r="AA148" s="299"/>
      <c r="AB148" s="299"/>
      <c r="AC148" s="299"/>
      <c r="AD148" s="299"/>
      <c r="AE148" s="299"/>
      <c r="AF148" s="299"/>
    </row>
    <row r="149" spans="1:32" x14ac:dyDescent="0.35">
      <c r="A149" s="339"/>
      <c r="B149" s="299"/>
      <c r="C149" s="299"/>
      <c r="D149" s="299"/>
      <c r="E149" s="344"/>
      <c r="F149" s="299"/>
      <c r="G149" s="299"/>
      <c r="H149" s="299"/>
      <c r="I149" s="299"/>
      <c r="J149" s="299"/>
      <c r="K149" s="299"/>
      <c r="L149" s="299"/>
      <c r="M149" s="414"/>
      <c r="N149" s="299"/>
      <c r="O149" s="537"/>
      <c r="P149" s="537"/>
      <c r="Q149" s="537"/>
      <c r="R149" s="537"/>
      <c r="S149" s="299"/>
      <c r="T149" s="299"/>
      <c r="U149" s="299"/>
      <c r="V149" s="299"/>
      <c r="W149" s="299"/>
      <c r="X149" s="299"/>
      <c r="Y149" s="299"/>
      <c r="Z149" s="299"/>
      <c r="AA149" s="299"/>
      <c r="AB149" s="299"/>
      <c r="AC149" s="299"/>
      <c r="AD149" s="299"/>
      <c r="AE149" s="299"/>
      <c r="AF149" s="299"/>
    </row>
    <row r="150" spans="1:32" x14ac:dyDescent="0.35">
      <c r="A150" s="339"/>
      <c r="B150" s="299"/>
      <c r="C150" s="299"/>
      <c r="D150" s="299"/>
      <c r="E150" s="344"/>
      <c r="F150" s="299"/>
      <c r="G150" s="299"/>
      <c r="H150" s="299"/>
      <c r="I150" s="299"/>
      <c r="J150" s="299"/>
      <c r="K150" s="299"/>
      <c r="L150" s="299"/>
      <c r="M150" s="414"/>
      <c r="N150" s="299"/>
      <c r="O150" s="537"/>
      <c r="P150" s="537"/>
      <c r="Q150" s="537"/>
      <c r="R150" s="537"/>
      <c r="S150" s="299"/>
      <c r="T150" s="299"/>
      <c r="U150" s="299"/>
      <c r="V150" s="299"/>
      <c r="W150" s="299"/>
      <c r="X150" s="299"/>
      <c r="Y150" s="299"/>
      <c r="Z150" s="299"/>
      <c r="AA150" s="299"/>
      <c r="AB150" s="299"/>
      <c r="AC150" s="299"/>
      <c r="AD150" s="299"/>
      <c r="AE150" s="299"/>
      <c r="AF150" s="299"/>
    </row>
    <row r="151" spans="1:32" x14ac:dyDescent="0.35">
      <c r="A151" s="339"/>
      <c r="B151" s="299"/>
      <c r="C151" s="299"/>
      <c r="D151" s="299"/>
      <c r="E151" s="344"/>
      <c r="F151" s="299"/>
      <c r="G151" s="299"/>
      <c r="H151" s="299"/>
      <c r="I151" s="299"/>
      <c r="J151" s="299"/>
      <c r="K151" s="299"/>
      <c r="L151" s="299"/>
      <c r="M151" s="414"/>
      <c r="N151" s="299"/>
      <c r="O151" s="537"/>
      <c r="P151" s="537"/>
      <c r="Q151" s="537"/>
      <c r="R151" s="537"/>
      <c r="S151" s="299"/>
      <c r="T151" s="299"/>
      <c r="U151" s="299"/>
      <c r="V151" s="299"/>
      <c r="W151" s="299"/>
      <c r="X151" s="299"/>
      <c r="Y151" s="299"/>
      <c r="Z151" s="299"/>
      <c r="AA151" s="299"/>
      <c r="AB151" s="299"/>
      <c r="AC151" s="299"/>
      <c r="AD151" s="299"/>
      <c r="AE151" s="299"/>
      <c r="AF151" s="299"/>
    </row>
    <row r="152" spans="1:32" x14ac:dyDescent="0.35">
      <c r="A152" s="339"/>
      <c r="B152" s="299"/>
      <c r="C152" s="299"/>
      <c r="D152" s="299"/>
      <c r="E152" s="344"/>
      <c r="F152" s="299"/>
      <c r="G152" s="299"/>
      <c r="H152" s="299"/>
      <c r="I152" s="299"/>
      <c r="J152" s="299"/>
      <c r="K152" s="299"/>
      <c r="L152" s="299"/>
      <c r="M152" s="414"/>
      <c r="N152" s="299"/>
      <c r="O152" s="537"/>
      <c r="P152" s="537"/>
      <c r="Q152" s="537"/>
      <c r="R152" s="537"/>
      <c r="S152" s="299"/>
      <c r="T152" s="299"/>
      <c r="U152" s="299"/>
      <c r="V152" s="299"/>
      <c r="W152" s="299"/>
      <c r="X152" s="299"/>
      <c r="Y152" s="299"/>
      <c r="Z152" s="299"/>
      <c r="AA152" s="299"/>
      <c r="AB152" s="299"/>
      <c r="AC152" s="299"/>
      <c r="AD152" s="299"/>
      <c r="AE152" s="299"/>
      <c r="AF152" s="299"/>
    </row>
    <row r="153" spans="1:32" x14ac:dyDescent="0.35">
      <c r="A153" s="339"/>
      <c r="B153" s="299"/>
      <c r="C153" s="299"/>
      <c r="D153" s="299"/>
      <c r="E153" s="344"/>
      <c r="F153" s="299"/>
      <c r="G153" s="299"/>
      <c r="H153" s="299"/>
      <c r="I153" s="299"/>
      <c r="J153" s="299"/>
      <c r="K153" s="299"/>
      <c r="L153" s="299"/>
      <c r="M153" s="414"/>
      <c r="N153" s="299"/>
      <c r="O153" s="537"/>
      <c r="P153" s="537"/>
      <c r="Q153" s="537"/>
      <c r="R153" s="537"/>
      <c r="S153" s="299"/>
      <c r="T153" s="299"/>
      <c r="U153" s="299"/>
      <c r="V153" s="299"/>
      <c r="W153" s="299"/>
      <c r="X153" s="299"/>
      <c r="Y153" s="299"/>
      <c r="Z153" s="299"/>
      <c r="AA153" s="299"/>
      <c r="AB153" s="299"/>
      <c r="AC153" s="299"/>
      <c r="AD153" s="299"/>
      <c r="AE153" s="299"/>
      <c r="AF153" s="299"/>
    </row>
    <row r="154" spans="1:32" x14ac:dyDescent="0.35">
      <c r="A154" s="339"/>
      <c r="B154" s="299"/>
      <c r="C154" s="299"/>
      <c r="D154" s="299"/>
      <c r="E154" s="344"/>
      <c r="F154" s="299"/>
      <c r="G154" s="299"/>
      <c r="H154" s="299"/>
      <c r="I154" s="299"/>
      <c r="J154" s="299"/>
      <c r="K154" s="299"/>
      <c r="L154" s="299"/>
      <c r="M154" s="414"/>
      <c r="N154" s="299"/>
      <c r="O154" s="537"/>
      <c r="P154" s="537"/>
      <c r="Q154" s="537"/>
      <c r="R154" s="537"/>
      <c r="S154" s="299"/>
      <c r="T154" s="299"/>
      <c r="U154" s="299"/>
      <c r="V154" s="299"/>
      <c r="W154" s="299"/>
      <c r="X154" s="299"/>
      <c r="Y154" s="299"/>
      <c r="Z154" s="299"/>
      <c r="AA154" s="299"/>
      <c r="AB154" s="299"/>
      <c r="AC154" s="299"/>
      <c r="AD154" s="299"/>
      <c r="AE154" s="299"/>
      <c r="AF154" s="299"/>
    </row>
    <row r="155" spans="1:32" x14ac:dyDescent="0.35">
      <c r="A155" s="339"/>
      <c r="B155" s="299"/>
      <c r="C155" s="299"/>
      <c r="D155" s="299"/>
      <c r="E155" s="344"/>
      <c r="F155" s="299"/>
      <c r="G155" s="299"/>
      <c r="H155" s="299"/>
      <c r="I155" s="299"/>
      <c r="J155" s="299"/>
      <c r="K155" s="299"/>
      <c r="L155" s="299"/>
      <c r="M155" s="414"/>
      <c r="N155" s="299"/>
      <c r="O155" s="537"/>
      <c r="P155" s="537"/>
      <c r="Q155" s="537"/>
      <c r="R155" s="537"/>
      <c r="S155" s="299"/>
      <c r="T155" s="299"/>
      <c r="U155" s="299"/>
      <c r="V155" s="299"/>
      <c r="W155" s="299"/>
      <c r="X155" s="299"/>
      <c r="Y155" s="299"/>
      <c r="Z155" s="299"/>
      <c r="AA155" s="299"/>
      <c r="AB155" s="299"/>
      <c r="AC155" s="299"/>
      <c r="AD155" s="299"/>
      <c r="AE155" s="299"/>
      <c r="AF155" s="299"/>
    </row>
    <row r="156" spans="1:32" x14ac:dyDescent="0.35">
      <c r="A156" s="339"/>
      <c r="B156" s="299"/>
      <c r="C156" s="299"/>
      <c r="D156" s="299"/>
      <c r="E156" s="344"/>
      <c r="F156" s="299"/>
      <c r="G156" s="299"/>
      <c r="H156" s="299"/>
      <c r="I156" s="299"/>
      <c r="J156" s="299"/>
      <c r="K156" s="299"/>
      <c r="L156" s="299"/>
      <c r="M156" s="414"/>
      <c r="N156" s="299"/>
      <c r="O156" s="537"/>
      <c r="P156" s="537"/>
      <c r="Q156" s="537"/>
      <c r="R156" s="537"/>
      <c r="S156" s="299"/>
      <c r="T156" s="299"/>
      <c r="U156" s="299"/>
      <c r="V156" s="299"/>
      <c r="W156" s="299"/>
      <c r="X156" s="299"/>
      <c r="Y156" s="299"/>
      <c r="Z156" s="299"/>
      <c r="AA156" s="299"/>
      <c r="AB156" s="299"/>
      <c r="AC156" s="299"/>
      <c r="AD156" s="299"/>
      <c r="AE156" s="299"/>
      <c r="AF156" s="299"/>
    </row>
    <row r="157" spans="1:32" x14ac:dyDescent="0.35">
      <c r="A157" s="339"/>
      <c r="B157" s="299"/>
      <c r="C157" s="299"/>
      <c r="D157" s="299"/>
      <c r="E157" s="344"/>
      <c r="F157" s="299"/>
      <c r="G157" s="299"/>
      <c r="H157" s="299"/>
      <c r="I157" s="299"/>
      <c r="J157" s="299"/>
      <c r="K157" s="299"/>
      <c r="L157" s="299"/>
      <c r="M157" s="414"/>
      <c r="N157" s="299"/>
      <c r="O157" s="537"/>
      <c r="P157" s="537"/>
      <c r="Q157" s="537"/>
      <c r="R157" s="537"/>
      <c r="S157" s="299"/>
      <c r="T157" s="299"/>
      <c r="U157" s="299"/>
      <c r="V157" s="299"/>
      <c r="W157" s="299"/>
      <c r="X157" s="299"/>
      <c r="Y157" s="299"/>
      <c r="Z157" s="299"/>
      <c r="AA157" s="299"/>
      <c r="AB157" s="299"/>
      <c r="AC157" s="299"/>
      <c r="AD157" s="299"/>
      <c r="AE157" s="299"/>
      <c r="AF157" s="299"/>
    </row>
    <row r="158" spans="1:32" x14ac:dyDescent="0.35">
      <c r="A158" s="339"/>
      <c r="B158" s="299"/>
      <c r="C158" s="299"/>
      <c r="D158" s="299"/>
      <c r="E158" s="344"/>
      <c r="F158" s="299"/>
      <c r="G158" s="299"/>
      <c r="H158" s="299"/>
      <c r="I158" s="299"/>
      <c r="J158" s="299"/>
      <c r="K158" s="299"/>
      <c r="L158" s="299"/>
      <c r="M158" s="414"/>
      <c r="N158" s="299"/>
      <c r="O158" s="537"/>
      <c r="P158" s="537"/>
      <c r="Q158" s="537"/>
      <c r="R158" s="537"/>
      <c r="S158" s="299"/>
      <c r="T158" s="299"/>
      <c r="U158" s="299"/>
      <c r="V158" s="299"/>
      <c r="W158" s="299"/>
      <c r="X158" s="299"/>
      <c r="Y158" s="299"/>
      <c r="Z158" s="299"/>
      <c r="AA158" s="299"/>
      <c r="AB158" s="299"/>
      <c r="AC158" s="299"/>
      <c r="AD158" s="299"/>
      <c r="AE158" s="299"/>
      <c r="AF158" s="299"/>
    </row>
    <row r="159" spans="1:32" x14ac:dyDescent="0.35">
      <c r="A159" s="339"/>
      <c r="B159" s="299"/>
      <c r="C159" s="299"/>
      <c r="D159" s="299"/>
      <c r="E159" s="344"/>
      <c r="F159" s="299"/>
      <c r="G159" s="299"/>
      <c r="H159" s="299"/>
      <c r="I159" s="299"/>
      <c r="J159" s="299"/>
      <c r="K159" s="299"/>
      <c r="L159" s="299"/>
      <c r="M159" s="414"/>
      <c r="N159" s="299"/>
      <c r="O159" s="537"/>
      <c r="P159" s="537"/>
      <c r="Q159" s="537"/>
      <c r="R159" s="537"/>
      <c r="S159" s="299"/>
      <c r="T159" s="299"/>
      <c r="U159" s="299"/>
      <c r="V159" s="299"/>
      <c r="W159" s="299"/>
      <c r="X159" s="299"/>
      <c r="Y159" s="299"/>
      <c r="Z159" s="299"/>
      <c r="AA159" s="299"/>
      <c r="AB159" s="299"/>
      <c r="AC159" s="299"/>
      <c r="AD159" s="299"/>
      <c r="AE159" s="299"/>
      <c r="AF159" s="299"/>
    </row>
    <row r="160" spans="1:32" x14ac:dyDescent="0.35">
      <c r="A160" s="339"/>
      <c r="B160" s="299"/>
      <c r="C160" s="299"/>
      <c r="D160" s="299"/>
      <c r="E160" s="344"/>
      <c r="F160" s="299"/>
      <c r="G160" s="299"/>
      <c r="H160" s="299"/>
      <c r="I160" s="299"/>
      <c r="J160" s="299"/>
      <c r="K160" s="299"/>
      <c r="L160" s="299"/>
      <c r="M160" s="414"/>
      <c r="N160" s="299"/>
      <c r="O160" s="537"/>
      <c r="P160" s="537"/>
      <c r="Q160" s="537"/>
      <c r="R160" s="537"/>
      <c r="S160" s="299"/>
      <c r="T160" s="299"/>
      <c r="U160" s="299"/>
      <c r="V160" s="299"/>
      <c r="W160" s="299"/>
      <c r="X160" s="299"/>
      <c r="Y160" s="299"/>
      <c r="Z160" s="299"/>
      <c r="AA160" s="299"/>
      <c r="AB160" s="299"/>
      <c r="AC160" s="299"/>
      <c r="AD160" s="299"/>
      <c r="AE160" s="299"/>
      <c r="AF160" s="299"/>
    </row>
    <row r="161" spans="1:32" x14ac:dyDescent="0.35">
      <c r="A161" s="339"/>
      <c r="B161" s="299"/>
      <c r="C161" s="299"/>
      <c r="D161" s="299"/>
      <c r="E161" s="344"/>
      <c r="F161" s="299"/>
      <c r="G161" s="299"/>
      <c r="H161" s="299"/>
      <c r="I161" s="299"/>
      <c r="J161" s="299"/>
      <c r="K161" s="299"/>
      <c r="L161" s="299"/>
      <c r="M161" s="414"/>
      <c r="N161" s="299"/>
      <c r="O161" s="537"/>
      <c r="P161" s="537"/>
      <c r="Q161" s="537"/>
      <c r="R161" s="537"/>
      <c r="S161" s="299"/>
      <c r="T161" s="299"/>
      <c r="U161" s="299"/>
      <c r="V161" s="299"/>
      <c r="W161" s="299"/>
      <c r="X161" s="299"/>
      <c r="Y161" s="299"/>
      <c r="Z161" s="299"/>
      <c r="AA161" s="299"/>
      <c r="AB161" s="299"/>
      <c r="AC161" s="299"/>
      <c r="AD161" s="299"/>
      <c r="AE161" s="299"/>
      <c r="AF161" s="299"/>
    </row>
    <row r="162" spans="1:32" x14ac:dyDescent="0.35">
      <c r="A162" s="339"/>
      <c r="B162" s="299"/>
      <c r="C162" s="299"/>
      <c r="D162" s="299"/>
      <c r="E162" s="344"/>
      <c r="F162" s="299"/>
      <c r="G162" s="299"/>
      <c r="H162" s="299"/>
      <c r="I162" s="299"/>
      <c r="J162" s="299"/>
      <c r="K162" s="299"/>
      <c r="L162" s="299"/>
      <c r="M162" s="414"/>
      <c r="N162" s="299"/>
      <c r="O162" s="537"/>
      <c r="P162" s="537"/>
      <c r="Q162" s="537"/>
      <c r="R162" s="537"/>
      <c r="S162" s="299"/>
      <c r="T162" s="299"/>
      <c r="U162" s="299"/>
      <c r="V162" s="299"/>
      <c r="W162" s="299"/>
      <c r="X162" s="299"/>
      <c r="Y162" s="299"/>
      <c r="Z162" s="299"/>
      <c r="AA162" s="299"/>
      <c r="AB162" s="299"/>
      <c r="AC162" s="299"/>
      <c r="AD162" s="299"/>
      <c r="AE162" s="299"/>
      <c r="AF162" s="299"/>
    </row>
    <row r="163" spans="1:32" x14ac:dyDescent="0.35">
      <c r="A163" s="339"/>
      <c r="B163" s="299"/>
      <c r="C163" s="299"/>
      <c r="D163" s="299"/>
      <c r="E163" s="344"/>
      <c r="F163" s="299"/>
      <c r="G163" s="299"/>
      <c r="H163" s="299"/>
      <c r="I163" s="299"/>
      <c r="J163" s="299"/>
      <c r="K163" s="299"/>
      <c r="L163" s="299"/>
      <c r="M163" s="414"/>
      <c r="N163" s="299"/>
      <c r="O163" s="537"/>
      <c r="P163" s="537"/>
      <c r="Q163" s="537"/>
      <c r="R163" s="537"/>
      <c r="S163" s="299"/>
      <c r="T163" s="299"/>
      <c r="U163" s="299"/>
      <c r="V163" s="299"/>
      <c r="W163" s="299"/>
      <c r="X163" s="299"/>
      <c r="Y163" s="299"/>
      <c r="Z163" s="299"/>
      <c r="AA163" s="299"/>
      <c r="AB163" s="299"/>
      <c r="AC163" s="299"/>
      <c r="AD163" s="299"/>
      <c r="AE163" s="299"/>
      <c r="AF163" s="299"/>
    </row>
    <row r="164" spans="1:32" x14ac:dyDescent="0.35">
      <c r="A164" s="339"/>
      <c r="B164" s="299"/>
      <c r="C164" s="299"/>
      <c r="D164" s="299"/>
      <c r="E164" s="344"/>
      <c r="F164" s="299"/>
      <c r="G164" s="299"/>
      <c r="H164" s="299"/>
      <c r="I164" s="299"/>
      <c r="J164" s="299"/>
      <c r="K164" s="299"/>
      <c r="L164" s="299"/>
      <c r="M164" s="414"/>
      <c r="N164" s="299"/>
      <c r="O164" s="537"/>
      <c r="P164" s="537"/>
      <c r="Q164" s="537"/>
      <c r="R164" s="537"/>
      <c r="S164" s="299"/>
      <c r="T164" s="299"/>
      <c r="U164" s="299"/>
      <c r="V164" s="299"/>
      <c r="W164" s="299"/>
      <c r="X164" s="299"/>
      <c r="Y164" s="299"/>
      <c r="Z164" s="299"/>
      <c r="AA164" s="299"/>
      <c r="AB164" s="299"/>
      <c r="AC164" s="299"/>
      <c r="AD164" s="299"/>
      <c r="AE164" s="299"/>
      <c r="AF164" s="299"/>
    </row>
    <row r="165" spans="1:32" x14ac:dyDescent="0.35">
      <c r="A165" s="339"/>
      <c r="B165" s="299"/>
      <c r="C165" s="299"/>
      <c r="D165" s="299"/>
      <c r="E165" s="344"/>
      <c r="F165" s="299"/>
      <c r="G165" s="299"/>
      <c r="H165" s="299"/>
      <c r="I165" s="299"/>
      <c r="J165" s="299"/>
      <c r="K165" s="299"/>
      <c r="L165" s="299"/>
      <c r="M165" s="414"/>
      <c r="N165" s="299"/>
      <c r="O165" s="537"/>
      <c r="P165" s="537"/>
      <c r="Q165" s="537"/>
      <c r="R165" s="537"/>
      <c r="S165" s="299"/>
      <c r="T165" s="299"/>
      <c r="U165" s="299"/>
      <c r="V165" s="299"/>
      <c r="W165" s="299"/>
      <c r="X165" s="299"/>
      <c r="Y165" s="299"/>
      <c r="Z165" s="299"/>
      <c r="AA165" s="299"/>
      <c r="AB165" s="299"/>
      <c r="AC165" s="299"/>
      <c r="AD165" s="299"/>
      <c r="AE165" s="299"/>
      <c r="AF165" s="299"/>
    </row>
    <row r="166" spans="1:32" x14ac:dyDescent="0.35">
      <c r="A166" s="339"/>
      <c r="B166" s="299"/>
      <c r="C166" s="299"/>
      <c r="D166" s="299"/>
      <c r="E166" s="344"/>
      <c r="F166" s="299"/>
      <c r="G166" s="299"/>
      <c r="H166" s="299"/>
      <c r="I166" s="299"/>
      <c r="J166" s="299"/>
      <c r="K166" s="299"/>
      <c r="L166" s="299"/>
      <c r="M166" s="414"/>
      <c r="N166" s="299"/>
      <c r="O166" s="537"/>
      <c r="P166" s="537"/>
      <c r="Q166" s="537"/>
      <c r="R166" s="537"/>
      <c r="S166" s="299"/>
      <c r="T166" s="299"/>
      <c r="U166" s="299"/>
      <c r="V166" s="299"/>
      <c r="W166" s="299"/>
      <c r="X166" s="299"/>
      <c r="Y166" s="299"/>
      <c r="Z166" s="299"/>
      <c r="AA166" s="299"/>
      <c r="AB166" s="299"/>
      <c r="AC166" s="299"/>
      <c r="AD166" s="299"/>
      <c r="AE166" s="299"/>
      <c r="AF166" s="299"/>
    </row>
    <row r="167" spans="1:32" x14ac:dyDescent="0.35">
      <c r="A167" s="339"/>
      <c r="B167" s="299"/>
      <c r="C167" s="299"/>
      <c r="D167" s="299"/>
      <c r="E167" s="344"/>
      <c r="F167" s="299"/>
      <c r="G167" s="299"/>
      <c r="H167" s="299"/>
      <c r="I167" s="299"/>
      <c r="J167" s="299"/>
      <c r="K167" s="299"/>
      <c r="L167" s="299"/>
      <c r="M167" s="414"/>
      <c r="N167" s="299"/>
      <c r="O167" s="537"/>
      <c r="P167" s="537"/>
      <c r="Q167" s="537"/>
      <c r="R167" s="537"/>
      <c r="S167" s="299"/>
      <c r="T167" s="299"/>
      <c r="U167" s="299"/>
      <c r="V167" s="299"/>
      <c r="W167" s="299"/>
      <c r="X167" s="299"/>
      <c r="Y167" s="299"/>
      <c r="Z167" s="299"/>
      <c r="AA167" s="299"/>
      <c r="AB167" s="299"/>
      <c r="AC167" s="299"/>
      <c r="AD167" s="299"/>
      <c r="AE167" s="299"/>
      <c r="AF167" s="299"/>
    </row>
    <row r="168" spans="1:32" x14ac:dyDescent="0.35">
      <c r="A168" s="339"/>
      <c r="B168" s="299"/>
      <c r="C168" s="299"/>
      <c r="D168" s="299"/>
      <c r="E168" s="344"/>
      <c r="F168" s="299"/>
      <c r="G168" s="299"/>
      <c r="H168" s="299"/>
      <c r="I168" s="299"/>
      <c r="J168" s="299"/>
      <c r="K168" s="299"/>
      <c r="L168" s="299"/>
      <c r="M168" s="414"/>
      <c r="N168" s="299"/>
      <c r="O168" s="537"/>
      <c r="P168" s="537"/>
      <c r="Q168" s="537"/>
      <c r="R168" s="537"/>
      <c r="S168" s="299"/>
      <c r="T168" s="299"/>
      <c r="U168" s="299"/>
      <c r="V168" s="299"/>
      <c r="W168" s="299"/>
      <c r="X168" s="299"/>
      <c r="Y168" s="299"/>
      <c r="Z168" s="299"/>
      <c r="AA168" s="299"/>
      <c r="AB168" s="299"/>
      <c r="AC168" s="299"/>
      <c r="AD168" s="299"/>
      <c r="AE168" s="299"/>
      <c r="AF168" s="299"/>
    </row>
    <row r="169" spans="1:32" x14ac:dyDescent="0.35">
      <c r="A169" s="339"/>
      <c r="B169" s="299"/>
      <c r="C169" s="299"/>
      <c r="D169" s="299"/>
      <c r="E169" s="344"/>
      <c r="F169" s="299"/>
      <c r="G169" s="299"/>
      <c r="H169" s="299"/>
      <c r="I169" s="299"/>
      <c r="J169" s="299"/>
      <c r="K169" s="299"/>
      <c r="L169" s="299"/>
      <c r="M169" s="414"/>
      <c r="N169" s="299"/>
      <c r="O169" s="537"/>
      <c r="P169" s="537"/>
      <c r="Q169" s="537"/>
      <c r="R169" s="537"/>
      <c r="S169" s="299"/>
      <c r="T169" s="299"/>
      <c r="U169" s="299"/>
      <c r="V169" s="299"/>
      <c r="W169" s="299"/>
      <c r="X169" s="299"/>
      <c r="Y169" s="299"/>
      <c r="Z169" s="299"/>
      <c r="AA169" s="299"/>
      <c r="AB169" s="299"/>
      <c r="AC169" s="299"/>
      <c r="AD169" s="299"/>
      <c r="AE169" s="299"/>
      <c r="AF169" s="299"/>
    </row>
    <row r="170" spans="1:32" x14ac:dyDescent="0.35">
      <c r="A170" s="339"/>
      <c r="B170" s="299"/>
      <c r="C170" s="299"/>
      <c r="D170" s="299"/>
      <c r="E170" s="344"/>
      <c r="F170" s="299"/>
      <c r="G170" s="299"/>
      <c r="H170" s="299"/>
      <c r="I170" s="299"/>
      <c r="J170" s="299"/>
      <c r="K170" s="299"/>
      <c r="L170" s="299"/>
      <c r="M170" s="414"/>
      <c r="N170" s="299"/>
      <c r="O170" s="537"/>
      <c r="P170" s="537"/>
      <c r="Q170" s="537"/>
      <c r="R170" s="537"/>
      <c r="S170" s="299"/>
      <c r="T170" s="299"/>
      <c r="U170" s="299"/>
      <c r="V170" s="299"/>
      <c r="W170" s="299"/>
      <c r="X170" s="299"/>
      <c r="Y170" s="299"/>
      <c r="Z170" s="299"/>
      <c r="AA170" s="299"/>
      <c r="AB170" s="299"/>
      <c r="AC170" s="299"/>
      <c r="AD170" s="299"/>
      <c r="AE170" s="299"/>
      <c r="AF170" s="299"/>
    </row>
    <row r="171" spans="1:32" x14ac:dyDescent="0.35">
      <c r="A171" s="339"/>
      <c r="B171" s="299"/>
      <c r="C171" s="299"/>
      <c r="D171" s="299"/>
      <c r="E171" s="344"/>
      <c r="F171" s="299"/>
      <c r="G171" s="299"/>
      <c r="H171" s="299"/>
      <c r="I171" s="299"/>
      <c r="J171" s="299"/>
      <c r="K171" s="299"/>
      <c r="L171" s="299"/>
      <c r="M171" s="414"/>
      <c r="N171" s="299"/>
      <c r="O171" s="537"/>
      <c r="P171" s="537"/>
      <c r="Q171" s="537"/>
      <c r="R171" s="537"/>
      <c r="S171" s="299"/>
      <c r="T171" s="299"/>
      <c r="U171" s="299"/>
      <c r="V171" s="299"/>
      <c r="W171" s="299"/>
      <c r="X171" s="299"/>
      <c r="Y171" s="299"/>
      <c r="Z171" s="299"/>
      <c r="AA171" s="299"/>
      <c r="AB171" s="299"/>
      <c r="AC171" s="299"/>
      <c r="AD171" s="299"/>
      <c r="AE171" s="299"/>
      <c r="AF171" s="299"/>
    </row>
    <row r="172" spans="1:32" x14ac:dyDescent="0.35">
      <c r="A172" s="339"/>
      <c r="B172" s="299"/>
      <c r="C172" s="299"/>
      <c r="D172" s="299"/>
      <c r="E172" s="344"/>
      <c r="F172" s="299"/>
      <c r="G172" s="299"/>
      <c r="H172" s="299"/>
      <c r="I172" s="299"/>
      <c r="J172" s="299"/>
      <c r="K172" s="299"/>
      <c r="L172" s="299"/>
      <c r="M172" s="414"/>
      <c r="N172" s="299"/>
      <c r="O172" s="537"/>
      <c r="P172" s="537"/>
      <c r="Q172" s="537"/>
      <c r="R172" s="537"/>
      <c r="S172" s="299"/>
      <c r="T172" s="299"/>
      <c r="U172" s="299"/>
      <c r="V172" s="299"/>
      <c r="W172" s="299"/>
      <c r="X172" s="299"/>
      <c r="Y172" s="299"/>
      <c r="Z172" s="299"/>
      <c r="AA172" s="299"/>
      <c r="AB172" s="299"/>
      <c r="AC172" s="299"/>
      <c r="AD172" s="299"/>
      <c r="AE172" s="299"/>
      <c r="AF172" s="299"/>
    </row>
    <row r="173" spans="1:32" x14ac:dyDescent="0.35">
      <c r="A173" s="339"/>
      <c r="B173" s="299"/>
      <c r="C173" s="299"/>
      <c r="D173" s="299"/>
      <c r="E173" s="344"/>
      <c r="F173" s="299"/>
      <c r="G173" s="299"/>
      <c r="H173" s="299"/>
      <c r="I173" s="299"/>
      <c r="J173" s="299"/>
      <c r="K173" s="299"/>
      <c r="L173" s="299"/>
      <c r="M173" s="414"/>
      <c r="N173" s="299"/>
      <c r="O173" s="537"/>
      <c r="P173" s="537"/>
      <c r="Q173" s="537"/>
      <c r="R173" s="537"/>
      <c r="S173" s="299"/>
      <c r="T173" s="299"/>
      <c r="U173" s="299"/>
      <c r="V173" s="299"/>
      <c r="W173" s="299"/>
      <c r="X173" s="299"/>
      <c r="Y173" s="299"/>
      <c r="Z173" s="299"/>
      <c r="AA173" s="299"/>
      <c r="AB173" s="299"/>
      <c r="AC173" s="299"/>
      <c r="AD173" s="299"/>
      <c r="AE173" s="299"/>
      <c r="AF173" s="299"/>
    </row>
    <row r="174" spans="1:32" x14ac:dyDescent="0.35">
      <c r="A174" s="339"/>
      <c r="B174" s="299"/>
      <c r="C174" s="299"/>
      <c r="D174" s="299"/>
      <c r="E174" s="344"/>
      <c r="F174" s="299"/>
      <c r="G174" s="299"/>
      <c r="H174" s="299"/>
      <c r="I174" s="299"/>
      <c r="J174" s="299"/>
      <c r="K174" s="299"/>
      <c r="L174" s="299"/>
      <c r="M174" s="414"/>
      <c r="N174" s="299"/>
      <c r="O174" s="537"/>
      <c r="P174" s="537"/>
      <c r="Q174" s="537"/>
      <c r="R174" s="537"/>
      <c r="S174" s="299"/>
      <c r="T174" s="299"/>
      <c r="U174" s="299"/>
      <c r="V174" s="299"/>
      <c r="W174" s="299"/>
      <c r="X174" s="299"/>
      <c r="Y174" s="299"/>
      <c r="Z174" s="299"/>
      <c r="AA174" s="299"/>
      <c r="AB174" s="299"/>
      <c r="AC174" s="299"/>
      <c r="AD174" s="299"/>
      <c r="AE174" s="299"/>
      <c r="AF174" s="299"/>
    </row>
    <row r="175" spans="1:32" x14ac:dyDescent="0.35">
      <c r="A175" s="339"/>
      <c r="B175" s="299"/>
      <c r="C175" s="299"/>
      <c r="D175" s="299"/>
      <c r="E175" s="344"/>
      <c r="F175" s="299"/>
      <c r="G175" s="299"/>
      <c r="H175" s="299"/>
      <c r="I175" s="299"/>
      <c r="J175" s="299"/>
      <c r="K175" s="299"/>
      <c r="L175" s="299"/>
      <c r="M175" s="414"/>
      <c r="N175" s="299"/>
      <c r="O175" s="537"/>
      <c r="P175" s="537"/>
      <c r="Q175" s="537"/>
      <c r="R175" s="537"/>
      <c r="S175" s="299"/>
      <c r="T175" s="299"/>
      <c r="U175" s="299"/>
      <c r="V175" s="299"/>
      <c r="W175" s="299"/>
      <c r="X175" s="299"/>
      <c r="Y175" s="299"/>
      <c r="Z175" s="299"/>
      <c r="AA175" s="299"/>
      <c r="AB175" s="299"/>
      <c r="AC175" s="299"/>
      <c r="AD175" s="299"/>
      <c r="AE175" s="299"/>
      <c r="AF175" s="299"/>
    </row>
    <row r="176" spans="1:32" x14ac:dyDescent="0.35">
      <c r="A176" s="339"/>
      <c r="B176" s="299"/>
      <c r="C176" s="299"/>
      <c r="D176" s="299"/>
      <c r="E176" s="344"/>
      <c r="F176" s="299"/>
      <c r="G176" s="299"/>
      <c r="H176" s="299"/>
      <c r="I176" s="299"/>
      <c r="J176" s="299"/>
      <c r="K176" s="299"/>
      <c r="L176" s="299"/>
      <c r="M176" s="414"/>
      <c r="N176" s="299"/>
      <c r="O176" s="537"/>
      <c r="P176" s="537"/>
      <c r="Q176" s="537"/>
      <c r="R176" s="537"/>
      <c r="S176" s="299"/>
      <c r="T176" s="299"/>
      <c r="U176" s="299"/>
      <c r="V176" s="299"/>
      <c r="W176" s="299"/>
      <c r="X176" s="299"/>
      <c r="Y176" s="299"/>
      <c r="Z176" s="299"/>
      <c r="AA176" s="299"/>
      <c r="AB176" s="299"/>
      <c r="AC176" s="299"/>
      <c r="AD176" s="299"/>
      <c r="AE176" s="299"/>
      <c r="AF176" s="299"/>
    </row>
    <row r="177" spans="1:32" x14ac:dyDescent="0.35">
      <c r="A177" s="339"/>
      <c r="B177" s="299"/>
      <c r="C177" s="299"/>
      <c r="D177" s="299"/>
      <c r="E177" s="344"/>
      <c r="F177" s="299"/>
      <c r="G177" s="299"/>
      <c r="H177" s="299"/>
      <c r="I177" s="299"/>
      <c r="J177" s="299"/>
      <c r="K177" s="299"/>
      <c r="L177" s="299"/>
      <c r="M177" s="414"/>
      <c r="N177" s="299"/>
      <c r="O177" s="537"/>
      <c r="P177" s="537"/>
      <c r="Q177" s="537"/>
      <c r="R177" s="537"/>
      <c r="S177" s="299"/>
      <c r="T177" s="299"/>
      <c r="U177" s="299"/>
      <c r="V177" s="299"/>
      <c r="W177" s="299"/>
      <c r="X177" s="299"/>
      <c r="Y177" s="299"/>
      <c r="Z177" s="299"/>
      <c r="AA177" s="299"/>
      <c r="AB177" s="299"/>
      <c r="AC177" s="299"/>
      <c r="AD177" s="299"/>
      <c r="AE177" s="299"/>
      <c r="AF177" s="299"/>
    </row>
    <row r="178" spans="1:32" x14ac:dyDescent="0.35">
      <c r="A178" s="339"/>
      <c r="B178" s="299"/>
      <c r="C178" s="299"/>
      <c r="D178" s="299"/>
      <c r="E178" s="344"/>
      <c r="F178" s="299"/>
      <c r="G178" s="299"/>
      <c r="H178" s="299"/>
      <c r="I178" s="299"/>
      <c r="J178" s="299"/>
      <c r="K178" s="299"/>
      <c r="L178" s="299"/>
      <c r="M178" s="414"/>
      <c r="N178" s="299"/>
      <c r="O178" s="537"/>
      <c r="P178" s="537"/>
      <c r="Q178" s="537"/>
      <c r="R178" s="537"/>
      <c r="S178" s="299"/>
      <c r="T178" s="299"/>
      <c r="U178" s="299"/>
      <c r="V178" s="299"/>
      <c r="W178" s="299"/>
      <c r="X178" s="299"/>
      <c r="Y178" s="299"/>
      <c r="Z178" s="299"/>
      <c r="AA178" s="299"/>
      <c r="AB178" s="299"/>
      <c r="AC178" s="299"/>
      <c r="AD178" s="299"/>
      <c r="AE178" s="299"/>
      <c r="AF178" s="299"/>
    </row>
    <row r="179" spans="1:32" x14ac:dyDescent="0.35">
      <c r="A179" s="339"/>
      <c r="B179" s="299"/>
      <c r="C179" s="299"/>
      <c r="D179" s="299"/>
      <c r="E179" s="344"/>
      <c r="F179" s="299"/>
      <c r="G179" s="299"/>
      <c r="H179" s="299"/>
      <c r="I179" s="299"/>
      <c r="J179" s="299"/>
      <c r="K179" s="299"/>
      <c r="L179" s="299"/>
      <c r="M179" s="414"/>
      <c r="N179" s="299"/>
      <c r="O179" s="537"/>
      <c r="P179" s="537"/>
      <c r="Q179" s="537"/>
      <c r="R179" s="537"/>
      <c r="S179" s="299"/>
      <c r="T179" s="299"/>
      <c r="U179" s="299"/>
      <c r="V179" s="299"/>
      <c r="W179" s="299"/>
      <c r="X179" s="299"/>
      <c r="Y179" s="299"/>
      <c r="Z179" s="299"/>
      <c r="AA179" s="299"/>
      <c r="AB179" s="299"/>
      <c r="AC179" s="299"/>
      <c r="AD179" s="299"/>
      <c r="AE179" s="299"/>
      <c r="AF179" s="299"/>
    </row>
    <row r="180" spans="1:32" x14ac:dyDescent="0.35">
      <c r="A180" s="339"/>
      <c r="B180" s="299"/>
      <c r="C180" s="299"/>
      <c r="D180" s="299"/>
      <c r="E180" s="344"/>
      <c r="F180" s="299"/>
      <c r="G180" s="299"/>
      <c r="H180" s="299"/>
      <c r="I180" s="299"/>
      <c r="J180" s="299"/>
      <c r="K180" s="299"/>
      <c r="L180" s="299"/>
      <c r="M180" s="414"/>
      <c r="N180" s="299"/>
      <c r="O180" s="537"/>
      <c r="P180" s="537"/>
      <c r="Q180" s="537"/>
      <c r="R180" s="537"/>
      <c r="S180" s="299"/>
      <c r="T180" s="299"/>
      <c r="U180" s="299"/>
      <c r="V180" s="299"/>
      <c r="W180" s="299"/>
      <c r="X180" s="299"/>
      <c r="Y180" s="299"/>
      <c r="Z180" s="299"/>
      <c r="AA180" s="299"/>
      <c r="AB180" s="299"/>
      <c r="AC180" s="299"/>
      <c r="AD180" s="299"/>
      <c r="AE180" s="299"/>
      <c r="AF180" s="299"/>
    </row>
    <row r="181" spans="1:32" x14ac:dyDescent="0.35">
      <c r="A181" s="339"/>
      <c r="B181" s="299"/>
      <c r="C181" s="299"/>
      <c r="D181" s="299"/>
      <c r="E181" s="344"/>
      <c r="F181" s="299"/>
      <c r="G181" s="299"/>
      <c r="H181" s="299"/>
      <c r="I181" s="299"/>
      <c r="J181" s="299"/>
      <c r="K181" s="299"/>
      <c r="L181" s="299"/>
      <c r="M181" s="414"/>
      <c r="N181" s="299"/>
      <c r="O181" s="537"/>
      <c r="P181" s="537"/>
      <c r="Q181" s="537"/>
      <c r="R181" s="537"/>
      <c r="S181" s="299"/>
      <c r="T181" s="299"/>
      <c r="U181" s="299"/>
      <c r="V181" s="299"/>
      <c r="W181" s="299"/>
      <c r="X181" s="299"/>
      <c r="Y181" s="299"/>
      <c r="Z181" s="299"/>
      <c r="AA181" s="299"/>
      <c r="AB181" s="299"/>
      <c r="AC181" s="299"/>
      <c r="AD181" s="299"/>
      <c r="AE181" s="299"/>
      <c r="AF181" s="299"/>
    </row>
    <row r="182" spans="1:32" x14ac:dyDescent="0.35">
      <c r="A182" s="339"/>
      <c r="B182" s="299"/>
      <c r="C182" s="299"/>
      <c r="D182" s="299"/>
      <c r="E182" s="344"/>
      <c r="F182" s="299"/>
      <c r="G182" s="299"/>
      <c r="H182" s="299"/>
      <c r="I182" s="299"/>
      <c r="J182" s="299"/>
      <c r="K182" s="299"/>
      <c r="L182" s="299"/>
      <c r="M182" s="414"/>
      <c r="N182" s="299"/>
      <c r="O182" s="537"/>
      <c r="P182" s="537"/>
      <c r="Q182" s="537"/>
      <c r="R182" s="537"/>
      <c r="S182" s="299"/>
      <c r="T182" s="299"/>
      <c r="U182" s="299"/>
      <c r="V182" s="299"/>
      <c r="W182" s="299"/>
      <c r="X182" s="299"/>
      <c r="Y182" s="299"/>
      <c r="Z182" s="299"/>
      <c r="AA182" s="299"/>
      <c r="AB182" s="299"/>
      <c r="AC182" s="299"/>
      <c r="AD182" s="299"/>
      <c r="AE182" s="299"/>
      <c r="AF182" s="299"/>
    </row>
    <row r="183" spans="1:32" x14ac:dyDescent="0.35">
      <c r="A183" s="339"/>
      <c r="B183" s="299"/>
      <c r="C183" s="299"/>
      <c r="D183" s="299"/>
      <c r="E183" s="344"/>
      <c r="F183" s="299"/>
      <c r="G183" s="299"/>
      <c r="H183" s="299"/>
      <c r="I183" s="299"/>
      <c r="J183" s="299"/>
      <c r="K183" s="299"/>
      <c r="L183" s="299"/>
      <c r="M183" s="414"/>
      <c r="N183" s="299"/>
      <c r="O183" s="537"/>
      <c r="P183" s="537"/>
      <c r="Q183" s="537"/>
      <c r="R183" s="537"/>
      <c r="S183" s="299"/>
      <c r="T183" s="299"/>
      <c r="U183" s="299"/>
      <c r="V183" s="299"/>
      <c r="W183" s="299"/>
      <c r="X183" s="299"/>
      <c r="Y183" s="299"/>
      <c r="Z183" s="299"/>
      <c r="AA183" s="299"/>
      <c r="AB183" s="299"/>
      <c r="AC183" s="299"/>
      <c r="AD183" s="299"/>
      <c r="AE183" s="299"/>
      <c r="AF183" s="299"/>
    </row>
    <row r="184" spans="1:32" x14ac:dyDescent="0.35">
      <c r="A184" s="339"/>
      <c r="B184" s="299"/>
      <c r="C184" s="299"/>
      <c r="D184" s="299"/>
      <c r="E184" s="344"/>
      <c r="F184" s="299"/>
      <c r="G184" s="299"/>
      <c r="H184" s="299"/>
      <c r="I184" s="299"/>
      <c r="J184" s="299"/>
      <c r="K184" s="299"/>
      <c r="L184" s="299"/>
      <c r="M184" s="414"/>
      <c r="N184" s="299"/>
      <c r="O184" s="537"/>
      <c r="P184" s="537"/>
      <c r="Q184" s="537"/>
      <c r="R184" s="537"/>
      <c r="S184" s="299"/>
      <c r="T184" s="299"/>
      <c r="U184" s="299"/>
      <c r="V184" s="299"/>
      <c r="W184" s="299"/>
      <c r="X184" s="299"/>
      <c r="Y184" s="299"/>
      <c r="Z184" s="299"/>
      <c r="AA184" s="299"/>
      <c r="AB184" s="299"/>
      <c r="AC184" s="299"/>
      <c r="AD184" s="299"/>
      <c r="AE184" s="299"/>
      <c r="AF184" s="299"/>
    </row>
    <row r="185" spans="1:32" x14ac:dyDescent="0.35">
      <c r="A185" s="339"/>
      <c r="B185" s="299"/>
      <c r="C185" s="299"/>
      <c r="D185" s="299"/>
      <c r="E185" s="344"/>
      <c r="F185" s="299"/>
      <c r="G185" s="299"/>
      <c r="H185" s="299"/>
      <c r="I185" s="299"/>
      <c r="J185" s="299"/>
      <c r="K185" s="299"/>
      <c r="L185" s="299"/>
      <c r="M185" s="414"/>
      <c r="N185" s="299"/>
      <c r="O185" s="537"/>
      <c r="P185" s="537"/>
      <c r="Q185" s="537"/>
      <c r="R185" s="537"/>
      <c r="S185" s="299"/>
      <c r="T185" s="299"/>
      <c r="U185" s="299"/>
      <c r="V185" s="299"/>
      <c r="W185" s="299"/>
      <c r="X185" s="299"/>
      <c r="Y185" s="299"/>
      <c r="Z185" s="299"/>
      <c r="AA185" s="299"/>
      <c r="AB185" s="299"/>
      <c r="AC185" s="299"/>
      <c r="AD185" s="299"/>
      <c r="AE185" s="299"/>
      <c r="AF185" s="299"/>
    </row>
    <row r="186" spans="1:32" x14ac:dyDescent="0.35">
      <c r="A186" s="339"/>
      <c r="B186" s="299"/>
      <c r="C186" s="299"/>
      <c r="D186" s="299"/>
      <c r="E186" s="344"/>
      <c r="F186" s="299"/>
      <c r="G186" s="299"/>
      <c r="H186" s="299"/>
      <c r="I186" s="299"/>
      <c r="J186" s="299"/>
      <c r="K186" s="299"/>
      <c r="L186" s="299"/>
      <c r="M186" s="414"/>
      <c r="N186" s="299"/>
      <c r="O186" s="537"/>
      <c r="P186" s="537"/>
      <c r="Q186" s="537"/>
      <c r="R186" s="537"/>
      <c r="S186" s="299"/>
      <c r="T186" s="299"/>
      <c r="U186" s="299"/>
      <c r="V186" s="299"/>
      <c r="W186" s="299"/>
      <c r="X186" s="299"/>
      <c r="Y186" s="299"/>
      <c r="Z186" s="299"/>
      <c r="AA186" s="299"/>
      <c r="AB186" s="299"/>
      <c r="AC186" s="299"/>
      <c r="AD186" s="299"/>
      <c r="AE186" s="299"/>
      <c r="AF186" s="299"/>
    </row>
    <row r="187" spans="1:32" x14ac:dyDescent="0.35">
      <c r="A187" s="339"/>
      <c r="B187" s="299"/>
      <c r="C187" s="299"/>
      <c r="D187" s="299"/>
      <c r="E187" s="344"/>
      <c r="F187" s="299"/>
      <c r="G187" s="299"/>
      <c r="H187" s="299"/>
      <c r="I187" s="299"/>
      <c r="J187" s="299"/>
      <c r="K187" s="299"/>
      <c r="L187" s="299"/>
      <c r="M187" s="414"/>
      <c r="N187" s="299"/>
      <c r="O187" s="537"/>
      <c r="P187" s="537"/>
      <c r="Q187" s="537"/>
      <c r="R187" s="537"/>
      <c r="S187" s="299"/>
      <c r="T187" s="299"/>
      <c r="U187" s="299"/>
      <c r="V187" s="299"/>
      <c r="W187" s="299"/>
      <c r="X187" s="299"/>
      <c r="Y187" s="299"/>
      <c r="Z187" s="299"/>
      <c r="AA187" s="299"/>
      <c r="AB187" s="299"/>
      <c r="AC187" s="299"/>
      <c r="AD187" s="299"/>
      <c r="AE187" s="299"/>
      <c r="AF187" s="299"/>
    </row>
    <row r="188" spans="1:32" x14ac:dyDescent="0.35">
      <c r="A188" s="339"/>
      <c r="B188" s="299"/>
      <c r="C188" s="299"/>
      <c r="D188" s="299"/>
      <c r="E188" s="344"/>
      <c r="F188" s="299"/>
      <c r="G188" s="299"/>
      <c r="H188" s="299"/>
      <c r="I188" s="299"/>
      <c r="J188" s="299"/>
      <c r="K188" s="299"/>
      <c r="L188" s="299"/>
      <c r="M188" s="414"/>
      <c r="N188" s="299"/>
      <c r="O188" s="537"/>
      <c r="P188" s="537"/>
      <c r="Q188" s="537"/>
      <c r="R188" s="537"/>
      <c r="S188" s="299"/>
      <c r="T188" s="299"/>
      <c r="U188" s="299"/>
      <c r="V188" s="299"/>
      <c r="W188" s="299"/>
      <c r="X188" s="299"/>
      <c r="Y188" s="299"/>
      <c r="Z188" s="299"/>
      <c r="AA188" s="299"/>
      <c r="AB188" s="299"/>
      <c r="AC188" s="299"/>
      <c r="AD188" s="299"/>
      <c r="AE188" s="299"/>
      <c r="AF188" s="299"/>
    </row>
    <row r="189" spans="1:32" x14ac:dyDescent="0.35">
      <c r="A189" s="339"/>
      <c r="B189" s="299"/>
      <c r="C189" s="299"/>
      <c r="D189" s="299"/>
      <c r="E189" s="344"/>
      <c r="F189" s="299"/>
      <c r="G189" s="299"/>
      <c r="H189" s="299"/>
      <c r="I189" s="299"/>
      <c r="J189" s="299"/>
      <c r="K189" s="299"/>
      <c r="L189" s="299"/>
      <c r="M189" s="414"/>
      <c r="N189" s="299"/>
      <c r="O189" s="537"/>
      <c r="P189" s="537"/>
      <c r="Q189" s="537"/>
      <c r="R189" s="537"/>
      <c r="S189" s="299"/>
      <c r="T189" s="299"/>
      <c r="U189" s="299"/>
      <c r="V189" s="299"/>
      <c r="W189" s="299"/>
      <c r="X189" s="299"/>
      <c r="Y189" s="299"/>
      <c r="Z189" s="299"/>
      <c r="AA189" s="299"/>
      <c r="AB189" s="299"/>
      <c r="AC189" s="299"/>
      <c r="AD189" s="299"/>
      <c r="AE189" s="299"/>
      <c r="AF189" s="299"/>
    </row>
    <row r="190" spans="1:32" x14ac:dyDescent="0.35">
      <c r="A190" s="339"/>
      <c r="B190" s="299"/>
      <c r="C190" s="299"/>
      <c r="D190" s="299"/>
      <c r="E190" s="344"/>
      <c r="F190" s="299"/>
      <c r="G190" s="299"/>
      <c r="H190" s="299"/>
      <c r="I190" s="299"/>
      <c r="J190" s="299"/>
      <c r="K190" s="299"/>
      <c r="L190" s="299"/>
      <c r="M190" s="414"/>
      <c r="N190" s="299"/>
      <c r="O190" s="537"/>
      <c r="P190" s="537"/>
      <c r="Q190" s="537"/>
      <c r="R190" s="537"/>
      <c r="S190" s="299"/>
      <c r="T190" s="299"/>
      <c r="U190" s="299"/>
      <c r="V190" s="299"/>
      <c r="W190" s="299"/>
      <c r="X190" s="299"/>
      <c r="Y190" s="299"/>
      <c r="Z190" s="299"/>
      <c r="AA190" s="299"/>
      <c r="AB190" s="299"/>
      <c r="AC190" s="299"/>
      <c r="AD190" s="299"/>
      <c r="AE190" s="299"/>
      <c r="AF190" s="299"/>
    </row>
    <row r="191" spans="1:32" x14ac:dyDescent="0.35">
      <c r="A191" s="339"/>
      <c r="B191" s="299"/>
      <c r="C191" s="299"/>
      <c r="D191" s="299"/>
      <c r="E191" s="344"/>
      <c r="F191" s="299"/>
      <c r="G191" s="299"/>
      <c r="H191" s="299"/>
      <c r="I191" s="299"/>
      <c r="J191" s="299"/>
      <c r="K191" s="299"/>
      <c r="L191" s="299"/>
      <c r="M191" s="414"/>
      <c r="N191" s="299"/>
      <c r="O191" s="537"/>
      <c r="P191" s="537"/>
      <c r="Q191" s="537"/>
      <c r="R191" s="537"/>
      <c r="S191" s="299"/>
      <c r="T191" s="299"/>
      <c r="U191" s="299"/>
      <c r="V191" s="299"/>
      <c r="W191" s="299"/>
      <c r="X191" s="299"/>
      <c r="Y191" s="299"/>
      <c r="Z191" s="299"/>
      <c r="AA191" s="299"/>
      <c r="AB191" s="299"/>
      <c r="AC191" s="299"/>
      <c r="AD191" s="299"/>
      <c r="AE191" s="299"/>
      <c r="AF191" s="299"/>
    </row>
    <row r="192" spans="1:32" x14ac:dyDescent="0.35">
      <c r="A192" s="339"/>
      <c r="B192" s="299"/>
      <c r="C192" s="299"/>
      <c r="D192" s="299"/>
      <c r="E192" s="344"/>
      <c r="F192" s="299"/>
      <c r="G192" s="299"/>
      <c r="H192" s="299"/>
      <c r="I192" s="299"/>
      <c r="J192" s="299"/>
      <c r="K192" s="299"/>
      <c r="L192" s="299"/>
      <c r="M192" s="414"/>
      <c r="N192" s="299"/>
      <c r="O192" s="537"/>
      <c r="P192" s="537"/>
      <c r="Q192" s="537"/>
      <c r="R192" s="537"/>
      <c r="S192" s="299"/>
      <c r="T192" s="299"/>
      <c r="U192" s="299"/>
      <c r="V192" s="299"/>
      <c r="W192" s="299"/>
      <c r="X192" s="299"/>
      <c r="Y192" s="299"/>
      <c r="Z192" s="299"/>
      <c r="AA192" s="299"/>
      <c r="AB192" s="299"/>
      <c r="AC192" s="299"/>
      <c r="AD192" s="299"/>
      <c r="AE192" s="299"/>
      <c r="AF192" s="299"/>
    </row>
    <row r="193" spans="1:32" x14ac:dyDescent="0.35">
      <c r="A193" s="339"/>
      <c r="B193" s="299"/>
      <c r="C193" s="299"/>
      <c r="D193" s="299"/>
      <c r="E193" s="344"/>
      <c r="F193" s="299"/>
      <c r="G193" s="299"/>
      <c r="H193" s="299"/>
      <c r="I193" s="299"/>
      <c r="J193" s="299"/>
      <c r="K193" s="299"/>
      <c r="L193" s="299"/>
      <c r="M193" s="414"/>
      <c r="N193" s="299"/>
      <c r="O193" s="537"/>
      <c r="P193" s="537"/>
      <c r="Q193" s="537"/>
      <c r="R193" s="537"/>
      <c r="S193" s="299"/>
      <c r="T193" s="299"/>
      <c r="U193" s="299"/>
      <c r="V193" s="299"/>
      <c r="W193" s="299"/>
      <c r="X193" s="299"/>
      <c r="Y193" s="299"/>
      <c r="Z193" s="299"/>
      <c r="AA193" s="299"/>
      <c r="AB193" s="299"/>
      <c r="AC193" s="299"/>
      <c r="AD193" s="299"/>
      <c r="AE193" s="299"/>
      <c r="AF193" s="299"/>
    </row>
    <row r="194" spans="1:32" x14ac:dyDescent="0.35">
      <c r="A194" s="339"/>
      <c r="B194" s="299"/>
      <c r="C194" s="299"/>
      <c r="D194" s="299"/>
      <c r="E194" s="344"/>
      <c r="F194" s="299"/>
      <c r="G194" s="299"/>
      <c r="H194" s="299"/>
      <c r="I194" s="299"/>
      <c r="J194" s="299"/>
      <c r="K194" s="299"/>
      <c r="L194" s="299"/>
      <c r="M194" s="414"/>
      <c r="N194" s="299"/>
      <c r="O194" s="537"/>
      <c r="P194" s="537"/>
      <c r="Q194" s="537"/>
      <c r="R194" s="537"/>
      <c r="S194" s="299"/>
      <c r="T194" s="299"/>
      <c r="U194" s="299"/>
      <c r="V194" s="299"/>
      <c r="W194" s="299"/>
      <c r="X194" s="299"/>
      <c r="Y194" s="299"/>
      <c r="Z194" s="299"/>
      <c r="AA194" s="299"/>
      <c r="AB194" s="299"/>
      <c r="AC194" s="299"/>
      <c r="AD194" s="299"/>
      <c r="AE194" s="299"/>
      <c r="AF194" s="299"/>
    </row>
    <row r="195" spans="1:32" x14ac:dyDescent="0.35">
      <c r="A195" s="339"/>
      <c r="B195" s="299"/>
      <c r="C195" s="299"/>
      <c r="D195" s="299"/>
      <c r="E195" s="344"/>
      <c r="F195" s="299"/>
      <c r="G195" s="299"/>
      <c r="H195" s="299"/>
      <c r="I195" s="299"/>
      <c r="J195" s="299"/>
      <c r="K195" s="299"/>
      <c r="L195" s="299"/>
      <c r="M195" s="414"/>
      <c r="N195" s="299"/>
      <c r="O195" s="537"/>
      <c r="P195" s="537"/>
      <c r="Q195" s="537"/>
      <c r="R195" s="537"/>
      <c r="S195" s="299"/>
      <c r="T195" s="299"/>
      <c r="U195" s="299"/>
      <c r="V195" s="299"/>
      <c r="W195" s="299"/>
      <c r="X195" s="299"/>
      <c r="Y195" s="299"/>
      <c r="Z195" s="299"/>
      <c r="AA195" s="299"/>
      <c r="AB195" s="299"/>
      <c r="AC195" s="299"/>
      <c r="AD195" s="299"/>
      <c r="AE195" s="299"/>
      <c r="AF195" s="299"/>
    </row>
    <row r="196" spans="1:32" x14ac:dyDescent="0.35">
      <c r="A196" s="339"/>
      <c r="B196" s="299"/>
      <c r="C196" s="299"/>
      <c r="D196" s="299"/>
      <c r="E196" s="344"/>
      <c r="F196" s="299"/>
      <c r="G196" s="299"/>
      <c r="H196" s="299"/>
      <c r="I196" s="299"/>
      <c r="J196" s="299"/>
      <c r="K196" s="299"/>
      <c r="L196" s="299"/>
      <c r="M196" s="414"/>
      <c r="N196" s="299"/>
      <c r="O196" s="537"/>
      <c r="P196" s="537"/>
      <c r="Q196" s="537"/>
      <c r="R196" s="537"/>
      <c r="S196" s="299"/>
      <c r="T196" s="299"/>
      <c r="U196" s="299"/>
      <c r="V196" s="299"/>
      <c r="W196" s="299"/>
      <c r="X196" s="299"/>
      <c r="Y196" s="299"/>
      <c r="Z196" s="299"/>
      <c r="AA196" s="299"/>
      <c r="AB196" s="299"/>
      <c r="AC196" s="299"/>
      <c r="AD196" s="299"/>
      <c r="AE196" s="299"/>
      <c r="AF196" s="299"/>
    </row>
    <row r="197" spans="1:32" x14ac:dyDescent="0.35">
      <c r="A197" s="339"/>
      <c r="B197" s="299"/>
      <c r="C197" s="299"/>
      <c r="D197" s="299"/>
      <c r="E197" s="344"/>
      <c r="F197" s="299"/>
      <c r="G197" s="299"/>
      <c r="H197" s="299"/>
      <c r="I197" s="299"/>
      <c r="J197" s="299"/>
      <c r="K197" s="299"/>
      <c r="L197" s="299"/>
      <c r="M197" s="414"/>
      <c r="N197" s="299"/>
      <c r="O197" s="537"/>
      <c r="P197" s="537"/>
      <c r="Q197" s="537"/>
      <c r="R197" s="537"/>
      <c r="S197" s="299"/>
      <c r="T197" s="299"/>
      <c r="U197" s="299"/>
      <c r="V197" s="299"/>
      <c r="W197" s="299"/>
      <c r="X197" s="299"/>
      <c r="Y197" s="299"/>
      <c r="Z197" s="299"/>
      <c r="AA197" s="299"/>
      <c r="AB197" s="299"/>
      <c r="AC197" s="299"/>
      <c r="AD197" s="299"/>
      <c r="AE197" s="299"/>
      <c r="AF197" s="299"/>
    </row>
    <row r="198" spans="1:32" x14ac:dyDescent="0.35">
      <c r="A198" s="339"/>
      <c r="B198" s="299"/>
      <c r="C198" s="299"/>
      <c r="D198" s="299"/>
      <c r="E198" s="344"/>
      <c r="F198" s="299"/>
      <c r="G198" s="299"/>
      <c r="H198" s="299"/>
      <c r="I198" s="299"/>
      <c r="J198" s="299"/>
      <c r="K198" s="299"/>
      <c r="L198" s="299"/>
      <c r="M198" s="414"/>
      <c r="N198" s="299"/>
      <c r="O198" s="537"/>
      <c r="P198" s="537"/>
      <c r="Q198" s="537"/>
      <c r="R198" s="537"/>
      <c r="S198" s="299"/>
      <c r="T198" s="299"/>
      <c r="U198" s="299"/>
      <c r="V198" s="299"/>
      <c r="W198" s="299"/>
      <c r="X198" s="299"/>
      <c r="Y198" s="299"/>
      <c r="Z198" s="299"/>
      <c r="AA198" s="299"/>
      <c r="AB198" s="299"/>
      <c r="AC198" s="299"/>
      <c r="AD198" s="299"/>
      <c r="AE198" s="299"/>
      <c r="AF198" s="299"/>
    </row>
    <row r="199" spans="1:32" x14ac:dyDescent="0.35">
      <c r="A199" s="339"/>
      <c r="B199" s="299"/>
      <c r="C199" s="299"/>
      <c r="D199" s="299"/>
      <c r="E199" s="344"/>
      <c r="F199" s="299"/>
      <c r="G199" s="299"/>
      <c r="H199" s="299"/>
      <c r="I199" s="299"/>
      <c r="J199" s="299"/>
      <c r="K199" s="299"/>
      <c r="L199" s="299"/>
      <c r="M199" s="414"/>
      <c r="N199" s="299"/>
      <c r="O199" s="537"/>
      <c r="P199" s="537"/>
      <c r="Q199" s="537"/>
      <c r="R199" s="537"/>
      <c r="S199" s="299"/>
      <c r="T199" s="299"/>
      <c r="U199" s="299"/>
      <c r="V199" s="299"/>
      <c r="W199" s="299"/>
      <c r="X199" s="299"/>
      <c r="Y199" s="299"/>
      <c r="Z199" s="299"/>
      <c r="AA199" s="299"/>
      <c r="AB199" s="299"/>
      <c r="AC199" s="299"/>
      <c r="AD199" s="299"/>
      <c r="AE199" s="299"/>
      <c r="AF199" s="299"/>
    </row>
    <row r="200" spans="1:32" x14ac:dyDescent="0.35">
      <c r="A200" s="339"/>
      <c r="B200" s="299"/>
      <c r="C200" s="299"/>
      <c r="D200" s="299"/>
      <c r="E200" s="344"/>
      <c r="F200" s="299"/>
      <c r="G200" s="299"/>
      <c r="H200" s="299"/>
      <c r="I200" s="299"/>
      <c r="J200" s="299"/>
      <c r="K200" s="299"/>
      <c r="L200" s="299"/>
      <c r="M200" s="414"/>
      <c r="N200" s="299"/>
      <c r="O200" s="537"/>
      <c r="P200" s="537"/>
      <c r="Q200" s="537"/>
      <c r="R200" s="537"/>
      <c r="S200" s="299"/>
      <c r="T200" s="299"/>
      <c r="U200" s="299"/>
      <c r="V200" s="299"/>
      <c r="W200" s="299"/>
      <c r="X200" s="299"/>
      <c r="Y200" s="299"/>
      <c r="Z200" s="299"/>
      <c r="AA200" s="299"/>
      <c r="AB200" s="299"/>
      <c r="AC200" s="299"/>
      <c r="AD200" s="299"/>
      <c r="AE200" s="299"/>
      <c r="AF200" s="299"/>
    </row>
    <row r="201" spans="1:32" x14ac:dyDescent="0.35">
      <c r="A201" s="339"/>
      <c r="B201" s="299"/>
      <c r="C201" s="299"/>
      <c r="D201" s="299"/>
      <c r="E201" s="344"/>
      <c r="F201" s="299"/>
      <c r="G201" s="299"/>
      <c r="H201" s="299"/>
      <c r="I201" s="299"/>
      <c r="J201" s="299"/>
      <c r="K201" s="299"/>
      <c r="L201" s="299"/>
      <c r="M201" s="414"/>
      <c r="N201" s="299"/>
      <c r="O201" s="537"/>
      <c r="P201" s="537"/>
      <c r="Q201" s="537"/>
      <c r="R201" s="537"/>
      <c r="S201" s="299"/>
      <c r="T201" s="299"/>
      <c r="U201" s="299"/>
      <c r="V201" s="299"/>
      <c r="W201" s="299"/>
      <c r="X201" s="299"/>
      <c r="Y201" s="299"/>
      <c r="Z201" s="299"/>
      <c r="AA201" s="299"/>
      <c r="AB201" s="299"/>
      <c r="AC201" s="299"/>
      <c r="AD201" s="299"/>
      <c r="AE201" s="299"/>
      <c r="AF201" s="299"/>
    </row>
    <row r="202" spans="1:32" x14ac:dyDescent="0.35">
      <c r="A202" s="339"/>
      <c r="B202" s="299"/>
      <c r="C202" s="299"/>
      <c r="D202" s="299"/>
      <c r="E202" s="344"/>
      <c r="F202" s="299"/>
      <c r="G202" s="299"/>
      <c r="H202" s="299"/>
      <c r="I202" s="299"/>
      <c r="J202" s="299"/>
      <c r="K202" s="299"/>
      <c r="L202" s="299"/>
      <c r="M202" s="414"/>
      <c r="N202" s="299"/>
      <c r="O202" s="537"/>
      <c r="P202" s="537"/>
      <c r="Q202" s="537"/>
      <c r="R202" s="537"/>
      <c r="S202" s="299"/>
      <c r="T202" s="299"/>
      <c r="U202" s="299"/>
      <c r="V202" s="299"/>
      <c r="W202" s="299"/>
      <c r="X202" s="299"/>
      <c r="Y202" s="299"/>
      <c r="Z202" s="299"/>
      <c r="AA202" s="299"/>
      <c r="AB202" s="299"/>
      <c r="AC202" s="299"/>
      <c r="AD202" s="299"/>
      <c r="AE202" s="299"/>
      <c r="AF202" s="299"/>
    </row>
    <row r="203" spans="1:32" x14ac:dyDescent="0.35">
      <c r="A203" s="339"/>
      <c r="B203" s="299"/>
      <c r="C203" s="299"/>
      <c r="D203" s="299"/>
      <c r="E203" s="344"/>
      <c r="F203" s="299"/>
      <c r="G203" s="299"/>
      <c r="H203" s="299"/>
      <c r="I203" s="299"/>
      <c r="J203" s="299"/>
      <c r="K203" s="299"/>
      <c r="L203" s="299"/>
      <c r="M203" s="414"/>
      <c r="N203" s="299"/>
      <c r="O203" s="537"/>
      <c r="P203" s="537"/>
      <c r="Q203" s="537"/>
      <c r="R203" s="537"/>
      <c r="S203" s="299"/>
      <c r="T203" s="299"/>
      <c r="U203" s="299"/>
      <c r="V203" s="299"/>
      <c r="W203" s="299"/>
      <c r="X203" s="299"/>
      <c r="Y203" s="299"/>
      <c r="Z203" s="299"/>
      <c r="AA203" s="299"/>
      <c r="AB203" s="299"/>
      <c r="AC203" s="299"/>
      <c r="AD203" s="299"/>
      <c r="AE203" s="299"/>
      <c r="AF203" s="299"/>
    </row>
    <row r="204" spans="1:32" x14ac:dyDescent="0.35">
      <c r="A204" s="339"/>
      <c r="B204" s="299"/>
      <c r="C204" s="299"/>
      <c r="D204" s="299"/>
      <c r="E204" s="344"/>
      <c r="F204" s="299"/>
      <c r="G204" s="299"/>
      <c r="H204" s="299"/>
      <c r="I204" s="299"/>
      <c r="J204" s="299"/>
      <c r="K204" s="299"/>
      <c r="L204" s="299"/>
      <c r="M204" s="414"/>
      <c r="N204" s="299"/>
      <c r="O204" s="537"/>
      <c r="P204" s="537"/>
      <c r="Q204" s="537"/>
      <c r="R204" s="537"/>
      <c r="S204" s="299"/>
      <c r="T204" s="299"/>
      <c r="U204" s="299"/>
      <c r="V204" s="299"/>
      <c r="W204" s="299"/>
      <c r="X204" s="299"/>
      <c r="Y204" s="299"/>
      <c r="Z204" s="299"/>
      <c r="AA204" s="299"/>
      <c r="AB204" s="299"/>
      <c r="AC204" s="299"/>
      <c r="AD204" s="299"/>
      <c r="AE204" s="299"/>
      <c r="AF204" s="299"/>
    </row>
    <row r="205" spans="1:32" x14ac:dyDescent="0.35">
      <c r="A205" s="339"/>
      <c r="B205" s="299"/>
      <c r="C205" s="299"/>
      <c r="D205" s="299"/>
      <c r="E205" s="344"/>
      <c r="F205" s="299"/>
      <c r="G205" s="299"/>
      <c r="H205" s="299"/>
      <c r="I205" s="299"/>
      <c r="J205" s="299"/>
      <c r="K205" s="299"/>
      <c r="L205" s="299"/>
      <c r="M205" s="414"/>
      <c r="N205" s="299"/>
      <c r="O205" s="537"/>
      <c r="P205" s="537"/>
      <c r="Q205" s="537"/>
      <c r="R205" s="537"/>
      <c r="S205" s="299"/>
      <c r="T205" s="299"/>
      <c r="U205" s="299"/>
      <c r="V205" s="299"/>
      <c r="W205" s="299"/>
      <c r="X205" s="299"/>
      <c r="Y205" s="299"/>
      <c r="Z205" s="299"/>
      <c r="AA205" s="299"/>
      <c r="AB205" s="299"/>
      <c r="AC205" s="299"/>
      <c r="AD205" s="299"/>
      <c r="AE205" s="299"/>
      <c r="AF205" s="299"/>
    </row>
    <row r="206" spans="1:32" x14ac:dyDescent="0.35">
      <c r="A206" s="339"/>
      <c r="B206" s="299"/>
      <c r="C206" s="299"/>
      <c r="D206" s="299"/>
      <c r="E206" s="344"/>
      <c r="F206" s="299"/>
      <c r="G206" s="299"/>
      <c r="H206" s="299"/>
      <c r="I206" s="299"/>
      <c r="J206" s="299"/>
      <c r="K206" s="299"/>
      <c r="L206" s="299"/>
      <c r="M206" s="414"/>
      <c r="N206" s="299"/>
      <c r="O206" s="537"/>
      <c r="P206" s="537"/>
      <c r="Q206" s="537"/>
      <c r="R206" s="537"/>
      <c r="S206" s="299"/>
      <c r="T206" s="299"/>
      <c r="U206" s="299"/>
      <c r="V206" s="299"/>
      <c r="W206" s="299"/>
      <c r="X206" s="299"/>
      <c r="Y206" s="299"/>
      <c r="Z206" s="299"/>
      <c r="AA206" s="299"/>
      <c r="AB206" s="299"/>
      <c r="AC206" s="299"/>
      <c r="AD206" s="299"/>
      <c r="AE206" s="299"/>
      <c r="AF206" s="299"/>
    </row>
    <row r="207" spans="1:32" x14ac:dyDescent="0.35">
      <c r="A207" s="339"/>
      <c r="B207" s="299"/>
      <c r="C207" s="299"/>
      <c r="D207" s="299"/>
      <c r="E207" s="344"/>
      <c r="F207" s="299"/>
      <c r="G207" s="299"/>
      <c r="H207" s="299"/>
      <c r="I207" s="299"/>
      <c r="J207" s="299"/>
      <c r="K207" s="299"/>
      <c r="L207" s="299"/>
      <c r="M207" s="414"/>
      <c r="N207" s="299"/>
      <c r="O207" s="537"/>
      <c r="P207" s="537"/>
      <c r="Q207" s="537"/>
      <c r="R207" s="537"/>
      <c r="S207" s="299"/>
      <c r="T207" s="299"/>
      <c r="U207" s="299"/>
      <c r="V207" s="299"/>
      <c r="W207" s="299"/>
      <c r="X207" s="299"/>
      <c r="Y207" s="299"/>
      <c r="Z207" s="299"/>
      <c r="AA207" s="299"/>
      <c r="AB207" s="299"/>
      <c r="AC207" s="299"/>
      <c r="AD207" s="299"/>
      <c r="AE207" s="299"/>
      <c r="AF207" s="299"/>
    </row>
    <row r="208" spans="1:32" x14ac:dyDescent="0.35">
      <c r="A208" s="339"/>
      <c r="B208" s="299"/>
      <c r="C208" s="299"/>
      <c r="D208" s="299"/>
      <c r="E208" s="344"/>
      <c r="F208" s="299"/>
      <c r="G208" s="299"/>
      <c r="H208" s="299"/>
      <c r="I208" s="299"/>
      <c r="J208" s="299"/>
      <c r="K208" s="299"/>
      <c r="L208" s="299"/>
      <c r="M208" s="414"/>
      <c r="N208" s="299"/>
      <c r="O208" s="537"/>
      <c r="P208" s="537"/>
      <c r="Q208" s="537"/>
      <c r="R208" s="537"/>
      <c r="S208" s="299"/>
      <c r="T208" s="299"/>
      <c r="U208" s="299"/>
      <c r="V208" s="299"/>
      <c r="W208" s="299"/>
      <c r="X208" s="299"/>
      <c r="Y208" s="299"/>
      <c r="Z208" s="299"/>
      <c r="AA208" s="299"/>
      <c r="AB208" s="299"/>
      <c r="AC208" s="299"/>
      <c r="AD208" s="299"/>
      <c r="AE208" s="299"/>
      <c r="AF208" s="299"/>
    </row>
    <row r="209" spans="1:32" x14ac:dyDescent="0.35">
      <c r="A209" s="339"/>
      <c r="B209" s="299"/>
      <c r="C209" s="299"/>
      <c r="D209" s="299"/>
      <c r="E209" s="344"/>
      <c r="F209" s="299"/>
      <c r="G209" s="299"/>
      <c r="H209" s="299"/>
      <c r="I209" s="299"/>
      <c r="J209" s="299"/>
      <c r="K209" s="299"/>
      <c r="L209" s="299"/>
      <c r="M209" s="414"/>
      <c r="N209" s="299"/>
      <c r="O209" s="537"/>
      <c r="P209" s="537"/>
      <c r="Q209" s="537"/>
      <c r="R209" s="537"/>
      <c r="S209" s="299"/>
      <c r="T209" s="299"/>
      <c r="U209" s="299"/>
      <c r="V209" s="299"/>
      <c r="W209" s="299"/>
      <c r="X209" s="299"/>
      <c r="Y209" s="299"/>
      <c r="Z209" s="299"/>
      <c r="AA209" s="299"/>
      <c r="AB209" s="299"/>
      <c r="AC209" s="299"/>
      <c r="AD209" s="299"/>
      <c r="AE209" s="299"/>
      <c r="AF209" s="299"/>
    </row>
    <row r="210" spans="1:32" x14ac:dyDescent="0.35">
      <c r="A210" s="339"/>
      <c r="B210" s="299"/>
      <c r="C210" s="299"/>
      <c r="D210" s="299"/>
      <c r="E210" s="344"/>
      <c r="F210" s="299"/>
      <c r="G210" s="299"/>
      <c r="H210" s="299"/>
      <c r="I210" s="299"/>
      <c r="J210" s="299"/>
      <c r="K210" s="299"/>
      <c r="L210" s="299"/>
      <c r="M210" s="414"/>
      <c r="N210" s="299"/>
      <c r="O210" s="537"/>
      <c r="P210" s="537"/>
      <c r="Q210" s="537"/>
      <c r="R210" s="537"/>
      <c r="S210" s="299"/>
      <c r="T210" s="299"/>
      <c r="U210" s="299"/>
      <c r="V210" s="299"/>
      <c r="W210" s="299"/>
      <c r="X210" s="299"/>
      <c r="Y210" s="299"/>
      <c r="Z210" s="299"/>
      <c r="AA210" s="299"/>
      <c r="AB210" s="299"/>
      <c r="AC210" s="299"/>
      <c r="AD210" s="299"/>
      <c r="AE210" s="299"/>
      <c r="AF210" s="299"/>
    </row>
    <row r="211" spans="1:32" x14ac:dyDescent="0.35">
      <c r="A211" s="339"/>
      <c r="B211" s="299"/>
      <c r="C211" s="299"/>
      <c r="D211" s="299"/>
      <c r="E211" s="344"/>
      <c r="F211" s="299"/>
      <c r="G211" s="299"/>
      <c r="H211" s="299"/>
      <c r="I211" s="299"/>
      <c r="J211" s="299"/>
      <c r="K211" s="299"/>
      <c r="L211" s="299"/>
      <c r="M211" s="414"/>
      <c r="N211" s="299"/>
      <c r="O211" s="537"/>
      <c r="P211" s="537"/>
      <c r="Q211" s="537"/>
      <c r="R211" s="537"/>
      <c r="S211" s="299"/>
      <c r="T211" s="299"/>
      <c r="U211" s="299"/>
      <c r="V211" s="299"/>
      <c r="W211" s="299"/>
      <c r="X211" s="299"/>
      <c r="Y211" s="299"/>
      <c r="Z211" s="299"/>
      <c r="AA211" s="299"/>
      <c r="AB211" s="299"/>
      <c r="AC211" s="299"/>
      <c r="AD211" s="299"/>
      <c r="AE211" s="299"/>
      <c r="AF211" s="299"/>
    </row>
    <row r="212" spans="1:32" x14ac:dyDescent="0.35">
      <c r="A212" s="339"/>
      <c r="B212" s="299"/>
      <c r="C212" s="299"/>
      <c r="D212" s="299"/>
      <c r="E212" s="344"/>
      <c r="F212" s="299"/>
      <c r="G212" s="299"/>
      <c r="H212" s="299"/>
      <c r="I212" s="299"/>
      <c r="J212" s="299"/>
      <c r="K212" s="299"/>
      <c r="L212" s="299"/>
      <c r="M212" s="414"/>
      <c r="N212" s="299"/>
      <c r="O212" s="537"/>
      <c r="P212" s="537"/>
      <c r="Q212" s="537"/>
      <c r="R212" s="537"/>
      <c r="S212" s="299"/>
      <c r="T212" s="299"/>
      <c r="U212" s="299"/>
      <c r="V212" s="299"/>
      <c r="W212" s="299"/>
      <c r="X212" s="299"/>
      <c r="Y212" s="299"/>
      <c r="Z212" s="299"/>
      <c r="AA212" s="299"/>
      <c r="AB212" s="299"/>
      <c r="AC212" s="299"/>
      <c r="AD212" s="299"/>
      <c r="AE212" s="299"/>
      <c r="AF212" s="299"/>
    </row>
    <row r="213" spans="1:32" x14ac:dyDescent="0.35">
      <c r="A213" s="339"/>
      <c r="B213" s="299"/>
      <c r="C213" s="299"/>
      <c r="D213" s="299"/>
      <c r="E213" s="344"/>
      <c r="F213" s="299"/>
      <c r="G213" s="299"/>
      <c r="H213" s="299"/>
      <c r="I213" s="299"/>
      <c r="J213" s="299"/>
      <c r="K213" s="299"/>
      <c r="L213" s="299"/>
      <c r="M213" s="414"/>
      <c r="N213" s="299"/>
      <c r="O213" s="537"/>
      <c r="P213" s="537"/>
      <c r="Q213" s="537"/>
      <c r="R213" s="537"/>
      <c r="S213" s="299"/>
      <c r="T213" s="299"/>
      <c r="U213" s="299"/>
      <c r="V213" s="299"/>
      <c r="W213" s="299"/>
      <c r="X213" s="299"/>
      <c r="Y213" s="299"/>
      <c r="Z213" s="299"/>
      <c r="AA213" s="299"/>
      <c r="AB213" s="299"/>
      <c r="AC213" s="299"/>
      <c r="AD213" s="299"/>
      <c r="AE213" s="299"/>
      <c r="AF213" s="299"/>
    </row>
    <row r="214" spans="1:32" x14ac:dyDescent="0.35">
      <c r="A214" s="339"/>
      <c r="B214" s="299"/>
      <c r="C214" s="299"/>
      <c r="D214" s="299"/>
      <c r="E214" s="344"/>
      <c r="F214" s="299"/>
      <c r="G214" s="299"/>
      <c r="H214" s="299"/>
      <c r="I214" s="299"/>
      <c r="J214" s="299"/>
      <c r="K214" s="299"/>
      <c r="L214" s="299"/>
      <c r="M214" s="414"/>
      <c r="N214" s="299"/>
      <c r="O214" s="537"/>
      <c r="P214" s="537"/>
      <c r="Q214" s="537"/>
      <c r="R214" s="537"/>
      <c r="S214" s="299"/>
      <c r="T214" s="299"/>
      <c r="U214" s="299"/>
      <c r="V214" s="299"/>
      <c r="W214" s="299"/>
      <c r="X214" s="299"/>
      <c r="Y214" s="299"/>
      <c r="Z214" s="299"/>
      <c r="AA214" s="299"/>
      <c r="AB214" s="299"/>
      <c r="AC214" s="299"/>
      <c r="AD214" s="299"/>
      <c r="AE214" s="299"/>
      <c r="AF214" s="299"/>
    </row>
    <row r="215" spans="1:32" x14ac:dyDescent="0.35">
      <c r="A215" s="339"/>
      <c r="B215" s="299"/>
      <c r="C215" s="299"/>
      <c r="D215" s="299"/>
      <c r="E215" s="344"/>
      <c r="F215" s="299"/>
      <c r="G215" s="299"/>
      <c r="H215" s="299"/>
      <c r="I215" s="299"/>
      <c r="J215" s="299"/>
      <c r="K215" s="299"/>
      <c r="L215" s="299"/>
      <c r="M215" s="414"/>
      <c r="N215" s="299"/>
      <c r="O215" s="537"/>
      <c r="P215" s="537"/>
      <c r="Q215" s="537"/>
      <c r="R215" s="537"/>
      <c r="S215" s="299"/>
      <c r="T215" s="299"/>
      <c r="U215" s="299"/>
      <c r="V215" s="299"/>
      <c r="W215" s="299"/>
      <c r="X215" s="299"/>
      <c r="Y215" s="299"/>
      <c r="Z215" s="299"/>
      <c r="AA215" s="299"/>
      <c r="AB215" s="299"/>
      <c r="AC215" s="299"/>
      <c r="AD215" s="299"/>
      <c r="AE215" s="299"/>
      <c r="AF215" s="299"/>
    </row>
    <row r="216" spans="1:32" x14ac:dyDescent="0.35">
      <c r="A216" s="339"/>
      <c r="B216" s="299"/>
      <c r="C216" s="299"/>
      <c r="D216" s="299"/>
      <c r="E216" s="344"/>
      <c r="F216" s="299"/>
      <c r="G216" s="299"/>
      <c r="H216" s="299"/>
      <c r="I216" s="299"/>
      <c r="J216" s="299"/>
      <c r="K216" s="299"/>
      <c r="L216" s="299"/>
      <c r="M216" s="414"/>
      <c r="N216" s="299"/>
      <c r="O216" s="537"/>
      <c r="P216" s="537"/>
      <c r="Q216" s="537"/>
      <c r="R216" s="537"/>
      <c r="S216" s="299"/>
      <c r="T216" s="299"/>
      <c r="U216" s="299"/>
      <c r="V216" s="299"/>
      <c r="W216" s="299"/>
      <c r="X216" s="299"/>
      <c r="Y216" s="299"/>
      <c r="Z216" s="299"/>
      <c r="AA216" s="299"/>
      <c r="AB216" s="299"/>
      <c r="AC216" s="299"/>
      <c r="AD216" s="299"/>
      <c r="AE216" s="299"/>
      <c r="AF216" s="299"/>
    </row>
    <row r="217" spans="1:32" x14ac:dyDescent="0.35">
      <c r="A217" s="339"/>
      <c r="B217" s="299"/>
      <c r="C217" s="299"/>
      <c r="D217" s="299"/>
      <c r="E217" s="344"/>
      <c r="F217" s="299"/>
      <c r="G217" s="299"/>
      <c r="H217" s="299"/>
      <c r="I217" s="299"/>
      <c r="J217" s="299"/>
      <c r="K217" s="299"/>
      <c r="L217" s="299"/>
      <c r="M217" s="414"/>
      <c r="N217" s="299"/>
      <c r="O217" s="537"/>
      <c r="P217" s="537"/>
      <c r="Q217" s="537"/>
      <c r="R217" s="537"/>
      <c r="S217" s="299"/>
      <c r="T217" s="299"/>
      <c r="U217" s="299"/>
      <c r="V217" s="299"/>
      <c r="W217" s="299"/>
      <c r="X217" s="299"/>
      <c r="Y217" s="299"/>
      <c r="Z217" s="299"/>
      <c r="AA217" s="299"/>
      <c r="AB217" s="299"/>
      <c r="AC217" s="299"/>
      <c r="AD217" s="299"/>
      <c r="AE217" s="299"/>
      <c r="AF217" s="299"/>
    </row>
    <row r="218" spans="1:32" x14ac:dyDescent="0.35">
      <c r="A218" s="339"/>
      <c r="B218" s="299"/>
      <c r="C218" s="299"/>
      <c r="D218" s="299"/>
      <c r="E218" s="344"/>
      <c r="F218" s="299"/>
      <c r="G218" s="299"/>
      <c r="H218" s="299"/>
      <c r="I218" s="299"/>
      <c r="J218" s="299"/>
      <c r="K218" s="299"/>
      <c r="L218" s="299"/>
      <c r="M218" s="414"/>
      <c r="N218" s="299"/>
      <c r="O218" s="537"/>
      <c r="P218" s="537"/>
      <c r="Q218" s="537"/>
      <c r="R218" s="537"/>
      <c r="S218" s="299"/>
      <c r="T218" s="299"/>
      <c r="U218" s="299"/>
      <c r="V218" s="299"/>
      <c r="W218" s="299"/>
      <c r="X218" s="299"/>
      <c r="Y218" s="299"/>
      <c r="Z218" s="299"/>
      <c r="AA218" s="299"/>
      <c r="AB218" s="299"/>
      <c r="AC218" s="299"/>
      <c r="AD218" s="299"/>
      <c r="AE218" s="299"/>
      <c r="AF218" s="299"/>
    </row>
    <row r="219" spans="1:32" x14ac:dyDescent="0.35">
      <c r="A219" s="339"/>
      <c r="B219" s="299"/>
      <c r="C219" s="299"/>
      <c r="D219" s="299"/>
      <c r="E219" s="344"/>
      <c r="F219" s="299"/>
      <c r="G219" s="299"/>
      <c r="H219" s="299"/>
      <c r="I219" s="299"/>
      <c r="J219" s="299"/>
      <c r="K219" s="299"/>
      <c r="L219" s="299"/>
      <c r="M219" s="414"/>
      <c r="N219" s="299"/>
      <c r="O219" s="537"/>
      <c r="P219" s="537"/>
      <c r="Q219" s="537"/>
      <c r="R219" s="537"/>
      <c r="S219" s="299"/>
      <c r="T219" s="299"/>
      <c r="U219" s="299"/>
      <c r="V219" s="299"/>
      <c r="W219" s="299"/>
      <c r="X219" s="299"/>
      <c r="Y219" s="299"/>
      <c r="Z219" s="299"/>
      <c r="AA219" s="299"/>
      <c r="AB219" s="299"/>
      <c r="AC219" s="299"/>
      <c r="AD219" s="299"/>
      <c r="AE219" s="299"/>
      <c r="AF219" s="299"/>
    </row>
    <row r="220" spans="1:32" x14ac:dyDescent="0.35">
      <c r="A220" s="339"/>
      <c r="B220" s="299"/>
      <c r="C220" s="299"/>
      <c r="D220" s="299"/>
      <c r="E220" s="344"/>
      <c r="F220" s="299"/>
      <c r="G220" s="299"/>
      <c r="H220" s="299"/>
      <c r="I220" s="299"/>
      <c r="J220" s="299"/>
      <c r="K220" s="299"/>
      <c r="L220" s="299"/>
      <c r="M220" s="414"/>
      <c r="N220" s="299"/>
      <c r="O220" s="537"/>
      <c r="P220" s="537"/>
      <c r="Q220" s="537"/>
      <c r="R220" s="537"/>
      <c r="S220" s="299"/>
      <c r="T220" s="299"/>
      <c r="U220" s="299"/>
      <c r="V220" s="299"/>
      <c r="W220" s="299"/>
      <c r="X220" s="299"/>
      <c r="Y220" s="299"/>
      <c r="Z220" s="299"/>
      <c r="AA220" s="299"/>
      <c r="AB220" s="299"/>
      <c r="AC220" s="299"/>
      <c r="AD220" s="299"/>
      <c r="AE220" s="299"/>
      <c r="AF220" s="299"/>
    </row>
    <row r="221" spans="1:32" x14ac:dyDescent="0.35">
      <c r="A221" s="339"/>
      <c r="B221" s="299"/>
      <c r="C221" s="299"/>
      <c r="D221" s="299"/>
      <c r="E221" s="344"/>
      <c r="F221" s="299"/>
      <c r="G221" s="299"/>
      <c r="H221" s="299"/>
      <c r="I221" s="299"/>
      <c r="J221" s="299"/>
      <c r="K221" s="299"/>
      <c r="L221" s="299"/>
      <c r="M221" s="414"/>
      <c r="N221" s="299"/>
      <c r="O221" s="537"/>
      <c r="P221" s="537"/>
      <c r="Q221" s="537"/>
      <c r="R221" s="537"/>
      <c r="S221" s="299"/>
      <c r="T221" s="299"/>
      <c r="U221" s="299"/>
      <c r="V221" s="299"/>
      <c r="W221" s="299"/>
      <c r="X221" s="299"/>
      <c r="Y221" s="299"/>
      <c r="Z221" s="299"/>
      <c r="AA221" s="299"/>
      <c r="AB221" s="299"/>
      <c r="AC221" s="299"/>
      <c r="AD221" s="299"/>
      <c r="AE221" s="299"/>
      <c r="AF221" s="299"/>
    </row>
    <row r="222" spans="1:32" x14ac:dyDescent="0.35">
      <c r="A222" s="339"/>
      <c r="B222" s="299"/>
      <c r="C222" s="299"/>
      <c r="D222" s="299"/>
      <c r="E222" s="344"/>
      <c r="F222" s="299"/>
      <c r="G222" s="299"/>
      <c r="H222" s="299"/>
      <c r="I222" s="299"/>
      <c r="J222" s="299"/>
      <c r="K222" s="299"/>
      <c r="L222" s="299"/>
      <c r="M222" s="414"/>
      <c r="N222" s="299"/>
      <c r="O222" s="537"/>
      <c r="P222" s="537"/>
      <c r="Q222" s="537"/>
      <c r="R222" s="537"/>
      <c r="S222" s="299"/>
      <c r="T222" s="299"/>
      <c r="U222" s="299"/>
      <c r="V222" s="299"/>
      <c r="W222" s="299"/>
      <c r="X222" s="299"/>
      <c r="Y222" s="299"/>
      <c r="Z222" s="299"/>
      <c r="AA222" s="299"/>
      <c r="AB222" s="299"/>
      <c r="AC222" s="299"/>
      <c r="AD222" s="299"/>
      <c r="AE222" s="299"/>
      <c r="AF222" s="299"/>
    </row>
    <row r="223" spans="1:32" x14ac:dyDescent="0.35">
      <c r="A223" s="339"/>
      <c r="B223" s="299"/>
      <c r="C223" s="299"/>
      <c r="D223" s="299"/>
      <c r="E223" s="344"/>
      <c r="F223" s="299"/>
      <c r="G223" s="299"/>
      <c r="H223" s="299"/>
      <c r="I223" s="299"/>
      <c r="J223" s="299"/>
      <c r="K223" s="299"/>
      <c r="L223" s="299"/>
      <c r="M223" s="414"/>
      <c r="N223" s="299"/>
      <c r="O223" s="537"/>
      <c r="P223" s="537"/>
      <c r="Q223" s="537"/>
      <c r="R223" s="537"/>
      <c r="S223" s="299"/>
      <c r="T223" s="299"/>
      <c r="U223" s="299"/>
      <c r="V223" s="299"/>
      <c r="W223" s="299"/>
      <c r="X223" s="299"/>
      <c r="Y223" s="299"/>
      <c r="Z223" s="299"/>
      <c r="AA223" s="299"/>
      <c r="AB223" s="299"/>
      <c r="AC223" s="299"/>
      <c r="AD223" s="299"/>
      <c r="AE223" s="299"/>
      <c r="AF223" s="299"/>
    </row>
    <row r="224" spans="1:32" x14ac:dyDescent="0.35">
      <c r="A224" s="339"/>
      <c r="B224" s="299"/>
      <c r="C224" s="299"/>
      <c r="D224" s="299"/>
      <c r="E224" s="344"/>
      <c r="F224" s="299"/>
      <c r="G224" s="299"/>
      <c r="H224" s="299"/>
      <c r="I224" s="299"/>
      <c r="J224" s="299"/>
      <c r="K224" s="299"/>
      <c r="L224" s="299"/>
      <c r="M224" s="414"/>
      <c r="N224" s="299"/>
      <c r="O224" s="537"/>
      <c r="P224" s="537"/>
      <c r="Q224" s="537"/>
      <c r="R224" s="537"/>
      <c r="S224" s="299"/>
      <c r="T224" s="299"/>
      <c r="U224" s="299"/>
      <c r="V224" s="299"/>
      <c r="W224" s="299"/>
      <c r="X224" s="299"/>
      <c r="Y224" s="299"/>
      <c r="Z224" s="299"/>
      <c r="AA224" s="299"/>
      <c r="AB224" s="299"/>
      <c r="AC224" s="299"/>
      <c r="AD224" s="299"/>
      <c r="AE224" s="299"/>
      <c r="AF224" s="299"/>
    </row>
    <row r="225" spans="1:32" x14ac:dyDescent="0.35">
      <c r="A225" s="339"/>
      <c r="B225" s="299"/>
      <c r="C225" s="299"/>
      <c r="D225" s="299"/>
      <c r="E225" s="344"/>
      <c r="F225" s="299"/>
      <c r="G225" s="299"/>
      <c r="H225" s="299"/>
      <c r="I225" s="299"/>
      <c r="J225" s="299"/>
      <c r="K225" s="299"/>
      <c r="L225" s="299"/>
      <c r="M225" s="414"/>
      <c r="N225" s="299"/>
      <c r="O225" s="537"/>
      <c r="P225" s="537"/>
      <c r="Q225" s="537"/>
      <c r="R225" s="537"/>
      <c r="S225" s="299"/>
      <c r="T225" s="299"/>
      <c r="U225" s="299"/>
      <c r="V225" s="299"/>
      <c r="W225" s="299"/>
      <c r="X225" s="299"/>
      <c r="Y225" s="299"/>
      <c r="Z225" s="299"/>
      <c r="AA225" s="299"/>
      <c r="AB225" s="299"/>
      <c r="AC225" s="299"/>
      <c r="AD225" s="299"/>
      <c r="AE225" s="299"/>
      <c r="AF225" s="299"/>
    </row>
    <row r="226" spans="1:32" x14ac:dyDescent="0.35">
      <c r="A226" s="339"/>
      <c r="B226" s="299"/>
      <c r="C226" s="299"/>
      <c r="D226" s="299"/>
      <c r="E226" s="344"/>
      <c r="F226" s="299"/>
      <c r="G226" s="299"/>
      <c r="H226" s="299"/>
      <c r="I226" s="299"/>
      <c r="J226" s="299"/>
      <c r="K226" s="299"/>
      <c r="L226" s="299"/>
      <c r="M226" s="414"/>
      <c r="N226" s="299"/>
      <c r="O226" s="537"/>
      <c r="P226" s="537"/>
      <c r="Q226" s="537"/>
      <c r="R226" s="537"/>
      <c r="S226" s="299"/>
      <c r="T226" s="299"/>
      <c r="U226" s="299"/>
      <c r="V226" s="299"/>
      <c r="W226" s="299"/>
      <c r="X226" s="299"/>
      <c r="Y226" s="299"/>
      <c r="Z226" s="299"/>
      <c r="AA226" s="299"/>
      <c r="AB226" s="299"/>
      <c r="AC226" s="299"/>
      <c r="AD226" s="299"/>
      <c r="AE226" s="299"/>
      <c r="AF226" s="299"/>
    </row>
    <row r="227" spans="1:32" x14ac:dyDescent="0.35">
      <c r="A227" s="339"/>
      <c r="B227" s="299"/>
      <c r="C227" s="299"/>
      <c r="D227" s="299"/>
      <c r="E227" s="344"/>
      <c r="F227" s="299"/>
      <c r="G227" s="299"/>
      <c r="H227" s="299"/>
      <c r="I227" s="299"/>
      <c r="J227" s="299"/>
      <c r="K227" s="299"/>
      <c r="L227" s="299"/>
      <c r="M227" s="414"/>
      <c r="N227" s="299"/>
      <c r="O227" s="537"/>
      <c r="P227" s="537"/>
      <c r="Q227" s="537"/>
      <c r="R227" s="537"/>
      <c r="S227" s="299"/>
      <c r="T227" s="299"/>
      <c r="U227" s="299"/>
      <c r="V227" s="299"/>
      <c r="W227" s="299"/>
      <c r="X227" s="299"/>
      <c r="Y227" s="299"/>
      <c r="Z227" s="299"/>
      <c r="AA227" s="299"/>
      <c r="AB227" s="299"/>
      <c r="AC227" s="299"/>
      <c r="AD227" s="299"/>
      <c r="AE227" s="299"/>
      <c r="AF227" s="299"/>
    </row>
    <row r="228" spans="1:32" x14ac:dyDescent="0.35">
      <c r="A228" s="339"/>
      <c r="B228" s="299"/>
      <c r="C228" s="299"/>
      <c r="D228" s="299"/>
      <c r="E228" s="344"/>
      <c r="F228" s="299"/>
      <c r="G228" s="299"/>
      <c r="H228" s="299"/>
      <c r="I228" s="299"/>
      <c r="J228" s="299"/>
      <c r="K228" s="299"/>
      <c r="L228" s="299"/>
      <c r="M228" s="414"/>
      <c r="N228" s="299"/>
      <c r="O228" s="537"/>
      <c r="P228" s="537"/>
      <c r="Q228" s="537"/>
      <c r="R228" s="537"/>
      <c r="S228" s="299"/>
      <c r="T228" s="299"/>
      <c r="U228" s="299"/>
      <c r="V228" s="299"/>
      <c r="W228" s="299"/>
      <c r="X228" s="299"/>
      <c r="Y228" s="299"/>
      <c r="Z228" s="299"/>
      <c r="AA228" s="299"/>
      <c r="AB228" s="299"/>
      <c r="AC228" s="299"/>
      <c r="AD228" s="299"/>
      <c r="AE228" s="299"/>
      <c r="AF228" s="299"/>
    </row>
    <row r="229" spans="1:32" x14ac:dyDescent="0.35">
      <c r="A229" s="339"/>
      <c r="B229" s="299"/>
      <c r="C229" s="299"/>
      <c r="D229" s="299"/>
      <c r="E229" s="344"/>
      <c r="F229" s="299"/>
      <c r="G229" s="299"/>
      <c r="H229" s="299"/>
      <c r="I229" s="299"/>
      <c r="J229" s="299"/>
      <c r="K229" s="299"/>
      <c r="L229" s="299"/>
      <c r="M229" s="414"/>
      <c r="N229" s="299"/>
      <c r="O229" s="537"/>
      <c r="P229" s="537"/>
      <c r="Q229" s="537"/>
      <c r="R229" s="537"/>
      <c r="S229" s="299"/>
      <c r="T229" s="299"/>
      <c r="U229" s="299"/>
      <c r="V229" s="299"/>
      <c r="W229" s="299"/>
      <c r="X229" s="299"/>
      <c r="Y229" s="299"/>
      <c r="Z229" s="299"/>
      <c r="AA229" s="299"/>
      <c r="AB229" s="299"/>
      <c r="AC229" s="299"/>
      <c r="AD229" s="299"/>
      <c r="AE229" s="299"/>
      <c r="AF229" s="299"/>
    </row>
    <row r="230" spans="1:32" x14ac:dyDescent="0.35">
      <c r="A230" s="339"/>
      <c r="B230" s="299"/>
      <c r="C230" s="299"/>
      <c r="D230" s="299"/>
      <c r="E230" s="344"/>
      <c r="F230" s="299"/>
      <c r="G230" s="299"/>
      <c r="H230" s="299"/>
      <c r="I230" s="299"/>
      <c r="J230" s="299"/>
      <c r="K230" s="299"/>
      <c r="L230" s="299"/>
      <c r="M230" s="414"/>
      <c r="N230" s="299"/>
      <c r="O230" s="537"/>
      <c r="P230" s="537"/>
      <c r="Q230" s="537"/>
      <c r="R230" s="537"/>
      <c r="S230" s="299"/>
      <c r="T230" s="299"/>
      <c r="U230" s="299"/>
      <c r="V230" s="299"/>
      <c r="W230" s="299"/>
      <c r="X230" s="299"/>
      <c r="Y230" s="299"/>
      <c r="Z230" s="299"/>
      <c r="AA230" s="299"/>
      <c r="AB230" s="299"/>
      <c r="AC230" s="299"/>
      <c r="AD230" s="299"/>
      <c r="AE230" s="299"/>
      <c r="AF230" s="299"/>
    </row>
    <row r="231" spans="1:32" x14ac:dyDescent="0.35">
      <c r="A231" s="339"/>
      <c r="B231" s="299"/>
      <c r="C231" s="299"/>
      <c r="D231" s="299"/>
      <c r="E231" s="344"/>
      <c r="F231" s="299"/>
      <c r="G231" s="299"/>
      <c r="H231" s="299"/>
      <c r="I231" s="299"/>
      <c r="J231" s="299"/>
      <c r="K231" s="299"/>
      <c r="L231" s="299"/>
      <c r="M231" s="414"/>
      <c r="N231" s="299"/>
      <c r="O231" s="537"/>
      <c r="P231" s="537"/>
      <c r="Q231" s="537"/>
      <c r="R231" s="537"/>
      <c r="S231" s="299"/>
      <c r="T231" s="299"/>
      <c r="U231" s="299"/>
      <c r="V231" s="299"/>
      <c r="W231" s="299"/>
      <c r="X231" s="299"/>
      <c r="Y231" s="299"/>
      <c r="Z231" s="299"/>
      <c r="AA231" s="299"/>
      <c r="AB231" s="299"/>
      <c r="AC231" s="299"/>
      <c r="AD231" s="299"/>
      <c r="AE231" s="299"/>
      <c r="AF231" s="299"/>
    </row>
    <row r="232" spans="1:32" x14ac:dyDescent="0.35">
      <c r="A232" s="339"/>
      <c r="B232" s="299"/>
      <c r="C232" s="299"/>
      <c r="D232" s="299"/>
      <c r="E232" s="344"/>
      <c r="F232" s="299"/>
      <c r="G232" s="299"/>
      <c r="H232" s="299"/>
      <c r="I232" s="299"/>
      <c r="J232" s="299"/>
      <c r="K232" s="299"/>
      <c r="L232" s="299"/>
      <c r="M232" s="414"/>
      <c r="N232" s="299"/>
      <c r="O232" s="537"/>
      <c r="P232" s="537"/>
      <c r="Q232" s="537"/>
      <c r="R232" s="537"/>
      <c r="S232" s="299"/>
      <c r="T232" s="299"/>
      <c r="U232" s="299"/>
      <c r="V232" s="299"/>
      <c r="W232" s="299"/>
      <c r="X232" s="299"/>
      <c r="Y232" s="299"/>
      <c r="Z232" s="299"/>
      <c r="AA232" s="299"/>
      <c r="AB232" s="299"/>
      <c r="AC232" s="299"/>
      <c r="AD232" s="299"/>
      <c r="AE232" s="299"/>
      <c r="AF232" s="299"/>
    </row>
    <row r="233" spans="1:32" x14ac:dyDescent="0.35">
      <c r="A233" s="339"/>
      <c r="B233" s="299"/>
      <c r="C233" s="299"/>
      <c r="D233" s="299"/>
      <c r="E233" s="344"/>
      <c r="F233" s="299"/>
      <c r="G233" s="299"/>
      <c r="H233" s="299"/>
      <c r="I233" s="299"/>
      <c r="J233" s="299"/>
      <c r="K233" s="299"/>
      <c r="L233" s="299"/>
      <c r="M233" s="414"/>
      <c r="N233" s="299"/>
      <c r="O233" s="537"/>
      <c r="P233" s="537"/>
      <c r="Q233" s="537"/>
      <c r="R233" s="537"/>
      <c r="S233" s="299"/>
      <c r="T233" s="299"/>
      <c r="U233" s="299"/>
      <c r="V233" s="299"/>
      <c r="W233" s="299"/>
      <c r="X233" s="299"/>
      <c r="Y233" s="299"/>
      <c r="Z233" s="299"/>
      <c r="AA233" s="299"/>
      <c r="AB233" s="299"/>
      <c r="AC233" s="299"/>
      <c r="AD233" s="299"/>
      <c r="AE233" s="299"/>
      <c r="AF233" s="299"/>
    </row>
    <row r="234" spans="1:32" x14ac:dyDescent="0.35">
      <c r="A234" s="339"/>
      <c r="B234" s="299"/>
      <c r="C234" s="299"/>
      <c r="D234" s="299"/>
      <c r="E234" s="344"/>
      <c r="F234" s="299"/>
      <c r="G234" s="299"/>
      <c r="H234" s="299"/>
      <c r="I234" s="299"/>
      <c r="J234" s="299"/>
      <c r="K234" s="299"/>
      <c r="L234" s="299"/>
      <c r="M234" s="414"/>
      <c r="N234" s="299"/>
      <c r="O234" s="537"/>
      <c r="P234" s="537"/>
      <c r="Q234" s="537"/>
      <c r="R234" s="537"/>
      <c r="S234" s="299"/>
      <c r="T234" s="299"/>
      <c r="U234" s="299"/>
      <c r="V234" s="299"/>
      <c r="W234" s="299"/>
      <c r="X234" s="299"/>
      <c r="Y234" s="299"/>
      <c r="Z234" s="299"/>
      <c r="AA234" s="299"/>
      <c r="AB234" s="299"/>
      <c r="AC234" s="299"/>
      <c r="AD234" s="299"/>
      <c r="AE234" s="299"/>
      <c r="AF234" s="299"/>
    </row>
    <row r="235" spans="1:32" x14ac:dyDescent="0.35">
      <c r="A235" s="339"/>
      <c r="B235" s="299"/>
      <c r="C235" s="299"/>
      <c r="D235" s="299"/>
      <c r="E235" s="344"/>
      <c r="F235" s="299"/>
      <c r="G235" s="299"/>
      <c r="H235" s="299"/>
      <c r="I235" s="299"/>
      <c r="J235" s="299"/>
      <c r="K235" s="299"/>
      <c r="L235" s="299"/>
      <c r="M235" s="414"/>
      <c r="N235" s="299"/>
      <c r="O235" s="537"/>
      <c r="P235" s="537"/>
      <c r="Q235" s="537"/>
      <c r="R235" s="537"/>
      <c r="S235" s="299"/>
      <c r="T235" s="299"/>
      <c r="U235" s="299"/>
      <c r="V235" s="299"/>
      <c r="W235" s="299"/>
      <c r="X235" s="299"/>
      <c r="Y235" s="299"/>
      <c r="Z235" s="299"/>
      <c r="AA235" s="299"/>
      <c r="AB235" s="299"/>
      <c r="AC235" s="299"/>
      <c r="AD235" s="299"/>
      <c r="AE235" s="299"/>
      <c r="AF235" s="299"/>
    </row>
    <row r="236" spans="1:32" x14ac:dyDescent="0.35">
      <c r="A236" s="339"/>
      <c r="B236" s="299"/>
      <c r="C236" s="299"/>
      <c r="D236" s="299"/>
      <c r="E236" s="344"/>
      <c r="F236" s="299"/>
      <c r="G236" s="299"/>
      <c r="H236" s="299"/>
      <c r="I236" s="299"/>
      <c r="J236" s="299"/>
      <c r="K236" s="299"/>
      <c r="L236" s="299"/>
      <c r="M236" s="414"/>
      <c r="N236" s="299"/>
      <c r="O236" s="537"/>
      <c r="P236" s="537"/>
      <c r="Q236" s="537"/>
      <c r="R236" s="537"/>
      <c r="S236" s="299"/>
      <c r="T236" s="299"/>
      <c r="U236" s="299"/>
      <c r="V236" s="299"/>
      <c r="W236" s="299"/>
      <c r="X236" s="299"/>
      <c r="Y236" s="299"/>
      <c r="Z236" s="299"/>
      <c r="AA236" s="299"/>
      <c r="AB236" s="299"/>
      <c r="AC236" s="299"/>
      <c r="AD236" s="299"/>
      <c r="AE236" s="299"/>
      <c r="AF236" s="299"/>
    </row>
    <row r="237" spans="1:32" x14ac:dyDescent="0.35">
      <c r="A237" s="339"/>
      <c r="B237" s="299"/>
      <c r="C237" s="299"/>
      <c r="D237" s="299"/>
      <c r="E237" s="344"/>
      <c r="F237" s="299"/>
      <c r="G237" s="299"/>
      <c r="H237" s="299"/>
      <c r="I237" s="299"/>
      <c r="J237" s="299"/>
      <c r="K237" s="299"/>
      <c r="L237" s="299"/>
      <c r="M237" s="414"/>
      <c r="N237" s="299"/>
      <c r="O237" s="537"/>
      <c r="P237" s="537"/>
      <c r="Q237" s="537"/>
      <c r="R237" s="537"/>
      <c r="S237" s="299"/>
      <c r="T237" s="299"/>
      <c r="U237" s="299"/>
      <c r="V237" s="299"/>
      <c r="W237" s="299"/>
      <c r="X237" s="299"/>
      <c r="Y237" s="299"/>
      <c r="Z237" s="299"/>
      <c r="AA237" s="299"/>
      <c r="AB237" s="299"/>
      <c r="AC237" s="299"/>
      <c r="AD237" s="299"/>
      <c r="AE237" s="299"/>
      <c r="AF237" s="299"/>
    </row>
    <row r="238" spans="1:32" x14ac:dyDescent="0.35">
      <c r="A238" s="339"/>
      <c r="B238" s="299"/>
      <c r="C238" s="299"/>
      <c r="D238" s="299"/>
      <c r="E238" s="344"/>
      <c r="F238" s="299"/>
      <c r="G238" s="299"/>
      <c r="H238" s="299"/>
      <c r="I238" s="299"/>
      <c r="J238" s="299"/>
      <c r="K238" s="299"/>
      <c r="L238" s="299"/>
      <c r="M238" s="414"/>
      <c r="N238" s="299"/>
      <c r="O238" s="537"/>
      <c r="P238" s="537"/>
      <c r="Q238" s="537"/>
      <c r="R238" s="537"/>
      <c r="S238" s="299"/>
      <c r="T238" s="299"/>
      <c r="U238" s="299"/>
      <c r="V238" s="299"/>
      <c r="W238" s="299"/>
      <c r="X238" s="299"/>
      <c r="Y238" s="299"/>
      <c r="Z238" s="299"/>
      <c r="AA238" s="299"/>
      <c r="AB238" s="299"/>
      <c r="AC238" s="299"/>
      <c r="AD238" s="299"/>
      <c r="AE238" s="299"/>
      <c r="AF238" s="299"/>
    </row>
    <row r="239" spans="1:32" x14ac:dyDescent="0.35">
      <c r="A239" s="339"/>
      <c r="B239" s="299"/>
      <c r="C239" s="299"/>
      <c r="D239" s="299"/>
      <c r="E239" s="344"/>
      <c r="F239" s="299"/>
      <c r="G239" s="299"/>
      <c r="H239" s="299"/>
      <c r="I239" s="299"/>
      <c r="J239" s="299"/>
      <c r="K239" s="299"/>
      <c r="L239" s="299"/>
      <c r="M239" s="414"/>
      <c r="N239" s="299"/>
      <c r="O239" s="537"/>
      <c r="P239" s="537"/>
      <c r="Q239" s="537"/>
      <c r="R239" s="537"/>
      <c r="S239" s="299"/>
      <c r="T239" s="299"/>
      <c r="U239" s="299"/>
      <c r="V239" s="299"/>
      <c r="W239" s="299"/>
      <c r="X239" s="299"/>
      <c r="Y239" s="299"/>
      <c r="Z239" s="299"/>
      <c r="AA239" s="299"/>
      <c r="AB239" s="299"/>
      <c r="AC239" s="299"/>
      <c r="AD239" s="299"/>
      <c r="AE239" s="299"/>
      <c r="AF239" s="299"/>
    </row>
    <row r="240" spans="1:32" x14ac:dyDescent="0.35">
      <c r="A240" s="339"/>
      <c r="B240" s="299"/>
      <c r="C240" s="299"/>
      <c r="D240" s="299"/>
      <c r="E240" s="344"/>
      <c r="F240" s="299"/>
      <c r="G240" s="299"/>
      <c r="H240" s="299"/>
      <c r="I240" s="299"/>
      <c r="J240" s="299"/>
      <c r="K240" s="299"/>
      <c r="L240" s="299"/>
      <c r="M240" s="414"/>
      <c r="N240" s="299"/>
      <c r="O240" s="537"/>
      <c r="P240" s="537"/>
      <c r="Q240" s="537"/>
      <c r="R240" s="537"/>
      <c r="S240" s="299"/>
      <c r="T240" s="299"/>
      <c r="U240" s="299"/>
      <c r="V240" s="299"/>
      <c r="W240" s="299"/>
      <c r="X240" s="299"/>
      <c r="Y240" s="299"/>
      <c r="Z240" s="299"/>
      <c r="AA240" s="299"/>
      <c r="AB240" s="299"/>
      <c r="AC240" s="299"/>
      <c r="AD240" s="299"/>
      <c r="AE240" s="299"/>
      <c r="AF240" s="299"/>
    </row>
    <row r="241" spans="1:32" x14ac:dyDescent="0.35">
      <c r="A241" s="339"/>
      <c r="B241" s="299"/>
      <c r="C241" s="299"/>
      <c r="D241" s="299"/>
      <c r="E241" s="344"/>
      <c r="F241" s="299"/>
      <c r="G241" s="299"/>
      <c r="H241" s="299"/>
      <c r="I241" s="299"/>
      <c r="J241" s="299"/>
      <c r="K241" s="299"/>
      <c r="L241" s="299"/>
      <c r="M241" s="414"/>
      <c r="N241" s="299"/>
      <c r="O241" s="537"/>
      <c r="P241" s="537"/>
      <c r="Q241" s="537"/>
      <c r="R241" s="537"/>
      <c r="S241" s="299"/>
      <c r="T241" s="299"/>
      <c r="U241" s="299"/>
      <c r="V241" s="299"/>
      <c r="W241" s="299"/>
      <c r="X241" s="299"/>
      <c r="Y241" s="299"/>
      <c r="Z241" s="299"/>
      <c r="AA241" s="299"/>
      <c r="AB241" s="299"/>
      <c r="AC241" s="299"/>
      <c r="AD241" s="299"/>
      <c r="AE241" s="299"/>
      <c r="AF241" s="299"/>
    </row>
    <row r="242" spans="1:32" x14ac:dyDescent="0.35">
      <c r="A242" s="339"/>
      <c r="B242" s="299"/>
      <c r="C242" s="299"/>
      <c r="D242" s="299"/>
      <c r="E242" s="344"/>
      <c r="F242" s="299"/>
      <c r="G242" s="299"/>
      <c r="H242" s="299"/>
      <c r="I242" s="299"/>
      <c r="J242" s="299"/>
      <c r="K242" s="299"/>
      <c r="L242" s="299"/>
      <c r="M242" s="414"/>
      <c r="N242" s="299"/>
      <c r="O242" s="537"/>
      <c r="P242" s="537"/>
      <c r="Q242" s="537"/>
      <c r="R242" s="537"/>
      <c r="S242" s="299"/>
      <c r="T242" s="299"/>
      <c r="U242" s="299"/>
      <c r="V242" s="299"/>
      <c r="W242" s="299"/>
      <c r="X242" s="299"/>
      <c r="Y242" s="299"/>
      <c r="Z242" s="299"/>
      <c r="AA242" s="299"/>
      <c r="AB242" s="299"/>
      <c r="AC242" s="299"/>
      <c r="AD242" s="299"/>
      <c r="AE242" s="299"/>
      <c r="AF242" s="299"/>
    </row>
    <row r="243" spans="1:32" x14ac:dyDescent="0.35">
      <c r="A243" s="339"/>
      <c r="B243" s="299"/>
      <c r="C243" s="299"/>
      <c r="D243" s="299"/>
      <c r="E243" s="344"/>
      <c r="F243" s="299"/>
      <c r="G243" s="299"/>
      <c r="H243" s="299"/>
      <c r="I243" s="299"/>
      <c r="J243" s="299"/>
      <c r="K243" s="299"/>
      <c r="L243" s="299"/>
      <c r="M243" s="414"/>
      <c r="N243" s="299"/>
      <c r="O243" s="537"/>
      <c r="P243" s="537"/>
      <c r="Q243" s="537"/>
      <c r="R243" s="537"/>
      <c r="S243" s="299"/>
      <c r="T243" s="299"/>
      <c r="U243" s="299"/>
      <c r="V243" s="299"/>
      <c r="W243" s="299"/>
      <c r="X243" s="299"/>
      <c r="Y243" s="299"/>
      <c r="Z243" s="299"/>
      <c r="AA243" s="299"/>
      <c r="AB243" s="299"/>
      <c r="AC243" s="299"/>
      <c r="AD243" s="299"/>
      <c r="AE243" s="299"/>
      <c r="AF243" s="299"/>
    </row>
    <row r="244" spans="1:32" x14ac:dyDescent="0.35">
      <c r="A244" s="339"/>
      <c r="B244" s="299"/>
      <c r="C244" s="299"/>
      <c r="D244" s="299"/>
      <c r="E244" s="344"/>
      <c r="F244" s="299"/>
      <c r="G244" s="299"/>
      <c r="H244" s="299"/>
      <c r="I244" s="299"/>
      <c r="J244" s="299"/>
      <c r="K244" s="299"/>
      <c r="L244" s="299"/>
      <c r="M244" s="414"/>
      <c r="N244" s="299"/>
      <c r="O244" s="537"/>
      <c r="P244" s="537"/>
      <c r="Q244" s="537"/>
      <c r="R244" s="537"/>
      <c r="S244" s="299"/>
      <c r="T244" s="299"/>
      <c r="U244" s="299"/>
      <c r="V244" s="299"/>
      <c r="W244" s="299"/>
      <c r="X244" s="299"/>
      <c r="Y244" s="299"/>
      <c r="Z244" s="299"/>
      <c r="AA244" s="299"/>
      <c r="AB244" s="299"/>
      <c r="AC244" s="299"/>
      <c r="AD244" s="299"/>
      <c r="AE244" s="299"/>
      <c r="AF244" s="299"/>
    </row>
    <row r="245" spans="1:32" x14ac:dyDescent="0.35">
      <c r="A245" s="339"/>
      <c r="B245" s="299"/>
      <c r="C245" s="299"/>
      <c r="D245" s="299"/>
      <c r="E245" s="344"/>
      <c r="F245" s="299"/>
      <c r="G245" s="299"/>
      <c r="H245" s="299"/>
      <c r="I245" s="299"/>
      <c r="J245" s="299"/>
      <c r="K245" s="299"/>
      <c r="L245" s="299"/>
      <c r="M245" s="414"/>
      <c r="N245" s="299"/>
      <c r="O245" s="537"/>
      <c r="P245" s="537"/>
      <c r="Q245" s="537"/>
      <c r="R245" s="537"/>
      <c r="S245" s="299"/>
      <c r="T245" s="299"/>
      <c r="U245" s="299"/>
      <c r="V245" s="299"/>
      <c r="W245" s="299"/>
      <c r="X245" s="299"/>
      <c r="Y245" s="299"/>
      <c r="Z245" s="299"/>
      <c r="AA245" s="299"/>
      <c r="AB245" s="299"/>
      <c r="AC245" s="299"/>
      <c r="AD245" s="299"/>
      <c r="AE245" s="299"/>
      <c r="AF245" s="299"/>
    </row>
    <row r="246" spans="1:32" x14ac:dyDescent="0.35">
      <c r="A246" s="339"/>
      <c r="B246" s="299"/>
      <c r="C246" s="299"/>
      <c r="D246" s="299"/>
      <c r="E246" s="344"/>
      <c r="F246" s="299"/>
      <c r="G246" s="299"/>
      <c r="H246" s="299"/>
      <c r="I246" s="299"/>
      <c r="J246" s="299"/>
      <c r="K246" s="299"/>
      <c r="L246" s="299"/>
      <c r="M246" s="414"/>
      <c r="N246" s="299"/>
      <c r="O246" s="537"/>
      <c r="P246" s="537"/>
      <c r="Q246" s="537"/>
      <c r="R246" s="537"/>
      <c r="S246" s="299"/>
      <c r="T246" s="299"/>
      <c r="U246" s="299"/>
      <c r="V246" s="299"/>
      <c r="W246" s="299"/>
      <c r="X246" s="299"/>
      <c r="Y246" s="299"/>
      <c r="Z246" s="299"/>
      <c r="AA246" s="299"/>
      <c r="AB246" s="299"/>
      <c r="AC246" s="299"/>
      <c r="AD246" s="299"/>
      <c r="AE246" s="299"/>
      <c r="AF246" s="299"/>
    </row>
    <row r="247" spans="1:32" x14ac:dyDescent="0.35">
      <c r="A247" s="339"/>
      <c r="B247" s="299"/>
      <c r="C247" s="299"/>
      <c r="D247" s="299"/>
      <c r="E247" s="344"/>
      <c r="F247" s="299"/>
      <c r="G247" s="299"/>
      <c r="H247" s="299"/>
      <c r="I247" s="299"/>
      <c r="J247" s="299"/>
      <c r="K247" s="299"/>
      <c r="L247" s="299"/>
      <c r="M247" s="414"/>
      <c r="N247" s="299"/>
      <c r="O247" s="537"/>
      <c r="P247" s="537"/>
      <c r="Q247" s="537"/>
      <c r="R247" s="537"/>
      <c r="S247" s="299"/>
      <c r="T247" s="299"/>
      <c r="U247" s="299"/>
      <c r="V247" s="299"/>
      <c r="W247" s="299"/>
      <c r="X247" s="299"/>
      <c r="Y247" s="299"/>
      <c r="Z247" s="299"/>
      <c r="AA247" s="299"/>
      <c r="AB247" s="299"/>
      <c r="AC247" s="299"/>
      <c r="AD247" s="299"/>
      <c r="AE247" s="299"/>
      <c r="AF247" s="299"/>
    </row>
    <row r="248" spans="1:32" x14ac:dyDescent="0.35">
      <c r="A248" s="339"/>
      <c r="B248" s="299"/>
      <c r="C248" s="299"/>
      <c r="D248" s="299"/>
      <c r="E248" s="344"/>
      <c r="F248" s="299"/>
      <c r="G248" s="299"/>
      <c r="H248" s="299"/>
      <c r="I248" s="299"/>
      <c r="J248" s="299"/>
      <c r="K248" s="299"/>
      <c r="L248" s="299"/>
      <c r="M248" s="414"/>
      <c r="N248" s="299"/>
      <c r="O248" s="537"/>
      <c r="P248" s="537"/>
      <c r="Q248" s="537"/>
      <c r="R248" s="537"/>
      <c r="S248" s="299"/>
      <c r="T248" s="299"/>
      <c r="U248" s="299"/>
      <c r="V248" s="299"/>
      <c r="W248" s="299"/>
      <c r="X248" s="299"/>
      <c r="Y248" s="299"/>
      <c r="Z248" s="299"/>
      <c r="AA248" s="299"/>
      <c r="AB248" s="299"/>
      <c r="AC248" s="299"/>
      <c r="AD248" s="299"/>
      <c r="AE248" s="299"/>
      <c r="AF248" s="299"/>
    </row>
    <row r="249" spans="1:32" x14ac:dyDescent="0.35">
      <c r="A249" s="339"/>
      <c r="B249" s="299"/>
      <c r="C249" s="299"/>
      <c r="D249" s="299"/>
      <c r="E249" s="344"/>
      <c r="F249" s="299"/>
      <c r="G249" s="299"/>
      <c r="H249" s="299"/>
      <c r="I249" s="299"/>
      <c r="J249" s="299"/>
      <c r="K249" s="299"/>
      <c r="L249" s="299"/>
      <c r="M249" s="414"/>
      <c r="N249" s="299"/>
      <c r="O249" s="537"/>
      <c r="P249" s="537"/>
      <c r="Q249" s="537"/>
      <c r="R249" s="537"/>
      <c r="S249" s="299"/>
      <c r="T249" s="299"/>
      <c r="U249" s="299"/>
      <c r="V249" s="299"/>
      <c r="W249" s="299"/>
      <c r="X249" s="299"/>
      <c r="Y249" s="299"/>
      <c r="Z249" s="299"/>
      <c r="AA249" s="299"/>
      <c r="AB249" s="299"/>
      <c r="AC249" s="299"/>
      <c r="AD249" s="299"/>
      <c r="AE249" s="299"/>
      <c r="AF249" s="299"/>
    </row>
    <row r="250" spans="1:32" x14ac:dyDescent="0.35">
      <c r="A250" s="339"/>
      <c r="B250" s="299"/>
      <c r="C250" s="299"/>
      <c r="D250" s="299"/>
      <c r="E250" s="344"/>
      <c r="F250" s="299"/>
      <c r="G250" s="299"/>
      <c r="H250" s="299"/>
      <c r="I250" s="299"/>
      <c r="J250" s="299"/>
      <c r="K250" s="299"/>
      <c r="L250" s="299"/>
      <c r="M250" s="414"/>
      <c r="N250" s="299"/>
      <c r="O250" s="537"/>
      <c r="P250" s="537"/>
      <c r="Q250" s="537"/>
      <c r="R250" s="537"/>
      <c r="S250" s="299"/>
      <c r="T250" s="299"/>
      <c r="U250" s="299"/>
      <c r="V250" s="299"/>
      <c r="W250" s="299"/>
      <c r="X250" s="299"/>
      <c r="Y250" s="299"/>
      <c r="Z250" s="299"/>
      <c r="AA250" s="299"/>
      <c r="AB250" s="299"/>
      <c r="AC250" s="299"/>
      <c r="AD250" s="299"/>
      <c r="AE250" s="299"/>
      <c r="AF250" s="299"/>
    </row>
    <row r="251" spans="1:32" x14ac:dyDescent="0.35">
      <c r="A251" s="339"/>
      <c r="B251" s="299"/>
      <c r="C251" s="299"/>
      <c r="D251" s="299"/>
      <c r="E251" s="344"/>
      <c r="F251" s="299"/>
      <c r="G251" s="299"/>
      <c r="H251" s="299"/>
      <c r="I251" s="299"/>
      <c r="J251" s="299"/>
      <c r="K251" s="299"/>
      <c r="L251" s="299"/>
      <c r="M251" s="414"/>
      <c r="N251" s="299"/>
      <c r="O251" s="537"/>
      <c r="P251" s="537"/>
      <c r="Q251" s="537"/>
      <c r="R251" s="537"/>
      <c r="S251" s="299"/>
      <c r="T251" s="299"/>
      <c r="U251" s="299"/>
      <c r="V251" s="299"/>
      <c r="W251" s="299"/>
      <c r="X251" s="299"/>
      <c r="Y251" s="299"/>
      <c r="Z251" s="299"/>
      <c r="AA251" s="299"/>
      <c r="AB251" s="299"/>
      <c r="AC251" s="299"/>
      <c r="AD251" s="299"/>
      <c r="AE251" s="299"/>
      <c r="AF251" s="299"/>
    </row>
    <row r="252" spans="1:32" x14ac:dyDescent="0.35">
      <c r="A252" s="339"/>
      <c r="B252" s="299"/>
      <c r="C252" s="299"/>
      <c r="D252" s="299"/>
      <c r="E252" s="344"/>
      <c r="F252" s="299"/>
      <c r="G252" s="299"/>
      <c r="H252" s="299"/>
      <c r="I252" s="299"/>
      <c r="J252" s="299"/>
      <c r="K252" s="299"/>
      <c r="L252" s="299"/>
      <c r="M252" s="414"/>
      <c r="N252" s="299"/>
      <c r="O252" s="537"/>
      <c r="P252" s="537"/>
      <c r="Q252" s="537"/>
      <c r="R252" s="537"/>
      <c r="S252" s="299"/>
      <c r="T252" s="299"/>
      <c r="U252" s="299"/>
      <c r="V252" s="299"/>
      <c r="W252" s="299"/>
      <c r="X252" s="299"/>
      <c r="Y252" s="299"/>
      <c r="Z252" s="299"/>
      <c r="AA252" s="299"/>
      <c r="AB252" s="299"/>
      <c r="AC252" s="299"/>
      <c r="AD252" s="299"/>
      <c r="AE252" s="299"/>
      <c r="AF252" s="299"/>
    </row>
    <row r="253" spans="1:32" x14ac:dyDescent="0.35">
      <c r="A253" s="339"/>
      <c r="B253" s="299"/>
      <c r="C253" s="299"/>
      <c r="D253" s="299"/>
      <c r="E253" s="344"/>
      <c r="F253" s="299"/>
      <c r="G253" s="299"/>
      <c r="H253" s="299"/>
      <c r="I253" s="299"/>
      <c r="J253" s="299"/>
      <c r="K253" s="299"/>
      <c r="L253" s="299"/>
      <c r="M253" s="414"/>
      <c r="N253" s="299"/>
      <c r="O253" s="537"/>
      <c r="P253" s="537"/>
      <c r="Q253" s="537"/>
      <c r="R253" s="537"/>
      <c r="S253" s="299"/>
      <c r="T253" s="299"/>
      <c r="U253" s="299"/>
      <c r="V253" s="299"/>
      <c r="W253" s="299"/>
      <c r="X253" s="299"/>
      <c r="Y253" s="299"/>
      <c r="Z253" s="299"/>
      <c r="AA253" s="299"/>
      <c r="AB253" s="299"/>
      <c r="AC253" s="299"/>
      <c r="AD253" s="299"/>
      <c r="AE253" s="299"/>
      <c r="AF253" s="299"/>
    </row>
    <row r="254" spans="1:32" x14ac:dyDescent="0.35">
      <c r="A254" s="339"/>
      <c r="B254" s="299"/>
      <c r="C254" s="299"/>
      <c r="D254" s="299"/>
      <c r="E254" s="344"/>
      <c r="F254" s="299"/>
      <c r="G254" s="299"/>
      <c r="H254" s="299"/>
      <c r="I254" s="299"/>
      <c r="J254" s="299"/>
      <c r="K254" s="299"/>
      <c r="L254" s="299"/>
      <c r="M254" s="414"/>
      <c r="N254" s="299"/>
      <c r="O254" s="537"/>
      <c r="P254" s="537"/>
      <c r="Q254" s="537"/>
      <c r="R254" s="537"/>
      <c r="S254" s="299"/>
      <c r="T254" s="299"/>
      <c r="U254" s="299"/>
      <c r="V254" s="299"/>
      <c r="W254" s="299"/>
      <c r="X254" s="299"/>
      <c r="Y254" s="299"/>
      <c r="Z254" s="299"/>
      <c r="AA254" s="299"/>
      <c r="AB254" s="299"/>
      <c r="AC254" s="299"/>
      <c r="AD254" s="299"/>
      <c r="AE254" s="299"/>
      <c r="AF254" s="299"/>
    </row>
    <row r="255" spans="1:32" x14ac:dyDescent="0.35">
      <c r="A255" s="339"/>
      <c r="B255" s="299"/>
      <c r="C255" s="299"/>
      <c r="D255" s="299"/>
      <c r="E255" s="344"/>
      <c r="F255" s="299"/>
      <c r="G255" s="299"/>
      <c r="H255" s="299"/>
      <c r="I255" s="299"/>
      <c r="J255" s="299"/>
      <c r="K255" s="299"/>
      <c r="L255" s="299"/>
      <c r="M255" s="414"/>
      <c r="N255" s="299"/>
      <c r="O255" s="537"/>
      <c r="P255" s="537"/>
      <c r="Q255" s="537"/>
      <c r="R255" s="537"/>
      <c r="S255" s="299"/>
      <c r="T255" s="299"/>
      <c r="U255" s="299"/>
      <c r="V255" s="299"/>
      <c r="W255" s="299"/>
      <c r="X255" s="299"/>
      <c r="Y255" s="299"/>
      <c r="Z255" s="299"/>
      <c r="AA255" s="299"/>
      <c r="AB255" s="299"/>
      <c r="AC255" s="299"/>
      <c r="AD255" s="299"/>
      <c r="AE255" s="299"/>
      <c r="AF255" s="299"/>
    </row>
    <row r="256" spans="1:32" x14ac:dyDescent="0.35">
      <c r="A256" s="339"/>
      <c r="B256" s="299"/>
      <c r="C256" s="299"/>
      <c r="D256" s="299"/>
      <c r="E256" s="344"/>
      <c r="F256" s="299"/>
      <c r="G256" s="299"/>
      <c r="H256" s="299"/>
      <c r="I256" s="299"/>
      <c r="J256" s="299"/>
      <c r="K256" s="299"/>
      <c r="L256" s="299"/>
      <c r="M256" s="414"/>
      <c r="N256" s="299"/>
      <c r="O256" s="537"/>
      <c r="P256" s="537"/>
      <c r="Q256" s="537"/>
      <c r="R256" s="537"/>
      <c r="S256" s="299"/>
      <c r="T256" s="299"/>
      <c r="U256" s="299"/>
      <c r="V256" s="299"/>
      <c r="W256" s="299"/>
      <c r="X256" s="299"/>
      <c r="Y256" s="299"/>
      <c r="Z256" s="299"/>
      <c r="AA256" s="299"/>
      <c r="AB256" s="299"/>
      <c r="AC256" s="299"/>
      <c r="AD256" s="299"/>
      <c r="AE256" s="299"/>
      <c r="AF256" s="299"/>
    </row>
    <row r="257" spans="1:32" x14ac:dyDescent="0.35">
      <c r="A257" s="339"/>
      <c r="B257" s="299"/>
      <c r="C257" s="299"/>
      <c r="D257" s="299"/>
      <c r="E257" s="344"/>
      <c r="F257" s="299"/>
      <c r="G257" s="299"/>
      <c r="H257" s="299"/>
      <c r="I257" s="299"/>
      <c r="J257" s="299"/>
      <c r="K257" s="299"/>
      <c r="L257" s="299"/>
      <c r="M257" s="414"/>
      <c r="N257" s="299"/>
      <c r="O257" s="537"/>
      <c r="P257" s="537"/>
      <c r="Q257" s="537"/>
      <c r="R257" s="537"/>
      <c r="S257" s="299"/>
      <c r="T257" s="299"/>
      <c r="U257" s="299"/>
      <c r="V257" s="299"/>
      <c r="W257" s="299"/>
      <c r="X257" s="299"/>
      <c r="Y257" s="299"/>
      <c r="Z257" s="299"/>
      <c r="AA257" s="299"/>
      <c r="AB257" s="299"/>
      <c r="AC257" s="299"/>
      <c r="AD257" s="299"/>
      <c r="AE257" s="299"/>
      <c r="AF257" s="299"/>
    </row>
    <row r="258" spans="1:32" x14ac:dyDescent="0.35">
      <c r="A258" s="339"/>
      <c r="B258" s="299"/>
      <c r="C258" s="299"/>
      <c r="D258" s="299"/>
      <c r="E258" s="344"/>
      <c r="F258" s="299"/>
      <c r="G258" s="299"/>
      <c r="H258" s="299"/>
      <c r="I258" s="299"/>
      <c r="J258" s="299"/>
      <c r="K258" s="299"/>
      <c r="L258" s="299"/>
      <c r="M258" s="414"/>
      <c r="N258" s="299"/>
      <c r="O258" s="537"/>
      <c r="P258" s="537"/>
      <c r="Q258" s="537"/>
      <c r="R258" s="537"/>
      <c r="S258" s="299"/>
      <c r="T258" s="299"/>
      <c r="U258" s="299"/>
      <c r="V258" s="299"/>
      <c r="W258" s="299"/>
      <c r="X258" s="299"/>
      <c r="Y258" s="299"/>
      <c r="Z258" s="299"/>
      <c r="AA258" s="299"/>
      <c r="AB258" s="299"/>
      <c r="AC258" s="299"/>
      <c r="AD258" s="299"/>
      <c r="AE258" s="299"/>
      <c r="AF258" s="299"/>
    </row>
    <row r="259" spans="1:32" x14ac:dyDescent="0.35">
      <c r="A259" s="339"/>
      <c r="B259" s="299"/>
      <c r="C259" s="299"/>
      <c r="D259" s="299"/>
      <c r="E259" s="344"/>
      <c r="F259" s="299"/>
      <c r="G259" s="299"/>
      <c r="H259" s="299"/>
      <c r="I259" s="299"/>
      <c r="J259" s="299"/>
      <c r="K259" s="299"/>
      <c r="L259" s="299"/>
      <c r="M259" s="414"/>
      <c r="N259" s="299"/>
      <c r="O259" s="537"/>
      <c r="P259" s="537"/>
      <c r="Q259" s="537"/>
      <c r="R259" s="537"/>
      <c r="S259" s="299"/>
      <c r="T259" s="299"/>
      <c r="U259" s="299"/>
      <c r="V259" s="299"/>
      <c r="W259" s="299"/>
      <c r="X259" s="299"/>
      <c r="Y259" s="299"/>
      <c r="Z259" s="299"/>
      <c r="AA259" s="299"/>
      <c r="AB259" s="299"/>
      <c r="AC259" s="299"/>
      <c r="AD259" s="299"/>
      <c r="AE259" s="299"/>
      <c r="AF259" s="299"/>
    </row>
    <row r="260" spans="1:32" x14ac:dyDescent="0.35">
      <c r="A260" s="339"/>
      <c r="B260" s="299"/>
      <c r="C260" s="299"/>
      <c r="D260" s="299"/>
      <c r="E260" s="344"/>
      <c r="F260" s="299"/>
      <c r="G260" s="299"/>
      <c r="H260" s="299"/>
      <c r="I260" s="299"/>
      <c r="J260" s="299"/>
      <c r="K260" s="299"/>
      <c r="L260" s="299"/>
      <c r="M260" s="414"/>
      <c r="N260" s="299"/>
      <c r="O260" s="537"/>
      <c r="P260" s="537"/>
      <c r="Q260" s="537"/>
      <c r="R260" s="537"/>
      <c r="S260" s="299"/>
      <c r="T260" s="299"/>
      <c r="U260" s="299"/>
      <c r="V260" s="299"/>
      <c r="W260" s="299"/>
      <c r="X260" s="299"/>
      <c r="Y260" s="299"/>
      <c r="Z260" s="299"/>
      <c r="AA260" s="299"/>
      <c r="AB260" s="299"/>
      <c r="AC260" s="299"/>
      <c r="AD260" s="299"/>
      <c r="AE260" s="299"/>
      <c r="AF260" s="299"/>
    </row>
    <row r="261" spans="1:32" x14ac:dyDescent="0.35">
      <c r="A261" s="76"/>
      <c r="B261" s="82"/>
      <c r="C261" s="82"/>
      <c r="D261" s="76"/>
      <c r="E261" s="298"/>
      <c r="F261" s="76"/>
      <c r="G261" s="76"/>
      <c r="H261" s="76"/>
      <c r="I261" s="56"/>
      <c r="J261" s="56"/>
      <c r="K261" s="76"/>
      <c r="L261" s="76"/>
      <c r="M261" s="415"/>
      <c r="N261" s="298"/>
      <c r="S261" s="76"/>
      <c r="T261" s="236"/>
      <c r="U261" s="235"/>
      <c r="V261" s="236"/>
      <c r="W261" s="76"/>
      <c r="X261" s="76"/>
      <c r="Y261" s="76"/>
      <c r="Z261" s="76"/>
      <c r="AA261" s="76"/>
      <c r="AB261" s="76"/>
      <c r="AC261" s="76"/>
      <c r="AD261" s="76"/>
      <c r="AE261" s="76"/>
      <c r="AF261" s="76"/>
    </row>
    <row r="262" spans="1:32" x14ac:dyDescent="0.35">
      <c r="A262" s="76"/>
      <c r="B262" s="82"/>
      <c r="C262" s="82"/>
      <c r="D262" s="76"/>
      <c r="E262" s="298"/>
      <c r="F262" s="76"/>
      <c r="G262" s="76"/>
      <c r="H262" s="76"/>
      <c r="I262" s="56"/>
      <c r="J262" s="56"/>
      <c r="K262" s="76"/>
      <c r="L262" s="76"/>
      <c r="M262" s="415"/>
      <c r="N262" s="298"/>
      <c r="S262" s="76"/>
      <c r="T262" s="236"/>
      <c r="U262" s="235"/>
      <c r="V262" s="236"/>
      <c r="W262" s="76"/>
      <c r="X262" s="76"/>
      <c r="Y262" s="76"/>
      <c r="Z262" s="76"/>
      <c r="AA262" s="76"/>
      <c r="AB262" s="76"/>
      <c r="AC262" s="76"/>
      <c r="AD262" s="76"/>
      <c r="AE262" s="76"/>
      <c r="AF262" s="76"/>
    </row>
    <row r="263" spans="1:32" x14ac:dyDescent="0.35">
      <c r="A263" s="76"/>
      <c r="B263" s="82"/>
      <c r="C263" s="82"/>
      <c r="D263" s="76"/>
      <c r="E263" s="298"/>
      <c r="F263" s="76"/>
      <c r="G263" s="76"/>
      <c r="H263" s="76"/>
      <c r="I263" s="56"/>
      <c r="J263" s="56"/>
      <c r="K263" s="76"/>
      <c r="L263" s="76"/>
      <c r="M263" s="415"/>
      <c r="N263" s="298"/>
      <c r="S263" s="76"/>
      <c r="T263" s="236"/>
      <c r="U263" s="235"/>
      <c r="V263" s="236"/>
      <c r="W263" s="76"/>
      <c r="X263" s="76"/>
      <c r="Y263" s="76"/>
      <c r="Z263" s="76"/>
      <c r="AA263" s="76"/>
      <c r="AB263" s="76"/>
      <c r="AC263" s="76"/>
      <c r="AD263" s="76"/>
      <c r="AE263" s="76"/>
      <c r="AF263" s="76"/>
    </row>
    <row r="264" spans="1:32" x14ac:dyDescent="0.35">
      <c r="A264" s="76"/>
      <c r="B264" s="82"/>
      <c r="C264" s="82"/>
      <c r="D264" s="76"/>
      <c r="E264" s="298"/>
      <c r="F264" s="76"/>
      <c r="G264" s="76"/>
      <c r="H264" s="76"/>
      <c r="I264" s="56"/>
      <c r="J264" s="56"/>
      <c r="K264" s="76"/>
      <c r="L264" s="76"/>
      <c r="M264" s="415"/>
      <c r="N264" s="298"/>
      <c r="S264" s="76"/>
      <c r="T264" s="236"/>
      <c r="U264" s="235"/>
      <c r="V264" s="236"/>
      <c r="W264" s="76"/>
      <c r="X264" s="76"/>
      <c r="Y264" s="76"/>
      <c r="Z264" s="76"/>
      <c r="AA264" s="76"/>
      <c r="AB264" s="76"/>
      <c r="AC264" s="76"/>
      <c r="AD264" s="76"/>
      <c r="AE264" s="76"/>
      <c r="AF264" s="76"/>
    </row>
    <row r="265" spans="1:32" x14ac:dyDescent="0.35">
      <c r="A265" s="76"/>
      <c r="B265" s="82"/>
      <c r="C265" s="82"/>
      <c r="D265" s="76"/>
      <c r="E265" s="298"/>
      <c r="F265" s="76"/>
      <c r="G265" s="76"/>
      <c r="H265" s="76"/>
      <c r="I265" s="56"/>
      <c r="J265" s="56"/>
      <c r="K265" s="76"/>
      <c r="L265" s="76"/>
      <c r="M265" s="415"/>
      <c r="N265" s="298"/>
      <c r="S265" s="76"/>
      <c r="T265" s="236"/>
      <c r="U265" s="235"/>
      <c r="V265" s="236"/>
      <c r="W265" s="76"/>
      <c r="X265" s="76"/>
      <c r="Y265" s="76"/>
      <c r="Z265" s="76"/>
      <c r="AA265" s="76"/>
      <c r="AB265" s="76"/>
      <c r="AC265" s="76"/>
      <c r="AD265" s="76"/>
      <c r="AE265" s="76"/>
      <c r="AF265" s="76"/>
    </row>
    <row r="266" spans="1:32" x14ac:dyDescent="0.35">
      <c r="A266" s="76"/>
      <c r="B266" s="82"/>
      <c r="C266" s="82"/>
      <c r="D266" s="76"/>
      <c r="E266" s="298"/>
      <c r="F266" s="76"/>
      <c r="G266" s="76"/>
      <c r="H266" s="76"/>
      <c r="I266" s="56"/>
      <c r="J266" s="56"/>
      <c r="K266" s="76"/>
      <c r="L266" s="76"/>
      <c r="M266" s="415"/>
      <c r="N266" s="298"/>
      <c r="S266" s="76"/>
      <c r="T266" s="236"/>
      <c r="U266" s="235"/>
      <c r="V266" s="236"/>
      <c r="W266" s="76"/>
      <c r="X266" s="76"/>
      <c r="Y266" s="76"/>
      <c r="Z266" s="76"/>
      <c r="AA266" s="76"/>
      <c r="AB266" s="76"/>
      <c r="AC266" s="76"/>
      <c r="AD266" s="76"/>
      <c r="AE266" s="76"/>
      <c r="AF266" s="76"/>
    </row>
    <row r="267" spans="1:32" x14ac:dyDescent="0.35">
      <c r="A267" s="76"/>
      <c r="B267" s="82"/>
      <c r="C267" s="82"/>
      <c r="D267" s="76"/>
      <c r="E267" s="298"/>
      <c r="F267" s="76"/>
      <c r="G267" s="76"/>
      <c r="H267" s="76"/>
      <c r="I267" s="56"/>
      <c r="J267" s="56"/>
      <c r="K267" s="76"/>
      <c r="L267" s="76"/>
      <c r="M267" s="415"/>
      <c r="N267" s="298"/>
      <c r="S267" s="76"/>
      <c r="T267" s="236"/>
      <c r="U267" s="235"/>
      <c r="V267" s="236"/>
      <c r="W267" s="76"/>
      <c r="X267" s="76"/>
      <c r="Y267" s="76"/>
      <c r="Z267" s="76"/>
      <c r="AA267" s="76"/>
      <c r="AB267" s="76"/>
      <c r="AC267" s="76"/>
      <c r="AD267" s="76"/>
      <c r="AE267" s="76"/>
      <c r="AF267" s="76"/>
    </row>
    <row r="268" spans="1:32" x14ac:dyDescent="0.35">
      <c r="A268" s="76"/>
      <c r="B268" s="82"/>
      <c r="C268" s="82"/>
      <c r="D268" s="76"/>
      <c r="E268" s="298"/>
      <c r="F268" s="76"/>
      <c r="G268" s="76"/>
      <c r="H268" s="76"/>
      <c r="I268" s="56"/>
      <c r="J268" s="56"/>
      <c r="K268" s="76"/>
      <c r="L268" s="76"/>
      <c r="M268" s="415"/>
      <c r="N268" s="298"/>
      <c r="S268" s="76"/>
      <c r="T268" s="236"/>
      <c r="U268" s="235"/>
      <c r="V268" s="236"/>
      <c r="W268" s="76"/>
      <c r="X268" s="76"/>
      <c r="Y268" s="76"/>
      <c r="Z268" s="76"/>
      <c r="AA268" s="76"/>
      <c r="AB268" s="76"/>
      <c r="AC268" s="76"/>
      <c r="AD268" s="76"/>
      <c r="AE268" s="76"/>
      <c r="AF268" s="76"/>
    </row>
    <row r="269" spans="1:32" x14ac:dyDescent="0.35">
      <c r="A269" s="76"/>
      <c r="B269" s="82"/>
      <c r="C269" s="82"/>
      <c r="D269" s="76"/>
      <c r="E269" s="298"/>
      <c r="F269" s="76"/>
      <c r="G269" s="76"/>
      <c r="H269" s="76"/>
      <c r="I269" s="56"/>
      <c r="J269" s="56"/>
      <c r="K269" s="76"/>
      <c r="L269" s="76"/>
      <c r="M269" s="415"/>
      <c r="N269" s="298"/>
      <c r="S269" s="76"/>
      <c r="T269" s="236"/>
      <c r="U269" s="235"/>
      <c r="V269" s="236"/>
      <c r="W269" s="76"/>
      <c r="X269" s="76"/>
      <c r="Y269" s="76"/>
      <c r="Z269" s="76"/>
      <c r="AA269" s="76"/>
      <c r="AB269" s="76"/>
      <c r="AC269" s="76"/>
      <c r="AD269" s="76"/>
      <c r="AE269" s="76"/>
      <c r="AF269" s="76"/>
    </row>
    <row r="270" spans="1:32" x14ac:dyDescent="0.35">
      <c r="A270" s="76"/>
      <c r="B270" s="82"/>
      <c r="C270" s="82"/>
      <c r="D270" s="76"/>
      <c r="E270" s="298"/>
      <c r="F270" s="76"/>
      <c r="G270" s="76"/>
      <c r="H270" s="76"/>
      <c r="I270" s="56"/>
      <c r="J270" s="56"/>
      <c r="K270" s="76"/>
      <c r="L270" s="76"/>
      <c r="M270" s="415"/>
      <c r="N270" s="298"/>
      <c r="S270" s="76"/>
      <c r="T270" s="236"/>
      <c r="U270" s="235"/>
      <c r="V270" s="236"/>
      <c r="W270" s="76"/>
      <c r="X270" s="76"/>
      <c r="Y270" s="76"/>
      <c r="Z270" s="76"/>
      <c r="AA270" s="76"/>
      <c r="AB270" s="76"/>
      <c r="AC270" s="76"/>
      <c r="AD270" s="76"/>
      <c r="AE270" s="76"/>
      <c r="AF270" s="76"/>
    </row>
    <row r="271" spans="1:32" x14ac:dyDescent="0.35">
      <c r="A271" s="76"/>
      <c r="B271" s="82"/>
      <c r="C271" s="82"/>
      <c r="D271" s="76"/>
      <c r="E271" s="298"/>
      <c r="F271" s="76"/>
      <c r="G271" s="76"/>
      <c r="H271" s="76"/>
      <c r="I271" s="56"/>
      <c r="J271" s="56"/>
      <c r="K271" s="76"/>
      <c r="L271" s="76"/>
      <c r="M271" s="415"/>
      <c r="N271" s="298"/>
      <c r="S271" s="76"/>
      <c r="T271" s="236"/>
      <c r="U271" s="235"/>
      <c r="V271" s="236"/>
      <c r="W271" s="76"/>
      <c r="X271" s="76"/>
      <c r="Y271" s="76"/>
      <c r="Z271" s="76"/>
      <c r="AA271" s="76"/>
      <c r="AB271" s="76"/>
      <c r="AC271" s="76"/>
      <c r="AD271" s="76"/>
      <c r="AE271" s="76"/>
      <c r="AF271" s="76"/>
    </row>
    <row r="272" spans="1:32" x14ac:dyDescent="0.35">
      <c r="A272" s="76"/>
      <c r="B272" s="82"/>
      <c r="C272" s="82"/>
      <c r="D272" s="76"/>
      <c r="E272" s="298"/>
      <c r="F272" s="76"/>
      <c r="G272" s="76"/>
      <c r="H272" s="76"/>
      <c r="I272" s="56"/>
      <c r="J272" s="56"/>
      <c r="K272" s="76"/>
      <c r="L272" s="76"/>
      <c r="M272" s="415"/>
      <c r="N272" s="298"/>
      <c r="S272" s="76"/>
      <c r="T272" s="236"/>
      <c r="U272" s="235"/>
      <c r="V272" s="236"/>
      <c r="W272" s="76"/>
      <c r="X272" s="76"/>
      <c r="Y272" s="76"/>
      <c r="Z272" s="76"/>
      <c r="AA272" s="76"/>
      <c r="AB272" s="76"/>
      <c r="AC272" s="76"/>
      <c r="AD272" s="76"/>
      <c r="AE272" s="76"/>
      <c r="AF272" s="76"/>
    </row>
    <row r="273" spans="1:32" x14ac:dyDescent="0.35">
      <c r="A273" s="76"/>
      <c r="B273" s="82"/>
      <c r="C273" s="82"/>
      <c r="D273" s="76"/>
      <c r="E273" s="298"/>
      <c r="F273" s="76"/>
      <c r="G273" s="76"/>
      <c r="H273" s="76"/>
      <c r="I273" s="56"/>
      <c r="J273" s="56"/>
      <c r="K273" s="76"/>
      <c r="L273" s="76"/>
      <c r="M273" s="415"/>
      <c r="N273" s="298"/>
      <c r="S273" s="76"/>
      <c r="T273" s="236"/>
      <c r="U273" s="235"/>
      <c r="V273" s="236"/>
      <c r="W273" s="76"/>
      <c r="X273" s="76"/>
      <c r="Y273" s="76"/>
      <c r="Z273" s="76"/>
      <c r="AA273" s="76"/>
      <c r="AB273" s="76"/>
      <c r="AC273" s="76"/>
      <c r="AD273" s="76"/>
      <c r="AE273" s="76"/>
      <c r="AF273" s="76"/>
    </row>
    <row r="274" spans="1:32" x14ac:dyDescent="0.35">
      <c r="A274" s="76"/>
      <c r="B274" s="82"/>
      <c r="C274" s="82"/>
      <c r="D274" s="76"/>
      <c r="E274" s="298"/>
      <c r="F274" s="76"/>
      <c r="G274" s="76"/>
      <c r="H274" s="76"/>
      <c r="I274" s="56"/>
      <c r="J274" s="56"/>
      <c r="K274" s="76"/>
      <c r="L274" s="76"/>
      <c r="M274" s="415"/>
      <c r="N274" s="298"/>
      <c r="S274" s="76"/>
      <c r="T274" s="236"/>
      <c r="U274" s="235"/>
      <c r="V274" s="236"/>
      <c r="W274" s="76"/>
      <c r="X274" s="76"/>
      <c r="Y274" s="76"/>
      <c r="Z274" s="76"/>
      <c r="AA274" s="76"/>
      <c r="AB274" s="76"/>
      <c r="AC274" s="76"/>
      <c r="AD274" s="76"/>
      <c r="AE274" s="76"/>
      <c r="AF274" s="76"/>
    </row>
    <row r="275" spans="1:32" x14ac:dyDescent="0.35">
      <c r="A275" s="76"/>
      <c r="B275" s="82"/>
      <c r="C275" s="82"/>
      <c r="D275" s="76"/>
      <c r="E275" s="298"/>
      <c r="F275" s="76"/>
      <c r="G275" s="76"/>
      <c r="H275" s="76"/>
      <c r="I275" s="56"/>
      <c r="J275" s="56"/>
      <c r="K275" s="76"/>
      <c r="L275" s="76"/>
      <c r="M275" s="415"/>
      <c r="N275" s="298"/>
      <c r="S275" s="76"/>
      <c r="T275" s="236"/>
      <c r="U275" s="235"/>
      <c r="V275" s="236"/>
      <c r="W275" s="76"/>
      <c r="X275" s="76"/>
      <c r="Y275" s="76"/>
      <c r="Z275" s="76"/>
      <c r="AA275" s="76"/>
      <c r="AB275" s="76"/>
      <c r="AC275" s="76"/>
      <c r="AD275" s="76"/>
      <c r="AE275" s="76"/>
      <c r="AF275" s="76"/>
    </row>
    <row r="276" spans="1:32" x14ac:dyDescent="0.35">
      <c r="A276" s="76"/>
      <c r="B276" s="82"/>
      <c r="C276" s="82"/>
      <c r="D276" s="76"/>
      <c r="E276" s="298"/>
      <c r="F276" s="76"/>
      <c r="G276" s="76"/>
      <c r="H276" s="76"/>
      <c r="I276" s="56"/>
      <c r="J276" s="56"/>
      <c r="K276" s="76"/>
      <c r="L276" s="76"/>
      <c r="M276" s="415"/>
      <c r="N276" s="298"/>
      <c r="S276" s="76"/>
      <c r="T276" s="236"/>
      <c r="U276" s="235"/>
      <c r="V276" s="236"/>
      <c r="W276" s="76"/>
      <c r="X276" s="76"/>
      <c r="Y276" s="76"/>
      <c r="Z276" s="76"/>
      <c r="AA276" s="76"/>
      <c r="AB276" s="76"/>
      <c r="AC276" s="76"/>
      <c r="AD276" s="76"/>
      <c r="AE276" s="76"/>
      <c r="AF276" s="76"/>
    </row>
    <row r="277" spans="1:32" x14ac:dyDescent="0.35">
      <c r="A277" s="76"/>
      <c r="B277" s="82"/>
      <c r="C277" s="82"/>
      <c r="D277" s="76"/>
      <c r="E277" s="298"/>
      <c r="F277" s="76"/>
      <c r="G277" s="76"/>
      <c r="H277" s="76"/>
      <c r="I277" s="56"/>
      <c r="J277" s="56"/>
      <c r="K277" s="76"/>
      <c r="L277" s="76"/>
      <c r="M277" s="415"/>
      <c r="N277" s="298"/>
      <c r="S277" s="76"/>
      <c r="T277" s="236"/>
      <c r="U277" s="235"/>
      <c r="V277" s="236"/>
      <c r="W277" s="76"/>
      <c r="X277" s="76"/>
      <c r="Y277" s="76"/>
      <c r="Z277" s="76"/>
      <c r="AA277" s="76"/>
      <c r="AB277" s="76"/>
      <c r="AC277" s="76"/>
      <c r="AD277" s="76"/>
      <c r="AE277" s="76"/>
      <c r="AF277" s="76"/>
    </row>
    <row r="278" spans="1:32" x14ac:dyDescent="0.35">
      <c r="A278" s="76"/>
      <c r="B278" s="82"/>
      <c r="C278" s="82"/>
      <c r="D278" s="76"/>
      <c r="E278" s="298"/>
      <c r="F278" s="76"/>
      <c r="G278" s="76"/>
      <c r="H278" s="76"/>
      <c r="I278" s="56"/>
      <c r="J278" s="56"/>
      <c r="K278" s="76"/>
      <c r="L278" s="76"/>
      <c r="M278" s="415"/>
      <c r="N278" s="298"/>
      <c r="S278" s="76"/>
      <c r="T278" s="236"/>
      <c r="U278" s="235"/>
      <c r="V278" s="236"/>
      <c r="W278" s="76"/>
      <c r="X278" s="76"/>
      <c r="Y278" s="76"/>
      <c r="Z278" s="76"/>
      <c r="AA278" s="76"/>
      <c r="AB278" s="76"/>
      <c r="AC278" s="76"/>
      <c r="AD278" s="76"/>
      <c r="AE278" s="76"/>
      <c r="AF278" s="76"/>
    </row>
    <row r="279" spans="1:32" x14ac:dyDescent="0.35">
      <c r="A279" s="76"/>
      <c r="B279" s="82"/>
      <c r="C279" s="82"/>
      <c r="D279" s="76"/>
      <c r="E279" s="298"/>
      <c r="F279" s="76"/>
      <c r="G279" s="76"/>
      <c r="H279" s="76"/>
      <c r="I279" s="56"/>
      <c r="J279" s="56"/>
      <c r="K279" s="76"/>
      <c r="L279" s="76"/>
      <c r="M279" s="415"/>
      <c r="N279" s="298"/>
      <c r="S279" s="76"/>
      <c r="T279" s="236"/>
      <c r="U279" s="235"/>
      <c r="V279" s="236"/>
      <c r="W279" s="76"/>
      <c r="X279" s="76"/>
      <c r="Y279" s="76"/>
      <c r="Z279" s="76"/>
      <c r="AA279" s="76"/>
      <c r="AB279" s="76"/>
      <c r="AC279" s="76"/>
      <c r="AD279" s="76"/>
      <c r="AE279" s="76"/>
      <c r="AF279" s="76"/>
    </row>
    <row r="280" spans="1:32" x14ac:dyDescent="0.35">
      <c r="A280" s="76"/>
      <c r="B280" s="82"/>
      <c r="C280" s="82"/>
      <c r="D280" s="76"/>
      <c r="E280" s="298"/>
      <c r="F280" s="76"/>
      <c r="G280" s="76"/>
      <c r="H280" s="76"/>
      <c r="I280" s="56"/>
      <c r="J280" s="56"/>
      <c r="K280" s="76"/>
      <c r="L280" s="76"/>
      <c r="M280" s="415"/>
      <c r="N280" s="298"/>
      <c r="S280" s="76"/>
      <c r="T280" s="236"/>
      <c r="U280" s="235"/>
      <c r="V280" s="236"/>
      <c r="W280" s="76"/>
      <c r="X280" s="76"/>
      <c r="Y280" s="76"/>
      <c r="Z280" s="76"/>
      <c r="AA280" s="76"/>
      <c r="AB280" s="76"/>
      <c r="AC280" s="76"/>
      <c r="AD280" s="76"/>
      <c r="AE280" s="76"/>
      <c r="AF280" s="76"/>
    </row>
    <row r="281" spans="1:32" x14ac:dyDescent="0.35">
      <c r="A281" s="76"/>
      <c r="B281" s="82"/>
      <c r="C281" s="82"/>
      <c r="D281" s="76"/>
      <c r="E281" s="298"/>
      <c r="F281" s="76"/>
      <c r="G281" s="76"/>
      <c r="H281" s="76"/>
      <c r="I281" s="56"/>
      <c r="J281" s="56"/>
      <c r="K281" s="76"/>
      <c r="L281" s="76"/>
      <c r="M281" s="415"/>
      <c r="N281" s="298"/>
      <c r="S281" s="76"/>
      <c r="T281" s="236"/>
      <c r="U281" s="235"/>
      <c r="V281" s="236"/>
      <c r="W281" s="76"/>
      <c r="X281" s="76"/>
      <c r="Y281" s="76"/>
      <c r="Z281" s="76"/>
      <c r="AA281" s="76"/>
      <c r="AB281" s="76"/>
      <c r="AC281" s="76"/>
      <c r="AD281" s="76"/>
      <c r="AE281" s="76"/>
      <c r="AF281" s="76"/>
    </row>
    <row r="282" spans="1:32" x14ac:dyDescent="0.35">
      <c r="A282" s="76"/>
      <c r="B282" s="82"/>
      <c r="C282" s="82"/>
      <c r="D282" s="76"/>
      <c r="E282" s="298"/>
      <c r="F282" s="76"/>
      <c r="G282" s="76"/>
      <c r="H282" s="76"/>
      <c r="I282" s="56"/>
      <c r="J282" s="56"/>
      <c r="K282" s="76"/>
      <c r="L282" s="76"/>
      <c r="M282" s="415"/>
      <c r="N282" s="298"/>
      <c r="S282" s="76"/>
      <c r="T282" s="236"/>
      <c r="U282" s="243"/>
      <c r="V282" s="236"/>
      <c r="W282" s="76"/>
      <c r="X282" s="76"/>
      <c r="Y282" s="76"/>
      <c r="Z282" s="76"/>
      <c r="AA282" s="76"/>
      <c r="AB282" s="76"/>
      <c r="AC282" s="76"/>
      <c r="AD282" s="76"/>
      <c r="AE282" s="76"/>
      <c r="AF282" s="76"/>
    </row>
    <row r="283" spans="1:32" x14ac:dyDescent="0.35">
      <c r="A283" s="76"/>
      <c r="B283" s="82"/>
      <c r="C283" s="82"/>
      <c r="D283" s="76"/>
      <c r="E283" s="298"/>
      <c r="F283" s="76"/>
      <c r="G283" s="76"/>
      <c r="H283" s="76"/>
      <c r="I283" s="56"/>
      <c r="J283" s="56"/>
      <c r="K283" s="76"/>
      <c r="L283" s="76"/>
      <c r="M283" s="415"/>
      <c r="N283" s="298"/>
      <c r="S283" s="76"/>
      <c r="T283" s="236"/>
      <c r="U283" s="243"/>
      <c r="V283" s="236"/>
      <c r="W283" s="76"/>
      <c r="X283" s="76"/>
      <c r="Y283" s="76"/>
      <c r="Z283" s="76"/>
      <c r="AA283" s="76"/>
      <c r="AB283" s="76"/>
      <c r="AC283" s="76"/>
      <c r="AD283" s="76"/>
      <c r="AE283" s="76"/>
      <c r="AF283" s="76"/>
    </row>
    <row r="284" spans="1:32" x14ac:dyDescent="0.35">
      <c r="A284" s="76"/>
      <c r="B284" s="82"/>
      <c r="C284" s="82"/>
      <c r="D284" s="76"/>
      <c r="E284" s="298"/>
      <c r="F284" s="76"/>
      <c r="G284" s="76"/>
      <c r="H284" s="76"/>
      <c r="I284" s="56"/>
      <c r="J284" s="56"/>
      <c r="K284" s="76"/>
      <c r="L284" s="76"/>
      <c r="M284" s="415"/>
      <c r="N284" s="298"/>
      <c r="S284" s="76"/>
      <c r="T284" s="236"/>
      <c r="U284" s="243"/>
      <c r="V284" s="236"/>
      <c r="W284" s="76"/>
      <c r="X284" s="76"/>
      <c r="Y284" s="76"/>
      <c r="Z284" s="76"/>
      <c r="AA284" s="76"/>
      <c r="AB284" s="76"/>
      <c r="AC284" s="76"/>
      <c r="AD284" s="76"/>
      <c r="AE284" s="76"/>
      <c r="AF284" s="76"/>
    </row>
    <row r="285" spans="1:32" x14ac:dyDescent="0.35">
      <c r="A285" s="76"/>
      <c r="B285" s="82"/>
      <c r="C285" s="82"/>
      <c r="D285" s="76"/>
      <c r="E285" s="298"/>
      <c r="F285" s="76"/>
      <c r="G285" s="76"/>
      <c r="H285" s="76"/>
      <c r="I285" s="56"/>
      <c r="J285" s="56"/>
      <c r="K285" s="76"/>
      <c r="L285" s="76"/>
      <c r="M285" s="415"/>
      <c r="N285" s="298"/>
      <c r="S285" s="76"/>
      <c r="T285" s="236"/>
      <c r="U285" s="243"/>
      <c r="V285" s="236"/>
      <c r="W285" s="76"/>
      <c r="X285" s="76"/>
      <c r="Y285" s="76"/>
      <c r="Z285" s="76"/>
      <c r="AA285" s="76"/>
      <c r="AB285" s="76"/>
      <c r="AC285" s="76"/>
      <c r="AD285" s="76"/>
      <c r="AE285" s="76"/>
      <c r="AF285" s="76"/>
    </row>
    <row r="286" spans="1:32" x14ac:dyDescent="0.35">
      <c r="A286" s="76"/>
      <c r="B286" s="82"/>
      <c r="C286" s="82"/>
      <c r="D286" s="76"/>
      <c r="E286" s="298"/>
      <c r="F286" s="76"/>
      <c r="G286" s="76"/>
      <c r="H286" s="76"/>
      <c r="I286" s="56"/>
      <c r="J286" s="56"/>
      <c r="K286" s="76"/>
      <c r="L286" s="76"/>
      <c r="M286" s="415"/>
      <c r="N286" s="298"/>
      <c r="S286" s="76"/>
      <c r="T286" s="236"/>
      <c r="U286" s="243"/>
      <c r="V286" s="236"/>
      <c r="W286" s="76"/>
      <c r="X286" s="76"/>
      <c r="Y286" s="76"/>
      <c r="Z286" s="76"/>
      <c r="AA286" s="76"/>
      <c r="AB286" s="76"/>
      <c r="AC286" s="76"/>
      <c r="AD286" s="76"/>
      <c r="AE286" s="76"/>
      <c r="AF286" s="76"/>
    </row>
    <row r="287" spans="1:32" x14ac:dyDescent="0.35">
      <c r="A287" s="76"/>
      <c r="B287" s="82"/>
      <c r="C287" s="82"/>
      <c r="D287" s="76"/>
      <c r="E287" s="298"/>
      <c r="F287" s="76"/>
      <c r="G287" s="76"/>
      <c r="H287" s="76"/>
      <c r="I287" s="56"/>
      <c r="J287" s="56"/>
      <c r="K287" s="76"/>
      <c r="L287" s="76"/>
      <c r="M287" s="415"/>
      <c r="N287" s="298"/>
      <c r="S287" s="76"/>
      <c r="T287" s="236"/>
      <c r="U287" s="243"/>
      <c r="V287" s="236"/>
      <c r="W287" s="76"/>
      <c r="X287" s="76"/>
      <c r="Y287" s="76"/>
      <c r="Z287" s="76"/>
      <c r="AA287" s="76"/>
      <c r="AB287" s="76"/>
      <c r="AC287" s="76"/>
      <c r="AD287" s="76"/>
      <c r="AE287" s="76"/>
      <c r="AF287" s="76"/>
    </row>
    <row r="288" spans="1:32" x14ac:dyDescent="0.35">
      <c r="A288" s="76"/>
      <c r="B288" s="82"/>
      <c r="C288" s="82"/>
      <c r="D288" s="76"/>
      <c r="E288" s="298"/>
      <c r="F288" s="76"/>
      <c r="G288" s="76"/>
      <c r="H288" s="76"/>
      <c r="I288" s="56"/>
      <c r="J288" s="56"/>
      <c r="K288" s="76"/>
      <c r="L288" s="76"/>
      <c r="M288" s="415"/>
      <c r="N288" s="298"/>
      <c r="S288" s="76"/>
      <c r="T288" s="236"/>
      <c r="U288" s="243"/>
      <c r="V288" s="236"/>
      <c r="W288" s="76"/>
      <c r="X288" s="76"/>
      <c r="Y288" s="76"/>
      <c r="Z288" s="76"/>
      <c r="AA288" s="76"/>
      <c r="AB288" s="76"/>
      <c r="AC288" s="76"/>
      <c r="AD288" s="76"/>
      <c r="AE288" s="76"/>
      <c r="AF288" s="76"/>
    </row>
    <row r="289" spans="1:32" x14ac:dyDescent="0.35">
      <c r="A289" s="76"/>
      <c r="B289" s="82"/>
      <c r="C289" s="82"/>
      <c r="D289" s="76"/>
      <c r="E289" s="298"/>
      <c r="F289" s="76"/>
      <c r="G289" s="76"/>
      <c r="H289" s="76"/>
      <c r="I289" s="56"/>
      <c r="J289" s="56"/>
      <c r="K289" s="76"/>
      <c r="L289" s="76"/>
      <c r="M289" s="415"/>
      <c r="N289" s="298"/>
      <c r="S289" s="76"/>
      <c r="T289" s="236"/>
      <c r="U289" s="243"/>
      <c r="V289" s="236"/>
      <c r="W289" s="76"/>
      <c r="X289" s="76"/>
      <c r="Y289" s="76"/>
      <c r="Z289" s="76"/>
      <c r="AA289" s="76"/>
      <c r="AB289" s="76"/>
      <c r="AC289" s="76"/>
      <c r="AD289" s="76"/>
      <c r="AE289" s="76"/>
      <c r="AF289" s="76"/>
    </row>
    <row r="290" spans="1:32" x14ac:dyDescent="0.35">
      <c r="A290" s="76"/>
      <c r="B290" s="82"/>
      <c r="C290" s="82"/>
      <c r="D290" s="76"/>
      <c r="E290" s="298"/>
      <c r="F290" s="76"/>
      <c r="G290" s="76"/>
      <c r="H290" s="76"/>
      <c r="I290" s="56"/>
      <c r="J290" s="56"/>
      <c r="K290" s="76"/>
      <c r="L290" s="76"/>
      <c r="M290" s="415"/>
      <c r="N290" s="298"/>
      <c r="S290" s="76"/>
      <c r="T290" s="236"/>
      <c r="U290" s="243"/>
      <c r="V290" s="236"/>
      <c r="W290" s="76"/>
      <c r="X290" s="76"/>
      <c r="Y290" s="76"/>
      <c r="Z290" s="76"/>
      <c r="AA290" s="76"/>
      <c r="AB290" s="76"/>
      <c r="AC290" s="76"/>
      <c r="AD290" s="76"/>
      <c r="AE290" s="76"/>
      <c r="AF290" s="76"/>
    </row>
    <row r="291" spans="1:32" x14ac:dyDescent="0.35">
      <c r="A291" s="76"/>
      <c r="B291" s="82"/>
      <c r="C291" s="82"/>
      <c r="D291" s="76"/>
      <c r="E291" s="298"/>
      <c r="F291" s="76"/>
      <c r="G291" s="76"/>
      <c r="H291" s="76"/>
      <c r="I291" s="56"/>
      <c r="J291" s="56"/>
      <c r="K291" s="76"/>
      <c r="L291" s="76"/>
      <c r="M291" s="415"/>
      <c r="N291" s="298"/>
      <c r="S291" s="76"/>
      <c r="T291" s="236"/>
      <c r="U291" s="243"/>
      <c r="V291" s="236"/>
      <c r="W291" s="76"/>
      <c r="X291" s="76"/>
      <c r="Y291" s="76"/>
      <c r="Z291" s="76"/>
      <c r="AA291" s="76"/>
      <c r="AB291" s="76"/>
      <c r="AC291" s="76"/>
      <c r="AD291" s="76"/>
      <c r="AE291" s="76"/>
      <c r="AF291" s="76"/>
    </row>
    <row r="292" spans="1:32" x14ac:dyDescent="0.35">
      <c r="A292" s="76"/>
      <c r="B292" s="82"/>
      <c r="C292" s="82"/>
      <c r="D292" s="76"/>
      <c r="E292" s="298"/>
      <c r="F292" s="76"/>
      <c r="G292" s="76"/>
      <c r="H292" s="76"/>
      <c r="I292" s="56"/>
      <c r="J292" s="56"/>
      <c r="K292" s="76"/>
      <c r="L292" s="76"/>
      <c r="M292" s="415"/>
      <c r="N292" s="298"/>
      <c r="S292" s="76"/>
      <c r="T292" s="236"/>
      <c r="U292" s="243"/>
      <c r="V292" s="236"/>
      <c r="W292" s="76"/>
      <c r="X292" s="76"/>
      <c r="Y292" s="76"/>
      <c r="Z292" s="76"/>
      <c r="AA292" s="76"/>
      <c r="AB292" s="76"/>
      <c r="AC292" s="76"/>
      <c r="AD292" s="76"/>
      <c r="AE292" s="76"/>
      <c r="AF292" s="76"/>
    </row>
    <row r="293" spans="1:32" x14ac:dyDescent="0.35">
      <c r="A293" s="76"/>
      <c r="B293" s="82"/>
      <c r="C293" s="82"/>
      <c r="D293" s="76"/>
      <c r="E293" s="298"/>
      <c r="F293" s="76"/>
      <c r="G293" s="76"/>
      <c r="H293" s="76"/>
      <c r="I293" s="56"/>
      <c r="J293" s="56"/>
      <c r="K293" s="76"/>
      <c r="L293" s="76"/>
      <c r="M293" s="415"/>
      <c r="N293" s="298"/>
      <c r="S293" s="76"/>
      <c r="T293" s="236"/>
      <c r="U293" s="243"/>
      <c r="V293" s="236"/>
      <c r="W293" s="76"/>
      <c r="X293" s="76"/>
      <c r="Y293" s="76"/>
      <c r="Z293" s="76"/>
      <c r="AA293" s="76"/>
      <c r="AB293" s="76"/>
      <c r="AC293" s="76"/>
      <c r="AD293" s="76"/>
      <c r="AE293" s="76"/>
      <c r="AF293" s="76"/>
    </row>
    <row r="294" spans="1:32" x14ac:dyDescent="0.35">
      <c r="A294" s="76"/>
      <c r="B294" s="82"/>
      <c r="C294" s="82"/>
      <c r="D294" s="76"/>
      <c r="E294" s="298"/>
      <c r="F294" s="76"/>
      <c r="G294" s="76"/>
      <c r="H294" s="76"/>
      <c r="I294" s="56"/>
      <c r="J294" s="56"/>
      <c r="K294" s="76"/>
      <c r="L294" s="76"/>
      <c r="M294" s="415"/>
      <c r="N294" s="298"/>
      <c r="S294" s="76"/>
      <c r="T294" s="236"/>
      <c r="U294" s="243"/>
      <c r="V294" s="236"/>
      <c r="W294" s="76"/>
      <c r="X294" s="76"/>
      <c r="Y294" s="76"/>
      <c r="Z294" s="76"/>
      <c r="AA294" s="76"/>
      <c r="AB294" s="76"/>
      <c r="AC294" s="76"/>
      <c r="AD294" s="76"/>
      <c r="AE294" s="76"/>
      <c r="AF294" s="76"/>
    </row>
    <row r="295" spans="1:32" x14ac:dyDescent="0.35">
      <c r="A295" s="76"/>
      <c r="B295" s="82"/>
      <c r="C295" s="82"/>
      <c r="D295" s="76"/>
      <c r="E295" s="298"/>
      <c r="F295" s="76"/>
      <c r="G295" s="76"/>
      <c r="H295" s="76"/>
      <c r="I295" s="56"/>
      <c r="J295" s="56"/>
      <c r="K295" s="76"/>
      <c r="L295" s="76"/>
      <c r="M295" s="415"/>
      <c r="N295" s="298"/>
      <c r="S295" s="76"/>
      <c r="T295" s="236"/>
      <c r="U295" s="243"/>
      <c r="V295" s="236"/>
      <c r="W295" s="76"/>
      <c r="X295" s="76"/>
      <c r="Y295" s="76"/>
      <c r="Z295" s="76"/>
      <c r="AA295" s="76"/>
      <c r="AB295" s="76"/>
      <c r="AC295" s="76"/>
      <c r="AD295" s="76"/>
      <c r="AE295" s="76"/>
      <c r="AF295" s="76"/>
    </row>
    <row r="296" spans="1:32" x14ac:dyDescent="0.35">
      <c r="A296" s="76"/>
      <c r="B296" s="82"/>
      <c r="C296" s="82"/>
      <c r="D296" s="76"/>
      <c r="E296" s="298"/>
      <c r="F296" s="76"/>
      <c r="G296" s="76"/>
      <c r="H296" s="76"/>
      <c r="I296" s="56"/>
      <c r="J296" s="56"/>
      <c r="K296" s="76"/>
      <c r="L296" s="76"/>
      <c r="M296" s="415"/>
      <c r="N296" s="298"/>
      <c r="S296" s="76"/>
      <c r="T296" s="236"/>
      <c r="U296" s="243"/>
      <c r="V296" s="236"/>
      <c r="W296" s="76"/>
      <c r="X296" s="76"/>
      <c r="Y296" s="76"/>
      <c r="Z296" s="76"/>
      <c r="AA296" s="76"/>
      <c r="AB296" s="76"/>
      <c r="AC296" s="76"/>
      <c r="AD296" s="76"/>
      <c r="AE296" s="76"/>
      <c r="AF296" s="76"/>
    </row>
    <row r="297" spans="1:32" x14ac:dyDescent="0.35">
      <c r="A297" s="76"/>
      <c r="B297" s="82"/>
      <c r="C297" s="82"/>
      <c r="D297" s="76"/>
      <c r="E297" s="298"/>
      <c r="F297" s="76"/>
      <c r="G297" s="76"/>
      <c r="H297" s="76"/>
      <c r="I297" s="56"/>
      <c r="J297" s="56"/>
      <c r="K297" s="76"/>
      <c r="L297" s="76"/>
      <c r="M297" s="415"/>
      <c r="N297" s="298"/>
      <c r="S297" s="76"/>
      <c r="T297" s="236"/>
      <c r="U297" s="243"/>
      <c r="V297" s="236"/>
      <c r="W297" s="76"/>
      <c r="X297" s="76"/>
      <c r="Y297" s="76"/>
      <c r="Z297" s="76"/>
      <c r="AA297" s="76"/>
      <c r="AB297" s="76"/>
      <c r="AC297" s="76"/>
      <c r="AD297" s="76"/>
      <c r="AE297" s="76"/>
      <c r="AF297" s="76"/>
    </row>
    <row r="298" spans="1:32" x14ac:dyDescent="0.35">
      <c r="A298" s="76"/>
      <c r="B298" s="82"/>
      <c r="C298" s="82"/>
      <c r="D298" s="76"/>
      <c r="E298" s="298"/>
      <c r="F298" s="76"/>
      <c r="G298" s="76"/>
      <c r="H298" s="76"/>
      <c r="I298" s="56"/>
      <c r="J298" s="56"/>
      <c r="K298" s="76"/>
      <c r="L298" s="76"/>
      <c r="M298" s="415"/>
      <c r="N298" s="298"/>
      <c r="S298" s="76"/>
      <c r="T298" s="236"/>
      <c r="U298" s="243"/>
      <c r="V298" s="236"/>
      <c r="W298" s="76"/>
      <c r="X298" s="76"/>
      <c r="Y298" s="76"/>
      <c r="Z298" s="76"/>
      <c r="AA298" s="76"/>
      <c r="AB298" s="76"/>
      <c r="AC298" s="76"/>
      <c r="AD298" s="76"/>
      <c r="AE298" s="76"/>
      <c r="AF298" s="76"/>
    </row>
    <row r="299" spans="1:32" x14ac:dyDescent="0.35">
      <c r="A299" s="76"/>
      <c r="B299" s="82"/>
      <c r="C299" s="82"/>
      <c r="D299" s="76"/>
      <c r="E299" s="298"/>
      <c r="F299" s="76"/>
      <c r="G299" s="76"/>
      <c r="H299" s="76"/>
      <c r="I299" s="56"/>
      <c r="J299" s="56"/>
      <c r="K299" s="76"/>
      <c r="L299" s="76"/>
      <c r="M299" s="415"/>
      <c r="N299" s="298"/>
      <c r="S299" s="76"/>
      <c r="T299" s="236"/>
      <c r="U299" s="243"/>
      <c r="V299" s="236"/>
      <c r="W299" s="76"/>
      <c r="X299" s="76"/>
      <c r="Y299" s="76"/>
      <c r="Z299" s="76"/>
      <c r="AA299" s="76"/>
      <c r="AB299" s="76"/>
      <c r="AC299" s="76"/>
      <c r="AD299" s="76"/>
      <c r="AE299" s="76"/>
      <c r="AF299" s="76"/>
    </row>
    <row r="300" spans="1:32" x14ac:dyDescent="0.35">
      <c r="A300" s="76"/>
      <c r="B300" s="82"/>
      <c r="C300" s="82"/>
      <c r="D300" s="76"/>
      <c r="E300" s="298"/>
      <c r="F300" s="76"/>
      <c r="G300" s="76"/>
      <c r="H300" s="76"/>
      <c r="I300" s="56"/>
      <c r="J300" s="56"/>
      <c r="K300" s="76"/>
      <c r="L300" s="76"/>
      <c r="M300" s="415"/>
      <c r="N300" s="298"/>
      <c r="S300" s="76"/>
      <c r="T300" s="236"/>
      <c r="U300" s="243"/>
      <c r="V300" s="236"/>
      <c r="W300" s="76"/>
      <c r="X300" s="76"/>
      <c r="Y300" s="76"/>
      <c r="Z300" s="76"/>
      <c r="AA300" s="76"/>
      <c r="AB300" s="76"/>
      <c r="AC300" s="76"/>
      <c r="AD300" s="76"/>
      <c r="AE300" s="76"/>
      <c r="AF300" s="76"/>
    </row>
    <row r="301" spans="1:32" x14ac:dyDescent="0.35">
      <c r="A301" s="76"/>
      <c r="B301" s="82"/>
      <c r="C301" s="82"/>
      <c r="D301" s="76"/>
      <c r="E301" s="298"/>
      <c r="F301" s="76"/>
      <c r="G301" s="76"/>
      <c r="H301" s="76"/>
      <c r="I301" s="56"/>
      <c r="J301" s="56"/>
      <c r="K301" s="76"/>
      <c r="L301" s="76"/>
      <c r="M301" s="415"/>
      <c r="N301" s="298"/>
      <c r="S301" s="76"/>
      <c r="T301" s="236"/>
      <c r="U301" s="243"/>
      <c r="V301" s="236"/>
      <c r="W301" s="76"/>
      <c r="X301" s="76"/>
      <c r="Y301" s="76"/>
      <c r="Z301" s="76"/>
      <c r="AA301" s="76"/>
      <c r="AB301" s="76"/>
      <c r="AC301" s="76"/>
      <c r="AD301" s="76"/>
      <c r="AE301" s="76"/>
      <c r="AF301" s="76"/>
    </row>
    <row r="302" spans="1:32" x14ac:dyDescent="0.35">
      <c r="A302" s="76"/>
      <c r="B302" s="82"/>
      <c r="C302" s="82"/>
      <c r="D302" s="76"/>
      <c r="E302" s="298"/>
      <c r="F302" s="76"/>
      <c r="G302" s="76"/>
      <c r="H302" s="76"/>
      <c r="I302" s="56"/>
      <c r="J302" s="56"/>
      <c r="K302" s="76"/>
      <c r="L302" s="76"/>
      <c r="M302" s="415"/>
      <c r="N302" s="298"/>
      <c r="S302" s="76"/>
      <c r="T302" s="236"/>
      <c r="U302" s="243"/>
      <c r="V302" s="236"/>
      <c r="W302" s="76"/>
      <c r="X302" s="76"/>
      <c r="Y302" s="76"/>
      <c r="Z302" s="76"/>
      <c r="AA302" s="76"/>
      <c r="AB302" s="76"/>
      <c r="AC302" s="76"/>
      <c r="AD302" s="76"/>
      <c r="AE302" s="76"/>
      <c r="AF302" s="76"/>
    </row>
    <row r="303" spans="1:32" x14ac:dyDescent="0.35">
      <c r="A303" s="76"/>
      <c r="B303" s="82"/>
      <c r="C303" s="82"/>
      <c r="D303" s="76"/>
      <c r="E303" s="298"/>
      <c r="F303" s="76"/>
      <c r="G303" s="76"/>
      <c r="H303" s="76"/>
      <c r="I303" s="56"/>
      <c r="J303" s="56"/>
      <c r="K303" s="76"/>
      <c r="L303" s="76"/>
      <c r="M303" s="415"/>
      <c r="N303" s="298"/>
      <c r="S303" s="76"/>
      <c r="T303" s="236"/>
      <c r="U303" s="243"/>
      <c r="V303" s="236"/>
      <c r="W303" s="76"/>
      <c r="X303" s="76"/>
      <c r="Y303" s="76"/>
      <c r="Z303" s="76"/>
      <c r="AA303" s="76"/>
      <c r="AB303" s="76"/>
      <c r="AC303" s="76"/>
      <c r="AD303" s="76"/>
      <c r="AE303" s="76"/>
      <c r="AF303" s="76"/>
    </row>
    <row r="304" spans="1:32" x14ac:dyDescent="0.35">
      <c r="A304" s="76"/>
      <c r="B304" s="82"/>
      <c r="C304" s="82"/>
      <c r="D304" s="76"/>
      <c r="E304" s="298"/>
      <c r="F304" s="76"/>
      <c r="G304" s="76"/>
      <c r="H304" s="76"/>
      <c r="I304" s="56"/>
      <c r="J304" s="56"/>
      <c r="K304" s="76"/>
      <c r="L304" s="76"/>
      <c r="M304" s="415"/>
      <c r="N304" s="298"/>
      <c r="S304" s="76"/>
      <c r="T304" s="236"/>
      <c r="U304" s="243"/>
      <c r="V304" s="236"/>
      <c r="W304" s="76"/>
      <c r="X304" s="76"/>
      <c r="Y304" s="76"/>
      <c r="Z304" s="76"/>
      <c r="AA304" s="76"/>
      <c r="AB304" s="76"/>
      <c r="AC304" s="76"/>
      <c r="AD304" s="76"/>
      <c r="AE304" s="76"/>
      <c r="AF304" s="76"/>
    </row>
    <row r="305" spans="1:32" x14ac:dyDescent="0.35">
      <c r="A305" s="76"/>
      <c r="B305" s="82"/>
      <c r="C305" s="82"/>
      <c r="D305" s="76"/>
      <c r="E305" s="298"/>
      <c r="F305" s="76"/>
      <c r="G305" s="76"/>
      <c r="H305" s="76"/>
      <c r="I305" s="56"/>
      <c r="J305" s="56"/>
      <c r="K305" s="76"/>
      <c r="L305" s="76"/>
      <c r="M305" s="415"/>
      <c r="N305" s="298"/>
      <c r="S305" s="76"/>
      <c r="T305" s="236"/>
      <c r="U305" s="243"/>
      <c r="V305" s="236"/>
      <c r="W305" s="76"/>
      <c r="X305" s="76"/>
      <c r="Y305" s="76"/>
      <c r="Z305" s="76"/>
      <c r="AA305" s="76"/>
      <c r="AB305" s="76"/>
      <c r="AC305" s="76"/>
      <c r="AD305" s="76"/>
      <c r="AE305" s="76"/>
      <c r="AF305" s="76"/>
    </row>
    <row r="306" spans="1:32" x14ac:dyDescent="0.35">
      <c r="A306" s="76"/>
      <c r="B306" s="82"/>
      <c r="C306" s="82"/>
      <c r="D306" s="76"/>
      <c r="E306" s="298"/>
      <c r="F306" s="76"/>
      <c r="G306" s="76"/>
      <c r="H306" s="76"/>
      <c r="I306" s="56"/>
      <c r="J306" s="56"/>
      <c r="K306" s="76"/>
      <c r="L306" s="76"/>
      <c r="M306" s="415"/>
      <c r="N306" s="298"/>
      <c r="S306" s="76"/>
      <c r="T306" s="236"/>
      <c r="U306" s="243"/>
      <c r="V306" s="236"/>
      <c r="W306" s="76"/>
      <c r="X306" s="76"/>
      <c r="Y306" s="76"/>
      <c r="Z306" s="76"/>
      <c r="AA306" s="76"/>
      <c r="AB306" s="76"/>
      <c r="AC306" s="76"/>
      <c r="AD306" s="76"/>
      <c r="AE306" s="76"/>
      <c r="AF306" s="76"/>
    </row>
    <row r="307" spans="1:32" x14ac:dyDescent="0.35">
      <c r="A307" s="76"/>
      <c r="B307" s="82"/>
      <c r="C307" s="82"/>
      <c r="D307" s="76"/>
      <c r="E307" s="298"/>
      <c r="F307" s="76"/>
      <c r="G307" s="76"/>
      <c r="H307" s="76"/>
      <c r="I307" s="56"/>
      <c r="J307" s="56"/>
      <c r="K307" s="76"/>
      <c r="L307" s="76"/>
      <c r="M307" s="415"/>
      <c r="N307" s="298"/>
      <c r="S307" s="76"/>
      <c r="T307" s="236"/>
      <c r="U307" s="243"/>
      <c r="V307" s="236"/>
      <c r="W307" s="76"/>
      <c r="X307" s="76"/>
      <c r="Y307" s="76"/>
      <c r="Z307" s="76"/>
      <c r="AA307" s="76"/>
      <c r="AB307" s="76"/>
      <c r="AC307" s="76"/>
      <c r="AD307" s="76"/>
      <c r="AE307" s="76"/>
      <c r="AF307" s="76"/>
    </row>
    <row r="308" spans="1:32" x14ac:dyDescent="0.35">
      <c r="A308" s="76"/>
      <c r="B308" s="82"/>
      <c r="C308" s="82"/>
      <c r="D308" s="76"/>
      <c r="E308" s="298"/>
      <c r="F308" s="76"/>
      <c r="G308" s="76"/>
      <c r="H308" s="76"/>
      <c r="I308" s="56"/>
      <c r="J308" s="56"/>
      <c r="K308" s="76"/>
      <c r="L308" s="76"/>
      <c r="M308" s="415"/>
      <c r="N308" s="298"/>
      <c r="S308" s="76"/>
      <c r="T308" s="236"/>
      <c r="U308" s="243"/>
      <c r="V308" s="236"/>
      <c r="W308" s="76"/>
      <c r="X308" s="76"/>
      <c r="Y308" s="76"/>
      <c r="Z308" s="76"/>
      <c r="AA308" s="76"/>
      <c r="AB308" s="76"/>
      <c r="AC308" s="76"/>
      <c r="AD308" s="76"/>
      <c r="AE308" s="76"/>
      <c r="AF308" s="76"/>
    </row>
    <row r="309" spans="1:32" x14ac:dyDescent="0.35">
      <c r="A309" s="76"/>
      <c r="B309" s="82"/>
      <c r="C309" s="82"/>
      <c r="D309" s="76"/>
      <c r="E309" s="298"/>
      <c r="F309" s="76"/>
      <c r="G309" s="76"/>
      <c r="H309" s="76"/>
      <c r="I309" s="56"/>
      <c r="J309" s="56"/>
      <c r="K309" s="76"/>
      <c r="L309" s="76"/>
      <c r="M309" s="415"/>
      <c r="N309" s="298"/>
      <c r="S309" s="76"/>
      <c r="T309" s="236"/>
      <c r="U309" s="243"/>
      <c r="V309" s="236"/>
      <c r="W309" s="76"/>
      <c r="X309" s="76"/>
      <c r="Y309" s="76"/>
      <c r="Z309" s="76"/>
      <c r="AA309" s="76"/>
      <c r="AB309" s="76"/>
      <c r="AC309" s="76"/>
      <c r="AD309" s="76"/>
      <c r="AE309" s="76"/>
      <c r="AF309" s="76"/>
    </row>
    <row r="310" spans="1:32" x14ac:dyDescent="0.35">
      <c r="A310" s="76"/>
      <c r="B310" s="82"/>
      <c r="C310" s="82"/>
      <c r="D310" s="76"/>
      <c r="E310" s="298"/>
      <c r="F310" s="76"/>
      <c r="G310" s="76"/>
      <c r="H310" s="76"/>
      <c r="I310" s="56"/>
      <c r="J310" s="56"/>
      <c r="K310" s="76"/>
      <c r="L310" s="76"/>
      <c r="M310" s="415"/>
      <c r="N310" s="298"/>
      <c r="S310" s="76"/>
      <c r="T310" s="236"/>
      <c r="U310" s="243"/>
      <c r="V310" s="236"/>
      <c r="W310" s="76"/>
      <c r="X310" s="76"/>
      <c r="Y310" s="76"/>
      <c r="Z310" s="76"/>
      <c r="AA310" s="76"/>
      <c r="AB310" s="76"/>
      <c r="AC310" s="76"/>
      <c r="AD310" s="76"/>
      <c r="AE310" s="76"/>
      <c r="AF310" s="76"/>
    </row>
    <row r="311" spans="1:32" x14ac:dyDescent="0.35">
      <c r="A311" s="76"/>
      <c r="B311" s="82"/>
      <c r="C311" s="82"/>
      <c r="D311" s="76"/>
      <c r="E311" s="298"/>
      <c r="F311" s="76"/>
      <c r="G311" s="76"/>
      <c r="H311" s="76"/>
      <c r="I311" s="56"/>
      <c r="J311" s="56"/>
      <c r="K311" s="76"/>
      <c r="L311" s="76"/>
      <c r="M311" s="415"/>
      <c r="N311" s="298"/>
      <c r="S311" s="76"/>
      <c r="T311" s="236"/>
      <c r="U311" s="243"/>
      <c r="V311" s="236"/>
      <c r="W311" s="76"/>
      <c r="X311" s="76"/>
      <c r="Y311" s="76"/>
      <c r="Z311" s="76"/>
      <c r="AA311" s="76"/>
      <c r="AB311" s="76"/>
      <c r="AC311" s="76"/>
      <c r="AD311" s="76"/>
      <c r="AE311" s="76"/>
      <c r="AF311" s="76"/>
    </row>
    <row r="312" spans="1:32" x14ac:dyDescent="0.35">
      <c r="A312" s="76"/>
      <c r="B312" s="82"/>
      <c r="C312" s="82"/>
      <c r="D312" s="76"/>
      <c r="E312" s="298"/>
      <c r="F312" s="76"/>
      <c r="G312" s="76"/>
      <c r="H312" s="76"/>
      <c r="I312" s="56"/>
      <c r="J312" s="56"/>
      <c r="K312" s="76"/>
      <c r="L312" s="76"/>
      <c r="M312" s="415"/>
      <c r="N312" s="298"/>
      <c r="S312" s="76"/>
      <c r="T312" s="236"/>
      <c r="U312" s="243"/>
      <c r="V312" s="236"/>
      <c r="W312" s="76"/>
      <c r="X312" s="76"/>
      <c r="Y312" s="76"/>
      <c r="Z312" s="76"/>
      <c r="AA312" s="76"/>
      <c r="AB312" s="76"/>
      <c r="AC312" s="76"/>
      <c r="AD312" s="76"/>
      <c r="AE312" s="76"/>
      <c r="AF312" s="76"/>
    </row>
    <row r="313" spans="1:32" x14ac:dyDescent="0.35">
      <c r="A313" s="76"/>
      <c r="B313" s="82"/>
      <c r="C313" s="82"/>
      <c r="D313" s="76"/>
      <c r="E313" s="298"/>
      <c r="F313" s="76"/>
      <c r="G313" s="76"/>
      <c r="H313" s="76"/>
      <c r="I313" s="56"/>
      <c r="J313" s="56"/>
      <c r="K313" s="76"/>
      <c r="L313" s="76"/>
      <c r="M313" s="415"/>
      <c r="N313" s="298"/>
      <c r="S313" s="76"/>
      <c r="T313" s="236"/>
      <c r="U313" s="243"/>
      <c r="V313" s="236"/>
      <c r="W313" s="76"/>
      <c r="X313" s="76"/>
      <c r="Y313" s="76"/>
      <c r="Z313" s="76"/>
      <c r="AA313" s="76"/>
      <c r="AB313" s="76"/>
      <c r="AC313" s="76"/>
      <c r="AD313" s="76"/>
      <c r="AE313" s="76"/>
      <c r="AF313" s="76"/>
    </row>
    <row r="314" spans="1:32" x14ac:dyDescent="0.35">
      <c r="A314" s="76"/>
      <c r="B314" s="82"/>
      <c r="C314" s="82"/>
      <c r="D314" s="76"/>
      <c r="E314" s="298"/>
      <c r="F314" s="76"/>
      <c r="G314" s="76"/>
      <c r="H314" s="76"/>
      <c r="I314" s="56"/>
      <c r="J314" s="56"/>
      <c r="K314" s="76"/>
      <c r="L314" s="76"/>
      <c r="M314" s="415"/>
      <c r="N314" s="298"/>
      <c r="S314" s="76"/>
      <c r="T314" s="236"/>
      <c r="U314" s="243"/>
      <c r="V314" s="236"/>
      <c r="W314" s="76"/>
      <c r="X314" s="76"/>
      <c r="Y314" s="76"/>
      <c r="Z314" s="76"/>
      <c r="AA314" s="76"/>
      <c r="AB314" s="76"/>
      <c r="AC314" s="76"/>
      <c r="AD314" s="76"/>
      <c r="AE314" s="76"/>
      <c r="AF314" s="76"/>
    </row>
    <row r="315" spans="1:32" x14ac:dyDescent="0.35">
      <c r="A315" s="76"/>
      <c r="B315" s="82"/>
      <c r="C315" s="82"/>
      <c r="D315" s="76"/>
      <c r="E315" s="298"/>
      <c r="F315" s="76"/>
      <c r="G315" s="76"/>
      <c r="H315" s="76"/>
      <c r="I315" s="56"/>
      <c r="J315" s="56"/>
      <c r="K315" s="76"/>
      <c r="L315" s="76"/>
      <c r="M315" s="415"/>
      <c r="N315" s="298"/>
      <c r="S315" s="76"/>
      <c r="T315" s="236"/>
      <c r="U315" s="243"/>
      <c r="V315" s="236"/>
      <c r="W315" s="76"/>
      <c r="X315" s="76"/>
      <c r="Y315" s="76"/>
      <c r="Z315" s="76"/>
      <c r="AA315" s="76"/>
      <c r="AB315" s="76"/>
      <c r="AC315" s="76"/>
      <c r="AD315" s="76"/>
      <c r="AE315" s="76"/>
      <c r="AF315" s="76"/>
    </row>
    <row r="316" spans="1:32" x14ac:dyDescent="0.35">
      <c r="A316" s="76"/>
      <c r="B316" s="82"/>
      <c r="C316" s="82"/>
      <c r="D316" s="76"/>
      <c r="E316" s="298"/>
      <c r="F316" s="76"/>
      <c r="G316" s="76"/>
      <c r="H316" s="76"/>
      <c r="I316" s="56"/>
      <c r="J316" s="56"/>
      <c r="K316" s="76"/>
      <c r="L316" s="76"/>
      <c r="M316" s="415"/>
      <c r="N316" s="298"/>
      <c r="S316" s="76"/>
      <c r="T316" s="236"/>
      <c r="U316" s="243"/>
      <c r="V316" s="236"/>
      <c r="W316" s="76"/>
      <c r="X316" s="76"/>
      <c r="Y316" s="76"/>
      <c r="Z316" s="76"/>
      <c r="AA316" s="76"/>
      <c r="AB316" s="76"/>
      <c r="AC316" s="76"/>
      <c r="AD316" s="76"/>
      <c r="AE316" s="76"/>
      <c r="AF316" s="76"/>
    </row>
    <row r="317" spans="1:32" x14ac:dyDescent="0.35">
      <c r="A317" s="76"/>
      <c r="B317" s="82"/>
      <c r="C317" s="82"/>
      <c r="D317" s="76"/>
      <c r="E317" s="298"/>
      <c r="F317" s="76"/>
      <c r="G317" s="76"/>
      <c r="H317" s="76"/>
      <c r="I317" s="56"/>
      <c r="J317" s="56"/>
      <c r="K317" s="76"/>
      <c r="L317" s="76"/>
      <c r="M317" s="415"/>
      <c r="N317" s="298"/>
      <c r="S317" s="76"/>
      <c r="T317" s="236"/>
      <c r="U317" s="243"/>
      <c r="V317" s="236"/>
      <c r="W317" s="76"/>
      <c r="X317" s="76"/>
      <c r="Y317" s="76"/>
      <c r="Z317" s="76"/>
      <c r="AA317" s="76"/>
      <c r="AB317" s="76"/>
      <c r="AC317" s="76"/>
      <c r="AD317" s="76"/>
      <c r="AE317" s="76"/>
      <c r="AF317" s="76"/>
    </row>
    <row r="318" spans="1:32" x14ac:dyDescent="0.35">
      <c r="A318" s="76"/>
      <c r="B318" s="82"/>
      <c r="C318" s="82"/>
      <c r="D318" s="76"/>
      <c r="E318" s="298"/>
      <c r="F318" s="76"/>
      <c r="G318" s="76"/>
      <c r="H318" s="76"/>
      <c r="I318" s="56"/>
      <c r="J318" s="56"/>
      <c r="K318" s="76"/>
      <c r="L318" s="76"/>
      <c r="M318" s="415"/>
      <c r="N318" s="298"/>
      <c r="S318" s="76"/>
      <c r="T318" s="236"/>
      <c r="U318" s="243"/>
      <c r="V318" s="236"/>
      <c r="W318" s="76"/>
      <c r="X318" s="76"/>
      <c r="Y318" s="76"/>
      <c r="Z318" s="76"/>
      <c r="AA318" s="76"/>
      <c r="AB318" s="76"/>
      <c r="AC318" s="76"/>
      <c r="AD318" s="76"/>
      <c r="AE318" s="76"/>
      <c r="AF318" s="76"/>
    </row>
    <row r="319" spans="1:32" x14ac:dyDescent="0.35">
      <c r="A319" s="76"/>
      <c r="B319" s="82"/>
      <c r="C319" s="82"/>
      <c r="D319" s="76"/>
      <c r="E319" s="298"/>
      <c r="F319" s="76"/>
      <c r="G319" s="76"/>
      <c r="H319" s="76"/>
      <c r="I319" s="56"/>
      <c r="J319" s="56"/>
      <c r="K319" s="76"/>
      <c r="L319" s="76"/>
      <c r="M319" s="415"/>
      <c r="N319" s="298"/>
      <c r="S319" s="76"/>
      <c r="T319" s="236"/>
      <c r="U319" s="243"/>
      <c r="V319" s="236"/>
      <c r="W319" s="76"/>
      <c r="X319" s="76"/>
      <c r="Y319" s="76"/>
      <c r="Z319" s="76"/>
      <c r="AA319" s="76"/>
      <c r="AB319" s="76"/>
      <c r="AC319" s="76"/>
      <c r="AD319" s="76"/>
      <c r="AE319" s="76"/>
      <c r="AF319" s="76"/>
    </row>
    <row r="320" spans="1:32" x14ac:dyDescent="0.35">
      <c r="A320" s="76"/>
      <c r="B320" s="82"/>
      <c r="C320" s="82"/>
      <c r="D320" s="76"/>
      <c r="E320" s="298"/>
      <c r="F320" s="76"/>
      <c r="G320" s="76"/>
      <c r="H320" s="76"/>
      <c r="I320" s="56"/>
      <c r="J320" s="56"/>
      <c r="K320" s="76"/>
      <c r="L320" s="76"/>
      <c r="M320" s="415"/>
      <c r="N320" s="298"/>
      <c r="S320" s="76"/>
      <c r="T320" s="236"/>
      <c r="U320" s="243"/>
      <c r="V320" s="236"/>
      <c r="W320" s="76"/>
      <c r="X320" s="76"/>
      <c r="Y320" s="76"/>
      <c r="Z320" s="76"/>
      <c r="AA320" s="76"/>
      <c r="AB320" s="76"/>
      <c r="AC320" s="76"/>
      <c r="AD320" s="76"/>
      <c r="AE320" s="76"/>
      <c r="AF320" s="76"/>
    </row>
    <row r="321" spans="1:32" x14ac:dyDescent="0.35">
      <c r="A321" s="76"/>
      <c r="B321" s="82"/>
      <c r="C321" s="82"/>
      <c r="D321" s="76"/>
      <c r="E321" s="298"/>
      <c r="F321" s="76"/>
      <c r="G321" s="76"/>
      <c r="H321" s="76"/>
      <c r="I321" s="56"/>
      <c r="J321" s="56"/>
      <c r="K321" s="76"/>
      <c r="L321" s="76"/>
      <c r="M321" s="415"/>
      <c r="N321" s="298"/>
      <c r="S321" s="76"/>
      <c r="T321" s="236"/>
      <c r="U321" s="243"/>
      <c r="V321" s="236"/>
      <c r="W321" s="76"/>
      <c r="X321" s="76"/>
      <c r="Y321" s="76"/>
      <c r="Z321" s="76"/>
      <c r="AA321" s="76"/>
      <c r="AB321" s="76"/>
      <c r="AC321" s="76"/>
      <c r="AD321" s="76"/>
      <c r="AE321" s="76"/>
      <c r="AF321" s="76"/>
    </row>
    <row r="322" spans="1:32" x14ac:dyDescent="0.35">
      <c r="A322" s="76"/>
      <c r="B322" s="82"/>
      <c r="C322" s="82"/>
      <c r="D322" s="76"/>
      <c r="E322" s="298"/>
      <c r="F322" s="76"/>
      <c r="G322" s="76"/>
      <c r="H322" s="76"/>
      <c r="I322" s="56"/>
      <c r="J322" s="56"/>
      <c r="K322" s="76"/>
      <c r="L322" s="76"/>
      <c r="M322" s="415"/>
      <c r="N322" s="298"/>
      <c r="S322" s="76"/>
      <c r="T322" s="236"/>
      <c r="U322" s="243"/>
      <c r="V322" s="236"/>
      <c r="W322" s="76"/>
      <c r="X322" s="76"/>
      <c r="Y322" s="76"/>
      <c r="Z322" s="76"/>
      <c r="AA322" s="76"/>
      <c r="AB322" s="76"/>
      <c r="AC322" s="76"/>
      <c r="AD322" s="76"/>
      <c r="AE322" s="76"/>
      <c r="AF322" s="76"/>
    </row>
    <row r="323" spans="1:32" x14ac:dyDescent="0.35">
      <c r="A323" s="76"/>
      <c r="B323" s="82"/>
      <c r="C323" s="82"/>
      <c r="D323" s="76"/>
      <c r="E323" s="298"/>
      <c r="F323" s="76"/>
      <c r="G323" s="76"/>
      <c r="H323" s="76"/>
      <c r="I323" s="56"/>
      <c r="J323" s="56"/>
      <c r="K323" s="76"/>
      <c r="L323" s="76"/>
      <c r="M323" s="415"/>
      <c r="N323" s="298"/>
      <c r="S323" s="76"/>
      <c r="T323" s="236"/>
      <c r="U323" s="243"/>
      <c r="V323" s="236"/>
      <c r="W323" s="76"/>
      <c r="X323" s="76"/>
      <c r="Y323" s="76"/>
      <c r="Z323" s="76"/>
      <c r="AA323" s="76"/>
      <c r="AB323" s="76"/>
      <c r="AC323" s="76"/>
      <c r="AD323" s="76"/>
      <c r="AE323" s="76"/>
      <c r="AF323" s="76"/>
    </row>
    <row r="324" spans="1:32" x14ac:dyDescent="0.35">
      <c r="A324" s="76"/>
      <c r="B324" s="82"/>
      <c r="C324" s="82"/>
      <c r="D324" s="76"/>
      <c r="E324" s="298"/>
      <c r="F324" s="76"/>
      <c r="G324" s="76"/>
      <c r="H324" s="76"/>
      <c r="I324" s="56"/>
      <c r="J324" s="56"/>
      <c r="K324" s="76"/>
      <c r="L324" s="76"/>
      <c r="M324" s="415"/>
      <c r="N324" s="298"/>
      <c r="S324" s="76"/>
      <c r="T324" s="236"/>
      <c r="U324" s="243"/>
      <c r="V324" s="236"/>
      <c r="W324" s="76"/>
      <c r="X324" s="76"/>
      <c r="Y324" s="76"/>
      <c r="Z324" s="76"/>
      <c r="AA324" s="76"/>
      <c r="AB324" s="76"/>
      <c r="AC324" s="76"/>
      <c r="AD324" s="76"/>
      <c r="AE324" s="76"/>
      <c r="AF324" s="76"/>
    </row>
    <row r="325" spans="1:32" x14ac:dyDescent="0.35">
      <c r="A325" s="76"/>
      <c r="B325" s="82"/>
      <c r="C325" s="82"/>
      <c r="D325" s="76"/>
      <c r="E325" s="298"/>
      <c r="F325" s="76"/>
      <c r="G325" s="76"/>
      <c r="H325" s="76"/>
      <c r="I325" s="56"/>
      <c r="J325" s="56"/>
      <c r="K325" s="76"/>
      <c r="L325" s="76"/>
      <c r="M325" s="415"/>
      <c r="N325" s="298"/>
      <c r="S325" s="76"/>
      <c r="T325" s="236"/>
      <c r="U325" s="243"/>
      <c r="V325" s="236"/>
      <c r="W325" s="76"/>
      <c r="X325" s="76"/>
      <c r="Y325" s="76"/>
      <c r="Z325" s="76"/>
      <c r="AA325" s="76"/>
      <c r="AB325" s="76"/>
      <c r="AC325" s="76"/>
      <c r="AD325" s="76"/>
      <c r="AE325" s="76"/>
      <c r="AF325" s="76"/>
    </row>
    <row r="326" spans="1:32" x14ac:dyDescent="0.35">
      <c r="A326" s="76"/>
      <c r="B326" s="82"/>
      <c r="C326" s="82"/>
      <c r="D326" s="76"/>
      <c r="E326" s="298"/>
      <c r="F326" s="76"/>
      <c r="G326" s="76"/>
      <c r="H326" s="76"/>
      <c r="I326" s="56"/>
      <c r="J326" s="56"/>
      <c r="K326" s="76"/>
      <c r="L326" s="76"/>
      <c r="M326" s="415"/>
      <c r="N326" s="298"/>
      <c r="S326" s="76"/>
      <c r="T326" s="236"/>
      <c r="U326" s="243"/>
      <c r="V326" s="236"/>
      <c r="W326" s="76"/>
      <c r="X326" s="76"/>
      <c r="Y326" s="76"/>
      <c r="Z326" s="76"/>
      <c r="AA326" s="76"/>
      <c r="AB326" s="76"/>
      <c r="AC326" s="76"/>
      <c r="AD326" s="76"/>
      <c r="AE326" s="76"/>
      <c r="AF326" s="76"/>
    </row>
    <row r="327" spans="1:32" x14ac:dyDescent="0.35">
      <c r="A327" s="76"/>
      <c r="B327" s="82"/>
      <c r="C327" s="82"/>
      <c r="D327" s="76"/>
      <c r="E327" s="298"/>
      <c r="F327" s="76"/>
      <c r="G327" s="76"/>
      <c r="H327" s="76"/>
      <c r="I327" s="56"/>
      <c r="J327" s="56"/>
      <c r="K327" s="76"/>
      <c r="L327" s="76"/>
      <c r="M327" s="415"/>
      <c r="N327" s="298"/>
      <c r="S327" s="76"/>
      <c r="T327" s="236"/>
      <c r="U327" s="243"/>
      <c r="V327" s="236"/>
      <c r="W327" s="76"/>
      <c r="X327" s="76"/>
      <c r="Y327" s="76"/>
      <c r="Z327" s="76"/>
      <c r="AA327" s="76"/>
      <c r="AB327" s="76"/>
      <c r="AC327" s="76"/>
      <c r="AD327" s="76"/>
      <c r="AE327" s="76"/>
      <c r="AF327" s="76"/>
    </row>
    <row r="328" spans="1:32" x14ac:dyDescent="0.35">
      <c r="A328" s="76"/>
      <c r="B328" s="82"/>
      <c r="C328" s="82"/>
      <c r="D328" s="76"/>
      <c r="E328" s="298"/>
      <c r="F328" s="76"/>
      <c r="G328" s="76"/>
      <c r="H328" s="76"/>
      <c r="I328" s="56"/>
      <c r="J328" s="56"/>
      <c r="K328" s="76"/>
      <c r="L328" s="76"/>
      <c r="M328" s="415"/>
      <c r="N328" s="298"/>
      <c r="S328" s="76"/>
      <c r="T328" s="236"/>
      <c r="U328" s="243"/>
      <c r="V328" s="236"/>
      <c r="W328" s="76"/>
      <c r="X328" s="76"/>
      <c r="Y328" s="76"/>
      <c r="Z328" s="76"/>
      <c r="AA328" s="76"/>
      <c r="AB328" s="76"/>
      <c r="AC328" s="76"/>
      <c r="AD328" s="76"/>
      <c r="AE328" s="76"/>
      <c r="AF328" s="76"/>
    </row>
    <row r="329" spans="1:32" x14ac:dyDescent="0.35">
      <c r="A329" s="76"/>
      <c r="B329" s="82"/>
      <c r="C329" s="82"/>
      <c r="D329" s="76"/>
      <c r="E329" s="298"/>
      <c r="F329" s="76"/>
      <c r="G329" s="76"/>
      <c r="H329" s="76"/>
      <c r="I329" s="56"/>
      <c r="J329" s="56"/>
      <c r="K329" s="76"/>
      <c r="L329" s="76"/>
      <c r="M329" s="415"/>
      <c r="N329" s="298"/>
      <c r="S329" s="76"/>
      <c r="T329" s="236"/>
      <c r="U329" s="243"/>
      <c r="V329" s="236"/>
      <c r="W329" s="76"/>
      <c r="X329" s="76"/>
      <c r="Y329" s="76"/>
      <c r="Z329" s="76"/>
      <c r="AA329" s="76"/>
      <c r="AB329" s="76"/>
      <c r="AC329" s="76"/>
      <c r="AD329" s="76"/>
      <c r="AE329" s="76"/>
      <c r="AF329" s="76"/>
    </row>
    <row r="330" spans="1:32" x14ac:dyDescent="0.35">
      <c r="A330" s="76"/>
      <c r="B330" s="82"/>
      <c r="C330" s="82"/>
      <c r="D330" s="76"/>
      <c r="E330" s="298"/>
      <c r="F330" s="76"/>
      <c r="G330" s="76"/>
      <c r="H330" s="76"/>
      <c r="I330" s="56"/>
      <c r="J330" s="56"/>
      <c r="K330" s="76"/>
      <c r="L330" s="76"/>
      <c r="M330" s="415"/>
      <c r="N330" s="298"/>
      <c r="S330" s="76"/>
      <c r="T330" s="236"/>
      <c r="U330" s="243"/>
      <c r="V330" s="236"/>
      <c r="W330" s="76"/>
      <c r="X330" s="76"/>
      <c r="Y330" s="76"/>
      <c r="Z330" s="76"/>
      <c r="AA330" s="76"/>
      <c r="AB330" s="76"/>
      <c r="AC330" s="76"/>
      <c r="AD330" s="76"/>
      <c r="AE330" s="76"/>
      <c r="AF330" s="76"/>
    </row>
    <row r="331" spans="1:32" x14ac:dyDescent="0.35">
      <c r="A331" s="76"/>
      <c r="B331" s="82"/>
      <c r="C331" s="82"/>
      <c r="D331" s="76"/>
      <c r="E331" s="298"/>
      <c r="F331" s="76"/>
      <c r="G331" s="76"/>
      <c r="H331" s="76"/>
      <c r="I331" s="56"/>
      <c r="J331" s="56"/>
      <c r="K331" s="76"/>
      <c r="L331" s="76"/>
      <c r="M331" s="415"/>
      <c r="N331" s="298"/>
      <c r="S331" s="76"/>
      <c r="T331" s="236"/>
      <c r="U331" s="243"/>
      <c r="V331" s="236"/>
      <c r="W331" s="76"/>
      <c r="X331" s="76"/>
      <c r="Y331" s="76"/>
      <c r="Z331" s="76"/>
      <c r="AA331" s="76"/>
      <c r="AB331" s="76"/>
      <c r="AC331" s="76"/>
      <c r="AD331" s="76"/>
      <c r="AE331" s="76"/>
      <c r="AF331" s="76"/>
    </row>
    <row r="332" spans="1:32" x14ac:dyDescent="0.35">
      <c r="A332" s="76"/>
      <c r="B332" s="82"/>
      <c r="C332" s="82"/>
      <c r="D332" s="76"/>
      <c r="E332" s="298"/>
      <c r="F332" s="76"/>
      <c r="G332" s="76"/>
      <c r="H332" s="76"/>
      <c r="I332" s="56"/>
      <c r="J332" s="56"/>
      <c r="K332" s="76"/>
      <c r="L332" s="76"/>
      <c r="M332" s="415"/>
      <c r="N332" s="298"/>
      <c r="S332" s="76"/>
      <c r="T332" s="236"/>
      <c r="U332" s="243"/>
      <c r="V332" s="236"/>
      <c r="W332" s="76"/>
      <c r="X332" s="76"/>
      <c r="Y332" s="76"/>
      <c r="Z332" s="76"/>
      <c r="AA332" s="76"/>
      <c r="AB332" s="76"/>
      <c r="AC332" s="76"/>
      <c r="AD332" s="76"/>
      <c r="AE332" s="76"/>
      <c r="AF332" s="76"/>
    </row>
    <row r="333" spans="1:32" x14ac:dyDescent="0.35">
      <c r="U333" s="243"/>
    </row>
    <row r="334" spans="1:32" x14ac:dyDescent="0.35">
      <c r="U334" s="243"/>
    </row>
    <row r="335" spans="1:32" x14ac:dyDescent="0.35">
      <c r="U335" s="243"/>
    </row>
    <row r="336" spans="1:32" x14ac:dyDescent="0.35">
      <c r="U336" s="243"/>
    </row>
    <row r="337" spans="21:21" x14ac:dyDescent="0.35">
      <c r="U337" s="243"/>
    </row>
    <row r="338" spans="21:21" x14ac:dyDescent="0.35">
      <c r="U338" s="243"/>
    </row>
    <row r="339" spans="21:21" x14ac:dyDescent="0.35">
      <c r="U339" s="243"/>
    </row>
    <row r="340" spans="21:21" x14ac:dyDescent="0.35">
      <c r="U340" s="243"/>
    </row>
    <row r="341" spans="21:21" x14ac:dyDescent="0.35">
      <c r="U341" s="243"/>
    </row>
    <row r="342" spans="21:21" x14ac:dyDescent="0.35">
      <c r="U342" s="243"/>
    </row>
    <row r="343" spans="21:21" x14ac:dyDescent="0.35">
      <c r="U343" s="243"/>
    </row>
    <row r="344" spans="21:21" x14ac:dyDescent="0.35">
      <c r="U344" s="243"/>
    </row>
    <row r="345" spans="21:21" x14ac:dyDescent="0.35">
      <c r="U345" s="243"/>
    </row>
    <row r="346" spans="21:21" x14ac:dyDescent="0.35">
      <c r="U346" s="243"/>
    </row>
    <row r="347" spans="21:21" x14ac:dyDescent="0.35">
      <c r="U347" s="243"/>
    </row>
    <row r="348" spans="21:21" x14ac:dyDescent="0.35">
      <c r="U348" s="243"/>
    </row>
    <row r="349" spans="21:21" x14ac:dyDescent="0.35">
      <c r="U349" s="243"/>
    </row>
    <row r="350" spans="21:21" x14ac:dyDescent="0.35">
      <c r="U350" s="243"/>
    </row>
    <row r="351" spans="21:21" x14ac:dyDescent="0.35">
      <c r="U351" s="243"/>
    </row>
    <row r="352" spans="21:21" x14ac:dyDescent="0.35">
      <c r="U352" s="243"/>
    </row>
    <row r="353" spans="21:21" x14ac:dyDescent="0.35">
      <c r="U353" s="243"/>
    </row>
    <row r="354" spans="21:21" x14ac:dyDescent="0.35">
      <c r="U354" s="243"/>
    </row>
    <row r="355" spans="21:21" x14ac:dyDescent="0.35">
      <c r="U355" s="243"/>
    </row>
    <row r="356" spans="21:21" x14ac:dyDescent="0.35">
      <c r="U356" s="243"/>
    </row>
    <row r="357" spans="21:21" x14ac:dyDescent="0.35">
      <c r="U357" s="243"/>
    </row>
    <row r="358" spans="21:21" x14ac:dyDescent="0.35">
      <c r="U358" s="243"/>
    </row>
    <row r="359" spans="21:21" x14ac:dyDescent="0.35">
      <c r="U359" s="243"/>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287">
    <mergeCell ref="O260:P260"/>
    <mergeCell ref="Q260:R260"/>
    <mergeCell ref="O257:P257"/>
    <mergeCell ref="Q257:R257"/>
    <mergeCell ref="O258:P258"/>
    <mergeCell ref="Q258:R258"/>
    <mergeCell ref="O259:P259"/>
    <mergeCell ref="Q259:R259"/>
    <mergeCell ref="O254:P254"/>
    <mergeCell ref="Q254:R254"/>
    <mergeCell ref="O255:P255"/>
    <mergeCell ref="Q255:R255"/>
    <mergeCell ref="O256:P256"/>
    <mergeCell ref="Q256:R256"/>
    <mergeCell ref="O251:P251"/>
    <mergeCell ref="Q251:R251"/>
    <mergeCell ref="O252:P252"/>
    <mergeCell ref="Q252:R252"/>
    <mergeCell ref="O253:P253"/>
    <mergeCell ref="Q253:R253"/>
    <mergeCell ref="O248:P248"/>
    <mergeCell ref="Q248:R248"/>
    <mergeCell ref="O249:P249"/>
    <mergeCell ref="Q249:R249"/>
    <mergeCell ref="O250:P250"/>
    <mergeCell ref="Q250:R250"/>
    <mergeCell ref="O245:P245"/>
    <mergeCell ref="Q245:R245"/>
    <mergeCell ref="O246:P246"/>
    <mergeCell ref="Q246:R246"/>
    <mergeCell ref="O247:P247"/>
    <mergeCell ref="Q247:R247"/>
    <mergeCell ref="O242:P242"/>
    <mergeCell ref="Q242:R242"/>
    <mergeCell ref="O243:P243"/>
    <mergeCell ref="Q243:R243"/>
    <mergeCell ref="O244:P244"/>
    <mergeCell ref="Q244:R244"/>
    <mergeCell ref="O239:P239"/>
    <mergeCell ref="Q239:R239"/>
    <mergeCell ref="O240:P240"/>
    <mergeCell ref="Q240:R240"/>
    <mergeCell ref="O241:P241"/>
    <mergeCell ref="Q241:R241"/>
    <mergeCell ref="O236:P236"/>
    <mergeCell ref="Q236:R236"/>
    <mergeCell ref="O237:P237"/>
    <mergeCell ref="Q237:R237"/>
    <mergeCell ref="O238:P238"/>
    <mergeCell ref="Q238:R238"/>
    <mergeCell ref="O233:P233"/>
    <mergeCell ref="Q233:R233"/>
    <mergeCell ref="O234:P234"/>
    <mergeCell ref="Q234:R234"/>
    <mergeCell ref="O235:P235"/>
    <mergeCell ref="Q235:R235"/>
    <mergeCell ref="O230:P230"/>
    <mergeCell ref="Q230:R230"/>
    <mergeCell ref="O231:P231"/>
    <mergeCell ref="Q231:R231"/>
    <mergeCell ref="O232:P232"/>
    <mergeCell ref="Q232:R232"/>
    <mergeCell ref="O227:P227"/>
    <mergeCell ref="Q227:R227"/>
    <mergeCell ref="O228:P228"/>
    <mergeCell ref="Q228:R228"/>
    <mergeCell ref="O229:P229"/>
    <mergeCell ref="Q229:R229"/>
    <mergeCell ref="O224:P224"/>
    <mergeCell ref="Q224:R224"/>
    <mergeCell ref="O225:P225"/>
    <mergeCell ref="Q225:R225"/>
    <mergeCell ref="O226:P226"/>
    <mergeCell ref="Q226:R226"/>
    <mergeCell ref="O221:P221"/>
    <mergeCell ref="Q221:R221"/>
    <mergeCell ref="O222:P222"/>
    <mergeCell ref="Q222:R222"/>
    <mergeCell ref="O223:P223"/>
    <mergeCell ref="Q223:R223"/>
    <mergeCell ref="O218:P218"/>
    <mergeCell ref="Q218:R218"/>
    <mergeCell ref="O219:P219"/>
    <mergeCell ref="Q219:R219"/>
    <mergeCell ref="O220:P220"/>
    <mergeCell ref="Q220:R220"/>
    <mergeCell ref="O215:P215"/>
    <mergeCell ref="Q215:R215"/>
    <mergeCell ref="O216:P216"/>
    <mergeCell ref="Q216:R216"/>
    <mergeCell ref="O217:P217"/>
    <mergeCell ref="Q217:R217"/>
    <mergeCell ref="O212:P212"/>
    <mergeCell ref="Q212:R212"/>
    <mergeCell ref="O213:P213"/>
    <mergeCell ref="Q213:R213"/>
    <mergeCell ref="O214:P214"/>
    <mergeCell ref="Q214:R214"/>
    <mergeCell ref="O209:P209"/>
    <mergeCell ref="Q209:R209"/>
    <mergeCell ref="O210:P210"/>
    <mergeCell ref="Q210:R210"/>
    <mergeCell ref="O211:P211"/>
    <mergeCell ref="Q211:R211"/>
    <mergeCell ref="O206:P206"/>
    <mergeCell ref="Q206:R206"/>
    <mergeCell ref="O207:P207"/>
    <mergeCell ref="Q207:R207"/>
    <mergeCell ref="O208:P208"/>
    <mergeCell ref="Q208:R208"/>
    <mergeCell ref="O203:P203"/>
    <mergeCell ref="Q203:R203"/>
    <mergeCell ref="O204:P204"/>
    <mergeCell ref="Q204:R204"/>
    <mergeCell ref="O205:P205"/>
    <mergeCell ref="Q205:R205"/>
    <mergeCell ref="O200:P200"/>
    <mergeCell ref="Q200:R200"/>
    <mergeCell ref="O201:P201"/>
    <mergeCell ref="Q201:R201"/>
    <mergeCell ref="O202:P202"/>
    <mergeCell ref="Q202:R202"/>
    <mergeCell ref="O197:P197"/>
    <mergeCell ref="Q197:R197"/>
    <mergeCell ref="O198:P198"/>
    <mergeCell ref="Q198:R198"/>
    <mergeCell ref="O199:P199"/>
    <mergeCell ref="Q199:R199"/>
    <mergeCell ref="O194:P194"/>
    <mergeCell ref="Q194:R194"/>
    <mergeCell ref="O195:P195"/>
    <mergeCell ref="Q195:R195"/>
    <mergeCell ref="O196:P196"/>
    <mergeCell ref="Q196:R196"/>
    <mergeCell ref="O191:P191"/>
    <mergeCell ref="Q191:R191"/>
    <mergeCell ref="O192:P192"/>
    <mergeCell ref="Q192:R192"/>
    <mergeCell ref="O193:P193"/>
    <mergeCell ref="Q193:R193"/>
    <mergeCell ref="O188:P188"/>
    <mergeCell ref="Q188:R188"/>
    <mergeCell ref="O189:P189"/>
    <mergeCell ref="Q189:R189"/>
    <mergeCell ref="O190:P190"/>
    <mergeCell ref="Q190:R190"/>
    <mergeCell ref="O185:P185"/>
    <mergeCell ref="Q185:R185"/>
    <mergeCell ref="O186:P186"/>
    <mergeCell ref="Q186:R186"/>
    <mergeCell ref="O187:P187"/>
    <mergeCell ref="Q187:R187"/>
    <mergeCell ref="O182:P182"/>
    <mergeCell ref="Q182:R182"/>
    <mergeCell ref="O183:P183"/>
    <mergeCell ref="Q183:R183"/>
    <mergeCell ref="O184:P184"/>
    <mergeCell ref="Q184:R184"/>
    <mergeCell ref="O179:P179"/>
    <mergeCell ref="Q179:R179"/>
    <mergeCell ref="O180:P180"/>
    <mergeCell ref="Q180:R180"/>
    <mergeCell ref="O181:P181"/>
    <mergeCell ref="Q181:R181"/>
    <mergeCell ref="O176:P176"/>
    <mergeCell ref="Q176:R176"/>
    <mergeCell ref="O177:P177"/>
    <mergeCell ref="Q177:R177"/>
    <mergeCell ref="O178:P178"/>
    <mergeCell ref="Q178:R178"/>
    <mergeCell ref="O173:P173"/>
    <mergeCell ref="Q173:R173"/>
    <mergeCell ref="O174:P174"/>
    <mergeCell ref="Q174:R174"/>
    <mergeCell ref="O175:P175"/>
    <mergeCell ref="Q175:R175"/>
    <mergeCell ref="O170:P170"/>
    <mergeCell ref="Q170:R170"/>
    <mergeCell ref="O171:P171"/>
    <mergeCell ref="Q171:R171"/>
    <mergeCell ref="O172:P172"/>
    <mergeCell ref="Q172:R172"/>
    <mergeCell ref="O167:P167"/>
    <mergeCell ref="Q167:R167"/>
    <mergeCell ref="O168:P168"/>
    <mergeCell ref="Q168:R168"/>
    <mergeCell ref="O169:P169"/>
    <mergeCell ref="Q169:R169"/>
    <mergeCell ref="O164:P164"/>
    <mergeCell ref="Q164:R164"/>
    <mergeCell ref="O165:P165"/>
    <mergeCell ref="Q165:R165"/>
    <mergeCell ref="O166:P166"/>
    <mergeCell ref="Q166:R166"/>
    <mergeCell ref="O161:P161"/>
    <mergeCell ref="Q161:R161"/>
    <mergeCell ref="O162:P162"/>
    <mergeCell ref="Q162:R162"/>
    <mergeCell ref="O163:P163"/>
    <mergeCell ref="Q163:R163"/>
    <mergeCell ref="O158:P158"/>
    <mergeCell ref="Q158:R158"/>
    <mergeCell ref="O159:P159"/>
    <mergeCell ref="Q159:R159"/>
    <mergeCell ref="O160:P160"/>
    <mergeCell ref="Q160:R160"/>
    <mergeCell ref="O155:P155"/>
    <mergeCell ref="Q155:R155"/>
    <mergeCell ref="O156:P156"/>
    <mergeCell ref="Q156:R156"/>
    <mergeCell ref="O157:P157"/>
    <mergeCell ref="Q157:R157"/>
    <mergeCell ref="O152:P152"/>
    <mergeCell ref="Q152:R152"/>
    <mergeCell ref="O153:P153"/>
    <mergeCell ref="Q153:R153"/>
    <mergeCell ref="O154:P154"/>
    <mergeCell ref="Q154:R154"/>
    <mergeCell ref="O149:P149"/>
    <mergeCell ref="Q149:R149"/>
    <mergeCell ref="O150:P150"/>
    <mergeCell ref="Q150:R150"/>
    <mergeCell ref="O151:P151"/>
    <mergeCell ref="Q151:R151"/>
    <mergeCell ref="O146:P146"/>
    <mergeCell ref="Q146:R146"/>
    <mergeCell ref="O147:P147"/>
    <mergeCell ref="Q147:R147"/>
    <mergeCell ref="O148:P148"/>
    <mergeCell ref="Q148:R148"/>
    <mergeCell ref="O143:P143"/>
    <mergeCell ref="Q143:R143"/>
    <mergeCell ref="O144:P144"/>
    <mergeCell ref="Q144:R144"/>
    <mergeCell ref="O145:P145"/>
    <mergeCell ref="Q145:R145"/>
    <mergeCell ref="O140:P140"/>
    <mergeCell ref="Q140:R140"/>
    <mergeCell ref="O141:P141"/>
    <mergeCell ref="Q141:R141"/>
    <mergeCell ref="O142:P142"/>
    <mergeCell ref="Q142:R142"/>
    <mergeCell ref="O137:P137"/>
    <mergeCell ref="Q137:R137"/>
    <mergeCell ref="O138:P138"/>
    <mergeCell ref="Q138:R138"/>
    <mergeCell ref="O139:P139"/>
    <mergeCell ref="Q139:R139"/>
    <mergeCell ref="O134:P134"/>
    <mergeCell ref="Q134:R134"/>
    <mergeCell ref="O135:P135"/>
    <mergeCell ref="Q135:R135"/>
    <mergeCell ref="O136:P136"/>
    <mergeCell ref="Q136:R136"/>
    <mergeCell ref="O131:P131"/>
    <mergeCell ref="Q131:R131"/>
    <mergeCell ref="O132:P132"/>
    <mergeCell ref="Q132:R132"/>
    <mergeCell ref="O133:P133"/>
    <mergeCell ref="Q133:R133"/>
    <mergeCell ref="O128:P128"/>
    <mergeCell ref="Q128:R128"/>
    <mergeCell ref="O129:P129"/>
    <mergeCell ref="Q129:R129"/>
    <mergeCell ref="O130:P130"/>
    <mergeCell ref="Q130:R130"/>
    <mergeCell ref="O126:P126"/>
    <mergeCell ref="Q126:R126"/>
    <mergeCell ref="O127:P127"/>
    <mergeCell ref="Q127:R127"/>
    <mergeCell ref="Q6:Q8"/>
    <mergeCell ref="R6:R8"/>
    <mergeCell ref="S6:S8"/>
    <mergeCell ref="O123:P123"/>
    <mergeCell ref="Q123:R123"/>
    <mergeCell ref="O124:P124"/>
    <mergeCell ref="Q124:R124"/>
    <mergeCell ref="A1:Y1"/>
    <mergeCell ref="O4:O5"/>
    <mergeCell ref="P4:P5"/>
    <mergeCell ref="Q4:Q5"/>
    <mergeCell ref="R4:R5"/>
    <mergeCell ref="S4:S5"/>
    <mergeCell ref="O6:O8"/>
    <mergeCell ref="P6:P8"/>
    <mergeCell ref="O125:P125"/>
    <mergeCell ref="Q125:R125"/>
  </mergeCells>
  <conditionalFormatting sqref="R261:R1048576">
    <cfRule type="containsText" dxfId="139" priority="6" operator="containsText" text="No">
      <formula>NOT(ISERROR(SEARCH("No",R261)))</formula>
    </cfRule>
    <cfRule type="containsText" dxfId="138" priority="7" operator="containsText" text="Yes">
      <formula>NOT(ISERROR(SEARCH("Yes",R261)))</formula>
    </cfRule>
  </conditionalFormatting>
  <conditionalFormatting sqref="S261:S1048576">
    <cfRule type="containsText" dxfId="137" priority="3" operator="containsText" text="Rejected">
      <formula>NOT(ISERROR(SEARCH("Rejected",S261)))</formula>
    </cfRule>
    <cfRule type="containsText" dxfId="136" priority="4" operator="containsText" text="Revisions Needed">
      <formula>NOT(ISERROR(SEARCH("Revisions Needed",S261)))</formula>
    </cfRule>
    <cfRule type="containsText" dxfId="135" priority="5" operator="containsText" text="Approved">
      <formula>NOT(ISERROR(SEARCH("Approved",S261)))</formula>
    </cfRule>
  </conditionalFormatting>
  <conditionalFormatting sqref="T3:T9">
    <cfRule type="containsText" dxfId="134" priority="1" operator="containsText" text="Revisions Needed">
      <formula>NOT(ISERROR(SEARCH("Revisions Needed",T3)))</formula>
    </cfRule>
    <cfRule type="containsText" dxfId="133" priority="2" operator="containsText" text="Approved">
      <formula>NOT(ISERROR(SEARCH("Approved",T3)))</formula>
    </cfRule>
  </conditionalFormatting>
  <dataValidations count="3">
    <dataValidation type="list" allowBlank="1" showInputMessage="1" showErrorMessage="1" sqref="C261:C1048576" xr:uid="{3D836226-828F-481F-BBB0-77105B3BBE6D}">
      <formula1>"Monthly, Yearly"</formula1>
    </dataValidation>
    <dataValidation type="list" allowBlank="1" sqref="S261:S1048576" xr:uid="{6D4A411B-3E70-424C-89BE-B01B68B182B6}">
      <formula1>"Approved,Revisions Needed, Rejected"</formula1>
    </dataValidation>
    <dataValidation type="list" allowBlank="1" showInputMessage="1" showErrorMessage="1" sqref="O261:Q1048576" xr:uid="{CD40469A-5DC0-4B75-995A-D96769F2AD06}">
      <formula1>"No, Yes"</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96380-6701-49DC-B753-0B34A721B630}">
  <sheetPr>
    <tabColor theme="3" tint="0.59999389629810485"/>
  </sheetPr>
  <dimension ref="A1:W359"/>
  <sheetViews>
    <sheetView showGridLines="0" topLeftCell="A13" zoomScale="60" zoomScaleNormal="60" workbookViewId="0">
      <selection activeCell="L39" sqref="L39"/>
    </sheetView>
  </sheetViews>
  <sheetFormatPr defaultColWidth="8.54296875" defaultRowHeight="14.5" x14ac:dyDescent="0.35"/>
  <cols>
    <col min="1" max="1" width="9" style="76" customWidth="1"/>
    <col min="2" max="3" width="12" style="14" customWidth="1"/>
    <col min="4" max="4" width="18.81640625" style="2" customWidth="1"/>
    <col min="5" max="5" width="21.453125" style="2" customWidth="1"/>
    <col min="6" max="6" width="15.54296875" style="2" customWidth="1"/>
    <col min="7" max="7" width="13.1796875" style="2" hidden="1" customWidth="1"/>
    <col min="8" max="8" width="12.453125" style="2" customWidth="1"/>
    <col min="9" max="9" width="11.81640625" style="29" customWidth="1"/>
    <col min="10" max="10" width="11.453125" style="29" customWidth="1"/>
    <col min="11" max="11" width="15.54296875" style="76" customWidth="1"/>
    <col min="12" max="12" width="12.81640625" style="76" customWidth="1"/>
    <col min="13" max="13" width="36" style="1" customWidth="1"/>
    <col min="14" max="14" width="46.1796875" style="143" customWidth="1"/>
    <col min="15" max="15" width="12.81640625" style="76" customWidth="1"/>
    <col min="16" max="16" width="10.81640625" style="76" customWidth="1"/>
    <col min="17" max="17" width="13.1796875" style="76" customWidth="1"/>
    <col min="18" max="18" width="45.26953125" style="76" customWidth="1"/>
    <col min="19" max="19" width="20.54296875" style="76" customWidth="1"/>
    <col min="20" max="20" width="76.54296875" style="236" customWidth="1"/>
    <col min="21" max="21" width="53.726562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395</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50" t="s">
        <v>2</v>
      </c>
      <c r="B3" s="550"/>
      <c r="C3" s="550"/>
      <c r="D3" s="550"/>
      <c r="E3" s="550"/>
      <c r="F3" s="550"/>
      <c r="G3" s="550"/>
      <c r="H3" s="550"/>
      <c r="I3" s="550"/>
      <c r="J3" s="550"/>
      <c r="K3" s="550"/>
      <c r="L3" s="550"/>
      <c r="M3" s="550"/>
      <c r="N3" s="550"/>
      <c r="O3" s="550"/>
      <c r="P3" s="550"/>
      <c r="Q3" s="550"/>
      <c r="R3" s="550"/>
      <c r="S3" s="550"/>
      <c r="T3" s="550"/>
      <c r="U3" s="82"/>
      <c r="V3" s="82"/>
      <c r="W3" s="82"/>
    </row>
    <row r="4" spans="1:23" s="4" customFormat="1" ht="27.75" customHeight="1" thickTop="1" thickBot="1" x14ac:dyDescent="0.45">
      <c r="A4" s="516" t="s">
        <v>3</v>
      </c>
      <c r="B4" s="516"/>
      <c r="C4" s="516"/>
      <c r="D4" s="516"/>
      <c r="E4" s="516"/>
      <c r="F4" s="547" t="s">
        <v>4</v>
      </c>
      <c r="G4" s="548"/>
      <c r="H4" s="548"/>
      <c r="I4" s="548"/>
      <c r="J4" s="548"/>
      <c r="K4" s="548"/>
      <c r="L4" s="549"/>
      <c r="M4" s="516" t="s">
        <v>5</v>
      </c>
      <c r="N4" s="516"/>
      <c r="O4" s="547" t="s">
        <v>6</v>
      </c>
      <c r="P4" s="548"/>
      <c r="Q4" s="549"/>
      <c r="R4" s="154"/>
      <c r="S4" s="547" t="s">
        <v>7</v>
      </c>
      <c r="T4" s="548"/>
      <c r="U4" s="549"/>
      <c r="V4" s="513" t="s">
        <v>396</v>
      </c>
      <c r="W4" s="515"/>
    </row>
    <row r="5" spans="1:23" ht="92.5" customHeight="1" thickTop="1" thickBot="1" x14ac:dyDescent="0.4">
      <c r="A5" s="10" t="s">
        <v>9</v>
      </c>
      <c r="B5" s="10" t="s">
        <v>10</v>
      </c>
      <c r="C5" s="10" t="s">
        <v>11</v>
      </c>
      <c r="D5" s="10" t="s">
        <v>12</v>
      </c>
      <c r="E5" s="10" t="s">
        <v>13</v>
      </c>
      <c r="F5" s="10" t="s">
        <v>14</v>
      </c>
      <c r="G5" s="10" t="s">
        <v>228</v>
      </c>
      <c r="H5" s="10" t="s">
        <v>15</v>
      </c>
      <c r="I5" s="10" t="s">
        <v>16</v>
      </c>
      <c r="J5" s="10" t="s">
        <v>17</v>
      </c>
      <c r="K5" s="10" t="s">
        <v>18</v>
      </c>
      <c r="L5" s="10" t="s">
        <v>19</v>
      </c>
      <c r="M5" s="10" t="s">
        <v>20</v>
      </c>
      <c r="N5" s="10" t="s">
        <v>21</v>
      </c>
      <c r="O5" s="10" t="s">
        <v>22</v>
      </c>
      <c r="P5" s="10" t="s">
        <v>23</v>
      </c>
      <c r="Q5" s="10" t="s">
        <v>24</v>
      </c>
      <c r="R5" s="10" t="s">
        <v>25</v>
      </c>
      <c r="S5" s="165" t="s">
        <v>26</v>
      </c>
      <c r="T5" s="18" t="s">
        <v>27</v>
      </c>
      <c r="U5" s="18" t="s">
        <v>28</v>
      </c>
      <c r="V5" s="85" t="s">
        <v>29</v>
      </c>
      <c r="W5" s="85" t="s">
        <v>30</v>
      </c>
    </row>
    <row r="6" spans="1:23" s="5" customFormat="1" ht="151.5" hidden="1" customHeight="1" x14ac:dyDescent="0.35">
      <c r="A6" s="145">
        <v>1</v>
      </c>
      <c r="B6" s="227" t="s">
        <v>361</v>
      </c>
      <c r="C6" s="144" t="s">
        <v>46</v>
      </c>
      <c r="D6" s="198" t="s">
        <v>397</v>
      </c>
      <c r="E6" s="150" t="s">
        <v>398</v>
      </c>
      <c r="F6" s="199" t="s">
        <v>49</v>
      </c>
      <c r="G6" s="92"/>
      <c r="H6" s="92" t="s">
        <v>399</v>
      </c>
      <c r="I6" s="93" t="s">
        <v>400</v>
      </c>
      <c r="J6" s="93"/>
      <c r="K6" s="92" t="s">
        <v>74</v>
      </c>
      <c r="L6" s="6"/>
      <c r="M6" s="201" t="s">
        <v>401</v>
      </c>
      <c r="N6" s="138" t="s">
        <v>402</v>
      </c>
      <c r="O6" s="543" t="s">
        <v>150</v>
      </c>
      <c r="P6" s="543" t="s">
        <v>55</v>
      </c>
      <c r="Q6" s="544" t="s">
        <v>55</v>
      </c>
      <c r="R6" s="552" t="s">
        <v>403</v>
      </c>
      <c r="S6" s="130" t="s">
        <v>201</v>
      </c>
      <c r="T6" s="231"/>
      <c r="U6" s="174"/>
      <c r="V6" s="155" t="s">
        <v>314</v>
      </c>
      <c r="W6" s="195"/>
    </row>
    <row r="7" spans="1:23" s="5" customFormat="1" ht="167.5" hidden="1" customHeight="1" x14ac:dyDescent="0.4">
      <c r="A7" s="38">
        <v>2</v>
      </c>
      <c r="B7" s="227" t="s">
        <v>361</v>
      </c>
      <c r="C7" s="144" t="s">
        <v>46</v>
      </c>
      <c r="D7" s="38" t="s">
        <v>397</v>
      </c>
      <c r="E7" s="150" t="s">
        <v>404</v>
      </c>
      <c r="F7" s="38" t="s">
        <v>49</v>
      </c>
      <c r="G7" s="197"/>
      <c r="H7" s="38" t="s">
        <v>399</v>
      </c>
      <c r="I7" s="151" t="s">
        <v>405</v>
      </c>
      <c r="J7" s="151"/>
      <c r="K7" s="38" t="s">
        <v>74</v>
      </c>
      <c r="L7" s="41"/>
      <c r="M7" s="142" t="s">
        <v>401</v>
      </c>
      <c r="N7" s="138" t="s">
        <v>402</v>
      </c>
      <c r="O7" s="543"/>
      <c r="P7" s="543"/>
      <c r="Q7" s="545"/>
      <c r="R7" s="524"/>
      <c r="S7" s="102" t="s">
        <v>201</v>
      </c>
      <c r="T7" s="174"/>
      <c r="U7" s="174"/>
      <c r="V7" s="155" t="s">
        <v>314</v>
      </c>
      <c r="W7" s="196"/>
    </row>
    <row r="8" spans="1:23" s="5" customFormat="1" ht="162" hidden="1" customHeight="1" x14ac:dyDescent="0.35">
      <c r="A8" s="117">
        <v>3</v>
      </c>
      <c r="B8" s="227" t="s">
        <v>361</v>
      </c>
      <c r="C8" s="144" t="s">
        <v>46</v>
      </c>
      <c r="D8" s="38" t="s">
        <v>397</v>
      </c>
      <c r="E8" s="150" t="s">
        <v>406</v>
      </c>
      <c r="F8" s="38" t="s">
        <v>49</v>
      </c>
      <c r="G8" s="130"/>
      <c r="H8" s="38" t="s">
        <v>399</v>
      </c>
      <c r="I8" s="25" t="s">
        <v>407</v>
      </c>
      <c r="J8" s="25"/>
      <c r="K8" s="38" t="s">
        <v>74</v>
      </c>
      <c r="L8" s="132"/>
      <c r="M8" s="142" t="s">
        <v>401</v>
      </c>
      <c r="N8" s="138" t="s">
        <v>402</v>
      </c>
      <c r="O8" s="543"/>
      <c r="P8" s="543"/>
      <c r="Q8" s="545"/>
      <c r="R8" s="524"/>
      <c r="S8" s="102" t="s">
        <v>201</v>
      </c>
      <c r="T8" s="155"/>
      <c r="U8" s="174"/>
      <c r="V8" s="155" t="s">
        <v>314</v>
      </c>
      <c r="W8" s="192"/>
    </row>
    <row r="9" spans="1:23" s="5" customFormat="1" ht="155.5" hidden="1" customHeight="1" x14ac:dyDescent="0.35">
      <c r="A9" s="8">
        <v>4</v>
      </c>
      <c r="B9" s="227" t="s">
        <v>361</v>
      </c>
      <c r="C9" s="144" t="s">
        <v>46</v>
      </c>
      <c r="D9" s="38" t="s">
        <v>397</v>
      </c>
      <c r="E9" s="150" t="s">
        <v>408</v>
      </c>
      <c r="F9" s="38" t="s">
        <v>49</v>
      </c>
      <c r="G9" s="130"/>
      <c r="H9" s="117" t="s">
        <v>88</v>
      </c>
      <c r="I9" s="26" t="s">
        <v>409</v>
      </c>
      <c r="J9" s="25"/>
      <c r="K9" s="38" t="s">
        <v>74</v>
      </c>
      <c r="L9" s="132"/>
      <c r="M9" s="142" t="s">
        <v>401</v>
      </c>
      <c r="N9" s="219" t="s">
        <v>52</v>
      </c>
      <c r="O9" s="543"/>
      <c r="P9" s="543"/>
      <c r="Q9" s="545"/>
      <c r="R9" s="524"/>
      <c r="S9" s="102" t="s">
        <v>201</v>
      </c>
      <c r="T9" s="156"/>
      <c r="U9" s="174"/>
      <c r="V9" s="155" t="s">
        <v>314</v>
      </c>
      <c r="W9" s="16"/>
    </row>
    <row r="10" spans="1:23" s="5" customFormat="1" ht="158.15" hidden="1" customHeight="1" x14ac:dyDescent="0.35">
      <c r="A10" s="8">
        <v>5</v>
      </c>
      <c r="B10" s="227" t="s">
        <v>361</v>
      </c>
      <c r="C10" s="144" t="s">
        <v>46</v>
      </c>
      <c r="D10" s="38" t="s">
        <v>397</v>
      </c>
      <c r="E10" s="150" t="s">
        <v>410</v>
      </c>
      <c r="F10" s="38" t="s">
        <v>49</v>
      </c>
      <c r="G10" s="102"/>
      <c r="H10" s="8" t="s">
        <v>71</v>
      </c>
      <c r="I10" s="26" t="s">
        <v>411</v>
      </c>
      <c r="J10" s="26"/>
      <c r="K10" s="38" t="s">
        <v>74</v>
      </c>
      <c r="L10" s="132"/>
      <c r="M10" s="142" t="s">
        <v>401</v>
      </c>
      <c r="N10" s="220" t="s">
        <v>52</v>
      </c>
      <c r="O10" s="543"/>
      <c r="P10" s="543"/>
      <c r="Q10" s="545"/>
      <c r="R10" s="524"/>
      <c r="S10" s="102"/>
      <c r="T10" s="156"/>
      <c r="U10" s="174"/>
      <c r="V10" s="155" t="s">
        <v>314</v>
      </c>
      <c r="W10" s="16"/>
    </row>
    <row r="11" spans="1:23" s="5" customFormat="1" ht="51.65" hidden="1" customHeight="1" thickTop="1" x14ac:dyDescent="0.4">
      <c r="A11" s="8">
        <v>6</v>
      </c>
      <c r="B11" s="227" t="s">
        <v>361</v>
      </c>
      <c r="C11" s="144" t="s">
        <v>46</v>
      </c>
      <c r="D11" s="38" t="s">
        <v>397</v>
      </c>
      <c r="E11" s="150" t="s">
        <v>412</v>
      </c>
      <c r="F11" s="38" t="s">
        <v>49</v>
      </c>
      <c r="G11" s="102"/>
      <c r="H11" s="8" t="s">
        <v>71</v>
      </c>
      <c r="I11" s="26" t="s">
        <v>217</v>
      </c>
      <c r="J11" s="25"/>
      <c r="K11" s="38" t="s">
        <v>74</v>
      </c>
      <c r="L11" s="132"/>
      <c r="M11" s="142" t="s">
        <v>401</v>
      </c>
      <c r="N11" s="219" t="s">
        <v>52</v>
      </c>
      <c r="O11" s="543"/>
      <c r="P11" s="543"/>
      <c r="Q11" s="545"/>
      <c r="R11" s="524"/>
      <c r="S11" s="102"/>
      <c r="T11" s="156"/>
      <c r="U11" s="174"/>
      <c r="V11" s="155" t="s">
        <v>314</v>
      </c>
      <c r="W11" s="188"/>
    </row>
    <row r="12" spans="1:23" s="5" customFormat="1" ht="161.15" customHeight="1" thickTop="1" x14ac:dyDescent="0.35">
      <c r="A12" s="8">
        <v>7</v>
      </c>
      <c r="B12" s="227" t="s">
        <v>361</v>
      </c>
      <c r="C12" s="144" t="s">
        <v>46</v>
      </c>
      <c r="D12" s="38" t="s">
        <v>397</v>
      </c>
      <c r="E12" s="150" t="s">
        <v>413</v>
      </c>
      <c r="F12" s="38" t="s">
        <v>49</v>
      </c>
      <c r="G12" s="102"/>
      <c r="H12" s="8" t="s">
        <v>71</v>
      </c>
      <c r="I12" s="26" t="s">
        <v>414</v>
      </c>
      <c r="J12" s="25"/>
      <c r="K12" s="38" t="s">
        <v>74</v>
      </c>
      <c r="L12" s="132"/>
      <c r="M12" s="142" t="s">
        <v>401</v>
      </c>
      <c r="N12" s="219" t="s">
        <v>52</v>
      </c>
      <c r="O12" s="543"/>
      <c r="P12" s="543"/>
      <c r="Q12" s="545"/>
      <c r="R12" s="524"/>
      <c r="S12" s="102" t="s">
        <v>201</v>
      </c>
      <c r="T12" s="232">
        <v>0.2</v>
      </c>
      <c r="U12" s="265"/>
      <c r="V12" s="155" t="s">
        <v>314</v>
      </c>
      <c r="W12" s="34"/>
    </row>
    <row r="13" spans="1:23" s="5" customFormat="1" ht="133.5" customHeight="1" x14ac:dyDescent="0.35">
      <c r="A13" s="8">
        <v>8</v>
      </c>
      <c r="B13" s="227" t="s">
        <v>361</v>
      </c>
      <c r="C13" s="144" t="s">
        <v>46</v>
      </c>
      <c r="D13" s="38" t="s">
        <v>397</v>
      </c>
      <c r="E13" s="150" t="s">
        <v>415</v>
      </c>
      <c r="F13" s="38" t="s">
        <v>49</v>
      </c>
      <c r="G13" s="102"/>
      <c r="H13" s="8" t="s">
        <v>71</v>
      </c>
      <c r="I13" s="26" t="s">
        <v>416</v>
      </c>
      <c r="J13" s="25"/>
      <c r="K13" s="38" t="s">
        <v>74</v>
      </c>
      <c r="L13" s="132"/>
      <c r="M13" s="142" t="s">
        <v>401</v>
      </c>
      <c r="N13" s="220" t="s">
        <v>52</v>
      </c>
      <c r="O13" s="543"/>
      <c r="P13" s="543"/>
      <c r="Q13" s="546"/>
      <c r="R13" s="518"/>
      <c r="S13" s="102" t="s">
        <v>201</v>
      </c>
      <c r="T13" s="232">
        <v>0.25</v>
      </c>
      <c r="U13" s="265"/>
      <c r="V13" s="155" t="s">
        <v>314</v>
      </c>
      <c r="W13" s="34"/>
    </row>
    <row r="14" spans="1:23" s="5" customFormat="1" ht="140.15" hidden="1" customHeight="1" x14ac:dyDescent="0.35">
      <c r="A14" s="8">
        <v>9</v>
      </c>
      <c r="B14" s="227" t="s">
        <v>361</v>
      </c>
      <c r="C14" s="144" t="s">
        <v>46</v>
      </c>
      <c r="D14" s="38" t="s">
        <v>417</v>
      </c>
      <c r="E14" s="103" t="s">
        <v>418</v>
      </c>
      <c r="F14" s="130" t="s">
        <v>49</v>
      </c>
      <c r="G14" s="8"/>
      <c r="H14" s="8" t="s">
        <v>399</v>
      </c>
      <c r="I14" s="26" t="s">
        <v>419</v>
      </c>
      <c r="J14" s="26"/>
      <c r="K14" s="38" t="s">
        <v>74</v>
      </c>
      <c r="L14" s="8"/>
      <c r="M14" s="135" t="s">
        <v>420</v>
      </c>
      <c r="N14" s="138" t="s">
        <v>402</v>
      </c>
      <c r="O14" s="543" t="s">
        <v>55</v>
      </c>
      <c r="P14" s="543" t="s">
        <v>55</v>
      </c>
      <c r="Q14" s="543" t="s">
        <v>55</v>
      </c>
      <c r="R14" s="543" t="s">
        <v>52</v>
      </c>
      <c r="S14" s="102"/>
      <c r="T14" s="233"/>
      <c r="U14" s="174"/>
      <c r="V14" s="155" t="s">
        <v>314</v>
      </c>
      <c r="W14" s="34"/>
    </row>
    <row r="15" spans="1:23" s="5" customFormat="1" ht="133.5" hidden="1" customHeight="1" x14ac:dyDescent="0.35">
      <c r="A15" s="8">
        <v>10</v>
      </c>
      <c r="B15" s="227" t="s">
        <v>361</v>
      </c>
      <c r="C15" s="144" t="s">
        <v>46</v>
      </c>
      <c r="D15" s="38" t="s">
        <v>417</v>
      </c>
      <c r="E15" s="103" t="s">
        <v>421</v>
      </c>
      <c r="F15" s="130" t="s">
        <v>49</v>
      </c>
      <c r="G15" s="8"/>
      <c r="H15" s="8" t="s">
        <v>399</v>
      </c>
      <c r="I15" s="26" t="s">
        <v>422</v>
      </c>
      <c r="J15" s="26"/>
      <c r="K15" s="38" t="s">
        <v>74</v>
      </c>
      <c r="L15" s="8"/>
      <c r="M15" s="135" t="s">
        <v>420</v>
      </c>
      <c r="N15" s="138" t="s">
        <v>402</v>
      </c>
      <c r="O15" s="543"/>
      <c r="P15" s="543"/>
      <c r="Q15" s="543"/>
      <c r="R15" s="543"/>
      <c r="S15" s="102"/>
      <c r="T15" s="233"/>
      <c r="U15" s="174"/>
      <c r="V15" s="155" t="s">
        <v>314</v>
      </c>
      <c r="W15" s="34"/>
    </row>
    <row r="16" spans="1:23" s="5" customFormat="1" ht="144.65" hidden="1" customHeight="1" x14ac:dyDescent="0.35">
      <c r="A16" s="8">
        <v>11</v>
      </c>
      <c r="B16" s="227" t="s">
        <v>361</v>
      </c>
      <c r="C16" s="144" t="s">
        <v>46</v>
      </c>
      <c r="D16" s="38" t="s">
        <v>417</v>
      </c>
      <c r="E16" s="103" t="s">
        <v>423</v>
      </c>
      <c r="F16" s="130" t="s">
        <v>49</v>
      </c>
      <c r="G16" s="8"/>
      <c r="H16" s="8" t="s">
        <v>399</v>
      </c>
      <c r="I16" s="26" t="s">
        <v>424</v>
      </c>
      <c r="J16" s="26"/>
      <c r="K16" s="38" t="s">
        <v>74</v>
      </c>
      <c r="L16" s="8"/>
      <c r="M16" s="135" t="s">
        <v>425</v>
      </c>
      <c r="N16" s="138" t="s">
        <v>402</v>
      </c>
      <c r="O16" s="543"/>
      <c r="P16" s="543"/>
      <c r="Q16" s="543"/>
      <c r="R16" s="543"/>
      <c r="S16" s="102"/>
      <c r="T16" s="233"/>
      <c r="U16" s="174"/>
      <c r="V16" s="155" t="s">
        <v>314</v>
      </c>
      <c r="W16" s="34"/>
    </row>
    <row r="17" spans="1:23" s="5" customFormat="1" ht="115.5" hidden="1" customHeight="1" x14ac:dyDescent="0.35">
      <c r="A17" s="8">
        <v>12</v>
      </c>
      <c r="B17" s="227" t="s">
        <v>361</v>
      </c>
      <c r="C17" s="144" t="s">
        <v>46</v>
      </c>
      <c r="D17" s="38" t="s">
        <v>417</v>
      </c>
      <c r="E17" s="103" t="s">
        <v>426</v>
      </c>
      <c r="F17" s="130" t="s">
        <v>49</v>
      </c>
      <c r="G17" s="8"/>
      <c r="H17" s="8" t="s">
        <v>399</v>
      </c>
      <c r="I17" s="26" t="s">
        <v>424</v>
      </c>
      <c r="J17" s="26"/>
      <c r="K17" s="38" t="s">
        <v>74</v>
      </c>
      <c r="L17" s="8"/>
      <c r="M17" s="135" t="s">
        <v>425</v>
      </c>
      <c r="N17" s="138" t="s">
        <v>402</v>
      </c>
      <c r="O17" s="543"/>
      <c r="P17" s="543"/>
      <c r="Q17" s="543"/>
      <c r="R17" s="543"/>
      <c r="S17" s="102"/>
      <c r="T17" s="233"/>
      <c r="U17" s="174"/>
      <c r="V17" s="155" t="s">
        <v>314</v>
      </c>
      <c r="W17" s="34"/>
    </row>
    <row r="18" spans="1:23" s="3" customFormat="1" ht="116.15" hidden="1" customHeight="1" x14ac:dyDescent="0.35">
      <c r="A18" s="8">
        <v>13</v>
      </c>
      <c r="B18" s="227" t="s">
        <v>361</v>
      </c>
      <c r="C18" s="144" t="s">
        <v>46</v>
      </c>
      <c r="D18" s="38" t="s">
        <v>417</v>
      </c>
      <c r="E18" s="103" t="s">
        <v>427</v>
      </c>
      <c r="F18" s="130" t="s">
        <v>49</v>
      </c>
      <c r="G18" s="8"/>
      <c r="H18" s="8" t="s">
        <v>399</v>
      </c>
      <c r="I18" s="26" t="s">
        <v>428</v>
      </c>
      <c r="J18" s="26"/>
      <c r="K18" s="38" t="s">
        <v>74</v>
      </c>
      <c r="L18" s="8"/>
      <c r="M18" s="135" t="s">
        <v>425</v>
      </c>
      <c r="N18" s="138" t="s">
        <v>402</v>
      </c>
      <c r="O18" s="543"/>
      <c r="P18" s="543"/>
      <c r="Q18" s="543"/>
      <c r="R18" s="543"/>
      <c r="S18" s="102"/>
      <c r="T18" s="233"/>
      <c r="U18" s="174"/>
      <c r="V18" s="155" t="s">
        <v>314</v>
      </c>
      <c r="W18" s="34"/>
    </row>
    <row r="19" spans="1:23" s="3" customFormat="1" ht="133.5" hidden="1" customHeight="1" x14ac:dyDescent="0.35">
      <c r="A19" s="8">
        <v>14</v>
      </c>
      <c r="B19" s="227" t="s">
        <v>361</v>
      </c>
      <c r="C19" s="144" t="s">
        <v>46</v>
      </c>
      <c r="D19" s="38" t="s">
        <v>417</v>
      </c>
      <c r="E19" s="103" t="s">
        <v>429</v>
      </c>
      <c r="F19" s="130" t="s">
        <v>49</v>
      </c>
      <c r="G19" s="8"/>
      <c r="H19" s="8" t="s">
        <v>399</v>
      </c>
      <c r="I19" s="26" t="s">
        <v>430</v>
      </c>
      <c r="J19" s="26"/>
      <c r="K19" s="38" t="s">
        <v>74</v>
      </c>
      <c r="L19" s="8"/>
      <c r="M19" s="135" t="s">
        <v>420</v>
      </c>
      <c r="N19" s="138" t="s">
        <v>402</v>
      </c>
      <c r="O19" s="543"/>
      <c r="P19" s="543"/>
      <c r="Q19" s="543"/>
      <c r="R19" s="543"/>
      <c r="S19" s="102"/>
      <c r="T19" s="233"/>
      <c r="U19" s="174"/>
      <c r="V19" s="155" t="s">
        <v>314</v>
      </c>
      <c r="W19" s="34"/>
    </row>
    <row r="20" spans="1:23" s="3" customFormat="1" ht="109" hidden="1" customHeight="1" x14ac:dyDescent="0.35">
      <c r="A20" s="8">
        <v>15</v>
      </c>
      <c r="B20" s="227" t="s">
        <v>361</v>
      </c>
      <c r="C20" s="144" t="s">
        <v>46</v>
      </c>
      <c r="D20" s="38" t="s">
        <v>417</v>
      </c>
      <c r="E20" s="103" t="s">
        <v>431</v>
      </c>
      <c r="F20" s="130" t="s">
        <v>49</v>
      </c>
      <c r="G20" s="8"/>
      <c r="H20" s="8" t="s">
        <v>71</v>
      </c>
      <c r="I20" s="26" t="s">
        <v>432</v>
      </c>
      <c r="J20" s="27"/>
      <c r="K20" s="38" t="s">
        <v>74</v>
      </c>
      <c r="L20" s="8"/>
      <c r="M20" s="135" t="s">
        <v>425</v>
      </c>
      <c r="N20" s="138" t="s">
        <v>52</v>
      </c>
      <c r="O20" s="543"/>
      <c r="P20" s="543"/>
      <c r="Q20" s="543"/>
      <c r="R20" s="543"/>
      <c r="S20" s="102"/>
      <c r="T20" s="233"/>
      <c r="U20" s="174"/>
      <c r="V20" s="155" t="s">
        <v>314</v>
      </c>
      <c r="W20" s="34"/>
    </row>
    <row r="21" spans="1:23" s="3" customFormat="1" ht="112.5" hidden="1" customHeight="1" x14ac:dyDescent="0.35">
      <c r="A21" s="8">
        <v>16</v>
      </c>
      <c r="B21" s="227" t="s">
        <v>361</v>
      </c>
      <c r="C21" s="144" t="s">
        <v>46</v>
      </c>
      <c r="D21" s="38" t="s">
        <v>417</v>
      </c>
      <c r="E21" s="103" t="s">
        <v>433</v>
      </c>
      <c r="F21" s="130" t="s">
        <v>49</v>
      </c>
      <c r="G21" s="8"/>
      <c r="H21" s="8" t="s">
        <v>71</v>
      </c>
      <c r="I21" s="26" t="s">
        <v>422</v>
      </c>
      <c r="J21" s="26"/>
      <c r="K21" s="38" t="s">
        <v>74</v>
      </c>
      <c r="L21" s="8"/>
      <c r="M21" s="135" t="s">
        <v>420</v>
      </c>
      <c r="N21" s="138" t="s">
        <v>402</v>
      </c>
      <c r="O21" s="543"/>
      <c r="P21" s="543"/>
      <c r="Q21" s="543"/>
      <c r="R21" s="543"/>
      <c r="S21" s="102"/>
      <c r="T21" s="233"/>
      <c r="U21" s="174"/>
      <c r="V21" s="155" t="s">
        <v>314</v>
      </c>
      <c r="W21" s="34"/>
    </row>
    <row r="22" spans="1:23" s="3" customFormat="1" ht="79.5" hidden="1" customHeight="1" x14ac:dyDescent="0.35">
      <c r="A22" s="8">
        <v>17</v>
      </c>
      <c r="B22" s="227" t="s">
        <v>361</v>
      </c>
      <c r="C22" s="144" t="s">
        <v>46</v>
      </c>
      <c r="D22" s="136" t="s">
        <v>434</v>
      </c>
      <c r="E22" s="202" t="s">
        <v>435</v>
      </c>
      <c r="F22" s="130" t="s">
        <v>49</v>
      </c>
      <c r="G22" s="8"/>
      <c r="H22" s="8" t="s">
        <v>399</v>
      </c>
      <c r="I22" s="26" t="s">
        <v>436</v>
      </c>
      <c r="J22" s="26"/>
      <c r="K22" s="8" t="s">
        <v>53</v>
      </c>
      <c r="L22" s="8">
        <v>3</v>
      </c>
      <c r="M22" s="9" t="s">
        <v>437</v>
      </c>
      <c r="N22" s="138" t="s">
        <v>438</v>
      </c>
      <c r="O22" s="543" t="s">
        <v>150</v>
      </c>
      <c r="P22" s="543" t="s">
        <v>150</v>
      </c>
      <c r="Q22" s="543" t="s">
        <v>150</v>
      </c>
      <c r="R22" s="551" t="s">
        <v>439</v>
      </c>
      <c r="S22" s="102"/>
      <c r="T22" s="233"/>
      <c r="U22" s="174"/>
      <c r="V22" s="155" t="s">
        <v>325</v>
      </c>
      <c r="W22" s="34"/>
    </row>
    <row r="23" spans="1:23" s="3" customFormat="1" ht="79.5" hidden="1" customHeight="1" x14ac:dyDescent="0.35">
      <c r="A23" s="8">
        <v>18</v>
      </c>
      <c r="B23" s="227" t="s">
        <v>361</v>
      </c>
      <c r="C23" s="144" t="s">
        <v>67</v>
      </c>
      <c r="D23" s="136" t="s">
        <v>434</v>
      </c>
      <c r="E23" s="150" t="s">
        <v>440</v>
      </c>
      <c r="F23" s="130" t="s">
        <v>49</v>
      </c>
      <c r="G23" s="8"/>
      <c r="H23" s="8" t="s">
        <v>71</v>
      </c>
      <c r="I23" s="26" t="s">
        <v>441</v>
      </c>
      <c r="J23" s="203"/>
      <c r="K23" s="8" t="s">
        <v>74</v>
      </c>
      <c r="L23" s="8"/>
      <c r="M23" s="9" t="s">
        <v>437</v>
      </c>
      <c r="N23" s="138" t="s">
        <v>442</v>
      </c>
      <c r="O23" s="543"/>
      <c r="P23" s="543"/>
      <c r="Q23" s="543"/>
      <c r="R23" s="551"/>
      <c r="S23" s="102"/>
      <c r="T23" s="233"/>
      <c r="U23" s="174"/>
      <c r="V23" s="155" t="s">
        <v>325</v>
      </c>
      <c r="W23" s="34"/>
    </row>
    <row r="24" spans="1:23" s="3" customFormat="1" ht="110.5" hidden="1" customHeight="1" x14ac:dyDescent="0.35">
      <c r="A24" s="8">
        <v>19</v>
      </c>
      <c r="B24" s="227" t="s">
        <v>361</v>
      </c>
      <c r="C24" s="144" t="s">
        <v>67</v>
      </c>
      <c r="D24" s="136" t="s">
        <v>434</v>
      </c>
      <c r="E24" s="150" t="s">
        <v>443</v>
      </c>
      <c r="F24" s="130" t="s">
        <v>49</v>
      </c>
      <c r="G24" s="8"/>
      <c r="H24" s="8" t="s">
        <v>71</v>
      </c>
      <c r="I24" s="26" t="s">
        <v>444</v>
      </c>
      <c r="J24" s="26"/>
      <c r="K24" s="8" t="s">
        <v>74</v>
      </c>
      <c r="L24" s="8"/>
      <c r="M24" s="9" t="s">
        <v>445</v>
      </c>
      <c r="N24" s="138" t="s">
        <v>446</v>
      </c>
      <c r="O24" s="543"/>
      <c r="P24" s="543"/>
      <c r="Q24" s="543"/>
      <c r="R24" s="551"/>
      <c r="S24" s="102"/>
      <c r="T24" s="233"/>
      <c r="U24" s="174"/>
      <c r="V24" s="155" t="s">
        <v>325</v>
      </c>
      <c r="W24" s="34"/>
    </row>
    <row r="25" spans="1:23" s="3" customFormat="1" ht="127" hidden="1" customHeight="1" x14ac:dyDescent="0.35">
      <c r="A25" s="8">
        <v>20</v>
      </c>
      <c r="B25" s="227" t="s">
        <v>361</v>
      </c>
      <c r="C25" s="144" t="s">
        <v>67</v>
      </c>
      <c r="D25" s="136" t="s">
        <v>434</v>
      </c>
      <c r="E25" s="150" t="s">
        <v>447</v>
      </c>
      <c r="F25" s="130" t="s">
        <v>49</v>
      </c>
      <c r="G25" s="8"/>
      <c r="H25" s="8" t="s">
        <v>71</v>
      </c>
      <c r="I25" s="26" t="s">
        <v>448</v>
      </c>
      <c r="J25" s="26"/>
      <c r="K25" s="8" t="s">
        <v>74</v>
      </c>
      <c r="L25" s="8"/>
      <c r="M25" s="9" t="s">
        <v>449</v>
      </c>
      <c r="N25" s="138" t="s">
        <v>450</v>
      </c>
      <c r="O25" s="543"/>
      <c r="P25" s="543"/>
      <c r="Q25" s="543"/>
      <c r="R25" s="551"/>
      <c r="S25" s="102"/>
      <c r="T25" s="233"/>
      <c r="U25" s="174"/>
      <c r="V25" s="155" t="s">
        <v>325</v>
      </c>
      <c r="W25" s="34"/>
    </row>
    <row r="26" spans="1:23" s="3" customFormat="1" ht="125.5" hidden="1" customHeight="1" x14ac:dyDescent="0.35">
      <c r="A26" s="8">
        <v>21</v>
      </c>
      <c r="B26" s="227" t="s">
        <v>361</v>
      </c>
      <c r="C26" s="144" t="s">
        <v>67</v>
      </c>
      <c r="D26" s="136" t="s">
        <v>434</v>
      </c>
      <c r="E26" s="150" t="s">
        <v>451</v>
      </c>
      <c r="F26" s="130" t="s">
        <v>49</v>
      </c>
      <c r="G26" s="8"/>
      <c r="H26" s="8" t="s">
        <v>71</v>
      </c>
      <c r="I26" s="26" t="s">
        <v>452</v>
      </c>
      <c r="J26" s="26"/>
      <c r="K26" s="8" t="s">
        <v>74</v>
      </c>
      <c r="L26" s="8"/>
      <c r="M26" s="9" t="s">
        <v>449</v>
      </c>
      <c r="N26" s="138" t="s">
        <v>453</v>
      </c>
      <c r="O26" s="543"/>
      <c r="P26" s="543"/>
      <c r="Q26" s="543"/>
      <c r="R26" s="551"/>
      <c r="S26" s="102"/>
      <c r="T26" s="233"/>
      <c r="U26" s="174"/>
      <c r="V26" s="155" t="s">
        <v>325</v>
      </c>
      <c r="W26" s="34"/>
    </row>
    <row r="27" spans="1:23" ht="128" hidden="1" x14ac:dyDescent="0.4">
      <c r="A27" s="8">
        <v>22</v>
      </c>
      <c r="B27" s="227" t="s">
        <v>361</v>
      </c>
      <c r="C27" s="144" t="s">
        <v>67</v>
      </c>
      <c r="D27" s="190" t="s">
        <v>454</v>
      </c>
      <c r="E27" s="103" t="s">
        <v>455</v>
      </c>
      <c r="F27" s="215" t="s">
        <v>456</v>
      </c>
      <c r="G27" s="204"/>
      <c r="H27" s="80" t="s">
        <v>457</v>
      </c>
      <c r="I27" s="217" t="s">
        <v>458</v>
      </c>
      <c r="J27" s="205"/>
      <c r="K27" s="80" t="s">
        <v>53</v>
      </c>
      <c r="L27" s="80">
        <v>3</v>
      </c>
      <c r="M27" s="206" t="s">
        <v>459</v>
      </c>
      <c r="N27" s="207" t="s">
        <v>460</v>
      </c>
      <c r="O27" s="543" t="s">
        <v>55</v>
      </c>
      <c r="P27" s="543" t="s">
        <v>55</v>
      </c>
      <c r="Q27" s="543" t="s">
        <v>55</v>
      </c>
      <c r="R27" s="543" t="s">
        <v>52</v>
      </c>
      <c r="S27" s="102"/>
      <c r="T27" s="234"/>
      <c r="U27" s="174"/>
      <c r="V27" s="155" t="s">
        <v>325</v>
      </c>
      <c r="W27" s="210"/>
    </row>
    <row r="28" spans="1:23" ht="128" hidden="1" x14ac:dyDescent="0.4">
      <c r="A28" s="8">
        <v>23</v>
      </c>
      <c r="B28" s="227" t="s">
        <v>361</v>
      </c>
      <c r="C28" s="144" t="s">
        <v>67</v>
      </c>
      <c r="D28" s="190" t="s">
        <v>454</v>
      </c>
      <c r="E28" s="103" t="s">
        <v>461</v>
      </c>
      <c r="F28" s="215" t="s">
        <v>456</v>
      </c>
      <c r="G28" s="33"/>
      <c r="H28" s="46" t="s">
        <v>71</v>
      </c>
      <c r="I28" s="216" t="s">
        <v>147</v>
      </c>
      <c r="J28" s="212"/>
      <c r="K28" s="80" t="s">
        <v>53</v>
      </c>
      <c r="L28" s="46">
        <v>3</v>
      </c>
      <c r="M28" s="206" t="s">
        <v>459</v>
      </c>
      <c r="N28" s="222" t="s">
        <v>462</v>
      </c>
      <c r="O28" s="543"/>
      <c r="P28" s="543"/>
      <c r="Q28" s="543"/>
      <c r="R28" s="543"/>
      <c r="T28" s="235"/>
      <c r="U28" s="235"/>
      <c r="V28" s="155" t="s">
        <v>325</v>
      </c>
      <c r="W28" s="34"/>
    </row>
    <row r="29" spans="1:23" ht="128" x14ac:dyDescent="0.4">
      <c r="A29" s="8">
        <v>24</v>
      </c>
      <c r="B29" s="227" t="s">
        <v>361</v>
      </c>
      <c r="C29" s="144" t="s">
        <v>67</v>
      </c>
      <c r="D29" s="190" t="s">
        <v>454</v>
      </c>
      <c r="E29" s="103" t="s">
        <v>463</v>
      </c>
      <c r="F29" s="215" t="s">
        <v>456</v>
      </c>
      <c r="G29" s="33"/>
      <c r="H29" s="46" t="s">
        <v>88</v>
      </c>
      <c r="I29" s="216" t="s">
        <v>147</v>
      </c>
      <c r="J29" s="212"/>
      <c r="K29" s="80" t="s">
        <v>53</v>
      </c>
      <c r="L29" s="46">
        <v>3</v>
      </c>
      <c r="M29" s="206" t="s">
        <v>459</v>
      </c>
      <c r="N29" s="222" t="s">
        <v>464</v>
      </c>
      <c r="O29" s="543"/>
      <c r="P29" s="543"/>
      <c r="Q29" s="543"/>
      <c r="R29" s="543"/>
      <c r="S29" s="76" t="s">
        <v>201</v>
      </c>
      <c r="T29" s="235" t="s">
        <v>465</v>
      </c>
      <c r="U29" s="235"/>
      <c r="V29" s="155" t="s">
        <v>325</v>
      </c>
      <c r="W29" s="34"/>
    </row>
    <row r="30" spans="1:23" ht="188.5" hidden="1" customHeight="1" x14ac:dyDescent="0.35">
      <c r="A30" s="46">
        <v>25</v>
      </c>
      <c r="B30" s="227" t="s">
        <v>361</v>
      </c>
      <c r="C30" s="144" t="s">
        <v>67</v>
      </c>
      <c r="D30" s="46" t="s">
        <v>466</v>
      </c>
      <c r="E30" s="46" t="s">
        <v>467</v>
      </c>
      <c r="F30" s="46" t="s">
        <v>49</v>
      </c>
      <c r="G30" s="33"/>
      <c r="H30" s="46" t="s">
        <v>71</v>
      </c>
      <c r="I30" s="218" t="s">
        <v>154</v>
      </c>
      <c r="J30" s="212"/>
      <c r="K30" s="46" t="s">
        <v>74</v>
      </c>
      <c r="L30" s="46"/>
      <c r="M30" s="200" t="s">
        <v>468</v>
      </c>
      <c r="N30" s="200" t="s">
        <v>469</v>
      </c>
      <c r="O30" s="38" t="s">
        <v>55</v>
      </c>
      <c r="P30" s="38" t="s">
        <v>55</v>
      </c>
      <c r="Q30" s="38" t="s">
        <v>55</v>
      </c>
      <c r="R30" s="38" t="s">
        <v>52</v>
      </c>
      <c r="T30" s="235"/>
      <c r="U30" s="235"/>
      <c r="V30" s="155" t="s">
        <v>325</v>
      </c>
      <c r="W30" s="34"/>
    </row>
    <row r="31" spans="1:23" ht="16" x14ac:dyDescent="0.35">
      <c r="A31" s="46"/>
      <c r="B31" s="211"/>
      <c r="C31" s="211"/>
      <c r="D31" s="33"/>
      <c r="E31" s="33"/>
      <c r="F31" s="33"/>
      <c r="G31" s="33"/>
      <c r="H31" s="33"/>
      <c r="I31" s="212"/>
      <c r="J31" s="212"/>
      <c r="K31" s="46"/>
      <c r="L31" s="46"/>
      <c r="M31" s="213"/>
      <c r="N31" s="200"/>
      <c r="O31" s="38"/>
      <c r="P31" s="38"/>
      <c r="Q31" s="38"/>
      <c r="R31" s="38"/>
      <c r="S31" s="46"/>
      <c r="T31" s="235"/>
      <c r="U31" s="235"/>
      <c r="V31" s="214"/>
      <c r="W31" s="34"/>
    </row>
    <row r="32" spans="1:23" ht="16" x14ac:dyDescent="0.35">
      <c r="A32" s="46"/>
      <c r="B32" s="211"/>
      <c r="C32" s="211"/>
      <c r="D32" s="33"/>
      <c r="E32" s="33"/>
      <c r="F32" s="33"/>
      <c r="G32" s="33"/>
      <c r="H32" s="33"/>
      <c r="I32" s="212"/>
      <c r="J32" s="212"/>
      <c r="K32" s="46"/>
      <c r="L32" s="46"/>
      <c r="M32" s="213"/>
      <c r="N32" s="200"/>
      <c r="O32" s="38"/>
      <c r="P32" s="38"/>
      <c r="Q32" s="38"/>
      <c r="R32" s="38"/>
      <c r="S32" s="46"/>
      <c r="T32" s="235"/>
      <c r="U32" s="235"/>
      <c r="V32" s="214"/>
      <c r="W32" s="34"/>
    </row>
    <row r="33" spans="1:23" ht="16" x14ac:dyDescent="0.35">
      <c r="A33" s="46"/>
      <c r="B33" s="211"/>
      <c r="C33" s="211"/>
      <c r="D33" s="33"/>
      <c r="E33" s="33"/>
      <c r="F33" s="33"/>
      <c r="G33" s="33"/>
      <c r="H33" s="33"/>
      <c r="I33" s="212"/>
      <c r="J33" s="212"/>
      <c r="K33" s="46"/>
      <c r="L33" s="46"/>
      <c r="M33" s="213"/>
      <c r="N33" s="200"/>
      <c r="O33" s="38"/>
      <c r="P33" s="38"/>
      <c r="Q33" s="38"/>
      <c r="R33" s="38"/>
      <c r="S33" s="46"/>
      <c r="T33" s="235"/>
      <c r="U33" s="235"/>
      <c r="V33" s="214"/>
      <c r="W33" s="34"/>
    </row>
    <row r="34" spans="1:23" ht="16" x14ac:dyDescent="0.35">
      <c r="A34" s="46"/>
      <c r="B34" s="211"/>
      <c r="C34" s="211"/>
      <c r="D34" s="33"/>
      <c r="E34" s="33"/>
      <c r="F34" s="33"/>
      <c r="G34" s="33"/>
      <c r="H34" s="33"/>
      <c r="I34" s="212"/>
      <c r="J34" s="212"/>
      <c r="K34" s="46"/>
      <c r="L34" s="46"/>
      <c r="M34" s="213"/>
      <c r="N34" s="200"/>
      <c r="O34" s="38"/>
      <c r="P34" s="38"/>
      <c r="Q34" s="38"/>
      <c r="R34" s="38"/>
      <c r="S34" s="46"/>
      <c r="T34" s="235"/>
      <c r="U34" s="235"/>
      <c r="V34" s="214"/>
      <c r="W34" s="34"/>
    </row>
    <row r="35" spans="1:23" ht="16" x14ac:dyDescent="0.35">
      <c r="A35" s="46"/>
      <c r="B35" s="211"/>
      <c r="C35" s="211"/>
      <c r="D35" s="33"/>
      <c r="E35" s="33"/>
      <c r="F35" s="33"/>
      <c r="G35" s="33"/>
      <c r="H35" s="33"/>
      <c r="I35" s="212"/>
      <c r="J35" s="212"/>
      <c r="K35" s="46"/>
      <c r="L35" s="46"/>
      <c r="M35" s="213"/>
      <c r="N35" s="200"/>
      <c r="O35" s="38"/>
      <c r="P35" s="38"/>
      <c r="Q35" s="38"/>
      <c r="R35" s="38"/>
      <c r="S35" s="46"/>
      <c r="T35" s="235"/>
      <c r="U35" s="235"/>
      <c r="V35" s="214"/>
      <c r="W35" s="34"/>
    </row>
    <row r="36" spans="1:23" ht="16" x14ac:dyDescent="0.35">
      <c r="A36" s="46"/>
      <c r="B36" s="211"/>
      <c r="C36" s="211"/>
      <c r="D36" s="33"/>
      <c r="E36" s="33"/>
      <c r="F36" s="33"/>
      <c r="G36" s="33"/>
      <c r="H36" s="33"/>
      <c r="I36" s="212"/>
      <c r="J36" s="212"/>
      <c r="K36" s="46"/>
      <c r="L36" s="46"/>
      <c r="M36" s="213"/>
      <c r="N36" s="200"/>
      <c r="O36" s="38"/>
      <c r="P36" s="38"/>
      <c r="Q36" s="38"/>
      <c r="R36" s="38"/>
      <c r="S36" s="46"/>
      <c r="T36" s="235"/>
      <c r="U36" s="235"/>
      <c r="V36" s="214"/>
      <c r="W36" s="34"/>
    </row>
    <row r="37" spans="1:23" ht="16" x14ac:dyDescent="0.35">
      <c r="A37" s="46"/>
      <c r="B37" s="211"/>
      <c r="C37" s="211"/>
      <c r="D37" s="33"/>
      <c r="E37" s="33"/>
      <c r="F37" s="33"/>
      <c r="G37" s="33"/>
      <c r="H37" s="33"/>
      <c r="I37" s="212"/>
      <c r="J37" s="212"/>
      <c r="K37" s="46"/>
      <c r="L37" s="46"/>
      <c r="M37" s="213"/>
      <c r="N37" s="200"/>
      <c r="O37" s="38"/>
      <c r="P37" s="38"/>
      <c r="Q37" s="38"/>
      <c r="R37" s="38"/>
      <c r="S37" s="46"/>
      <c r="T37" s="235"/>
      <c r="U37" s="235"/>
      <c r="V37" s="214"/>
      <c r="W37" s="34"/>
    </row>
    <row r="38" spans="1:23" ht="16" x14ac:dyDescent="0.35">
      <c r="A38" s="46"/>
      <c r="B38" s="211"/>
      <c r="C38" s="211"/>
      <c r="D38" s="33"/>
      <c r="E38" s="33"/>
      <c r="F38" s="33"/>
      <c r="G38" s="33"/>
      <c r="H38" s="33"/>
      <c r="I38" s="212"/>
      <c r="J38" s="212"/>
      <c r="K38" s="46"/>
      <c r="L38" s="46"/>
      <c r="M38" s="213"/>
      <c r="N38" s="200"/>
      <c r="O38" s="38"/>
      <c r="P38" s="38"/>
      <c r="Q38" s="38"/>
      <c r="R38" s="38"/>
      <c r="S38" s="46"/>
      <c r="T38" s="235"/>
      <c r="U38" s="235"/>
      <c r="V38" s="214"/>
      <c r="W38" s="34"/>
    </row>
    <row r="39" spans="1:23" ht="16" x14ac:dyDescent="0.35">
      <c r="A39" s="46"/>
      <c r="B39" s="211"/>
      <c r="C39" s="211"/>
      <c r="D39" s="33"/>
      <c r="E39" s="33"/>
      <c r="F39" s="33"/>
      <c r="G39" s="33"/>
      <c r="H39" s="33"/>
      <c r="I39" s="212"/>
      <c r="J39" s="212"/>
      <c r="K39" s="46"/>
      <c r="L39" s="46"/>
      <c r="M39" s="213"/>
      <c r="N39" s="200"/>
      <c r="O39" s="38"/>
      <c r="P39" s="38"/>
      <c r="Q39" s="38"/>
      <c r="R39" s="38"/>
      <c r="S39" s="46"/>
      <c r="T39" s="235"/>
      <c r="U39" s="235"/>
      <c r="V39" s="214"/>
      <c r="W39" s="34"/>
    </row>
    <row r="40" spans="1:23" ht="16" x14ac:dyDescent="0.35">
      <c r="A40" s="46"/>
      <c r="B40" s="211"/>
      <c r="C40" s="211"/>
      <c r="D40" s="33"/>
      <c r="E40" s="33"/>
      <c r="F40" s="33"/>
      <c r="G40" s="33"/>
      <c r="H40" s="33"/>
      <c r="I40" s="212"/>
      <c r="J40" s="212"/>
      <c r="K40" s="46"/>
      <c r="L40" s="46"/>
      <c r="M40" s="213"/>
      <c r="N40" s="200"/>
      <c r="O40" s="38"/>
      <c r="P40" s="38"/>
      <c r="Q40" s="38"/>
      <c r="R40" s="38"/>
      <c r="S40" s="46"/>
      <c r="T40" s="235"/>
      <c r="U40" s="235"/>
      <c r="V40" s="214"/>
      <c r="W40" s="34"/>
    </row>
    <row r="41" spans="1:23" ht="16" x14ac:dyDescent="0.35">
      <c r="A41" s="46"/>
      <c r="B41" s="211"/>
      <c r="C41" s="211"/>
      <c r="D41" s="33"/>
      <c r="E41" s="33"/>
      <c r="F41" s="33"/>
      <c r="G41" s="33"/>
      <c r="H41" s="33"/>
      <c r="I41" s="212"/>
      <c r="J41" s="212"/>
      <c r="K41" s="46"/>
      <c r="L41" s="46"/>
      <c r="M41" s="213"/>
      <c r="N41" s="200"/>
      <c r="O41" s="38"/>
      <c r="P41" s="38"/>
      <c r="Q41" s="38"/>
      <c r="R41" s="38"/>
      <c r="S41" s="46"/>
      <c r="T41" s="235"/>
      <c r="U41" s="235"/>
      <c r="V41" s="214"/>
      <c r="W41" s="34"/>
    </row>
    <row r="42" spans="1:23" ht="16" x14ac:dyDescent="0.35">
      <c r="A42" s="46"/>
      <c r="B42" s="211"/>
      <c r="C42" s="211"/>
      <c r="D42" s="33"/>
      <c r="E42" s="33"/>
      <c r="F42" s="33"/>
      <c r="G42" s="33"/>
      <c r="H42" s="33"/>
      <c r="I42" s="212"/>
      <c r="J42" s="212"/>
      <c r="K42" s="46"/>
      <c r="L42" s="46"/>
      <c r="M42" s="213"/>
      <c r="N42" s="200"/>
      <c r="O42" s="38"/>
      <c r="P42" s="38"/>
      <c r="Q42" s="38"/>
      <c r="R42" s="38"/>
      <c r="S42" s="46"/>
      <c r="T42" s="235"/>
      <c r="U42" s="235"/>
      <c r="V42" s="214"/>
      <c r="W42" s="34"/>
    </row>
    <row r="43" spans="1:23" ht="16" x14ac:dyDescent="0.35">
      <c r="A43" s="46"/>
      <c r="B43" s="211"/>
      <c r="C43" s="211"/>
      <c r="D43" s="33"/>
      <c r="E43" s="33"/>
      <c r="F43" s="33"/>
      <c r="G43" s="33"/>
      <c r="H43" s="33"/>
      <c r="I43" s="212"/>
      <c r="J43" s="212"/>
      <c r="K43" s="46"/>
      <c r="L43" s="46"/>
      <c r="M43" s="213"/>
      <c r="N43" s="200"/>
      <c r="O43" s="38"/>
      <c r="P43" s="38"/>
      <c r="Q43" s="38"/>
      <c r="R43" s="38"/>
      <c r="S43" s="46"/>
      <c r="T43" s="235"/>
      <c r="U43" s="235"/>
      <c r="V43" s="214"/>
      <c r="W43" s="34"/>
    </row>
    <row r="44" spans="1:23" ht="16" x14ac:dyDescent="0.35">
      <c r="A44" s="46"/>
      <c r="B44" s="211"/>
      <c r="C44" s="211"/>
      <c r="D44" s="33"/>
      <c r="E44" s="33"/>
      <c r="F44" s="33"/>
      <c r="G44" s="33"/>
      <c r="H44" s="33"/>
      <c r="I44" s="212"/>
      <c r="J44" s="212"/>
      <c r="K44" s="46"/>
      <c r="L44" s="46"/>
      <c r="M44" s="213"/>
      <c r="N44" s="200"/>
      <c r="O44" s="38"/>
      <c r="P44" s="38"/>
      <c r="Q44" s="38"/>
      <c r="R44" s="38"/>
      <c r="S44" s="46"/>
      <c r="T44" s="235"/>
      <c r="U44" s="235"/>
      <c r="V44" s="214"/>
      <c r="W44" s="34"/>
    </row>
    <row r="45" spans="1:23" ht="16" x14ac:dyDescent="0.35">
      <c r="A45" s="46"/>
      <c r="B45" s="211"/>
      <c r="C45" s="211"/>
      <c r="D45" s="33"/>
      <c r="E45" s="33"/>
      <c r="F45" s="33"/>
      <c r="G45" s="33"/>
      <c r="H45" s="33"/>
      <c r="I45" s="212"/>
      <c r="J45" s="212"/>
      <c r="K45" s="46"/>
      <c r="L45" s="46"/>
      <c r="M45" s="213"/>
      <c r="N45" s="200"/>
      <c r="O45" s="38"/>
      <c r="P45" s="38"/>
      <c r="Q45" s="38"/>
      <c r="R45" s="38"/>
      <c r="S45" s="46"/>
      <c r="T45" s="235"/>
      <c r="U45" s="235"/>
      <c r="V45" s="214"/>
      <c r="W45" s="34"/>
    </row>
    <row r="46" spans="1:23" ht="16" x14ac:dyDescent="0.35">
      <c r="A46" s="46"/>
      <c r="B46" s="211"/>
      <c r="C46" s="211"/>
      <c r="D46" s="33"/>
      <c r="E46" s="33"/>
      <c r="F46" s="33"/>
      <c r="G46" s="33"/>
      <c r="H46" s="33"/>
      <c r="I46" s="212"/>
      <c r="J46" s="212"/>
      <c r="K46" s="46"/>
      <c r="L46" s="46"/>
      <c r="M46" s="213"/>
      <c r="N46" s="200"/>
      <c r="O46" s="38"/>
      <c r="P46" s="38"/>
      <c r="Q46" s="38"/>
      <c r="R46" s="38"/>
      <c r="S46" s="46"/>
      <c r="T46" s="235"/>
      <c r="U46" s="235"/>
      <c r="V46" s="214"/>
      <c r="W46" s="34"/>
    </row>
    <row r="47" spans="1:23" ht="16" x14ac:dyDescent="0.35">
      <c r="A47" s="46"/>
      <c r="B47" s="211"/>
      <c r="C47" s="211"/>
      <c r="D47" s="33"/>
      <c r="E47" s="33"/>
      <c r="F47" s="33"/>
      <c r="G47" s="33"/>
      <c r="H47" s="33"/>
      <c r="I47" s="212"/>
      <c r="J47" s="212"/>
      <c r="K47" s="46"/>
      <c r="L47" s="46"/>
      <c r="M47" s="213"/>
      <c r="N47" s="200"/>
      <c r="O47" s="38"/>
      <c r="P47" s="38"/>
      <c r="Q47" s="38"/>
      <c r="R47" s="38"/>
      <c r="S47" s="46"/>
      <c r="T47" s="235"/>
      <c r="U47" s="235"/>
      <c r="V47" s="214"/>
      <c r="W47" s="34"/>
    </row>
    <row r="48" spans="1:23" ht="16" x14ac:dyDescent="0.35">
      <c r="A48" s="46"/>
      <c r="B48" s="211"/>
      <c r="C48" s="211"/>
      <c r="D48" s="33"/>
      <c r="E48" s="33"/>
      <c r="F48" s="33"/>
      <c r="G48" s="33"/>
      <c r="H48" s="33"/>
      <c r="I48" s="212"/>
      <c r="J48" s="212"/>
      <c r="K48" s="46"/>
      <c r="L48" s="46"/>
      <c r="M48" s="213"/>
      <c r="N48" s="200"/>
      <c r="O48" s="38"/>
      <c r="P48" s="38"/>
      <c r="Q48" s="38"/>
      <c r="R48" s="38"/>
      <c r="S48" s="46"/>
      <c r="T48" s="235"/>
      <c r="U48" s="235"/>
      <c r="V48" s="214"/>
      <c r="W48" s="34"/>
    </row>
    <row r="49" spans="1:23" ht="16" x14ac:dyDescent="0.35">
      <c r="A49" s="46"/>
      <c r="B49" s="211"/>
      <c r="C49" s="211"/>
      <c r="D49" s="33"/>
      <c r="E49" s="33"/>
      <c r="F49" s="33"/>
      <c r="G49" s="33"/>
      <c r="H49" s="33"/>
      <c r="I49" s="212"/>
      <c r="J49" s="212"/>
      <c r="K49" s="46"/>
      <c r="L49" s="46"/>
      <c r="M49" s="213"/>
      <c r="N49" s="200"/>
      <c r="O49" s="38"/>
      <c r="P49" s="38"/>
      <c r="Q49" s="38"/>
      <c r="R49" s="38"/>
      <c r="S49" s="46"/>
      <c r="T49" s="235"/>
      <c r="U49" s="235"/>
      <c r="V49" s="214"/>
      <c r="W49" s="34"/>
    </row>
    <row r="50" spans="1:23" ht="16" x14ac:dyDescent="0.35">
      <c r="A50" s="46"/>
      <c r="B50" s="211"/>
      <c r="C50" s="211"/>
      <c r="D50" s="33"/>
      <c r="E50" s="33"/>
      <c r="F50" s="33"/>
      <c r="G50" s="33"/>
      <c r="H50" s="33"/>
      <c r="I50" s="212"/>
      <c r="J50" s="212"/>
      <c r="K50" s="46"/>
      <c r="L50" s="46"/>
      <c r="M50" s="213"/>
      <c r="N50" s="200"/>
      <c r="O50" s="38"/>
      <c r="P50" s="38"/>
      <c r="Q50" s="38"/>
      <c r="R50" s="38"/>
      <c r="S50" s="46"/>
      <c r="T50" s="235"/>
      <c r="U50" s="235"/>
      <c r="V50" s="214"/>
      <c r="W50" s="34"/>
    </row>
    <row r="51" spans="1:23" ht="16" x14ac:dyDescent="0.35">
      <c r="A51" s="46"/>
      <c r="B51" s="211"/>
      <c r="C51" s="211"/>
      <c r="D51" s="33"/>
      <c r="E51" s="33"/>
      <c r="F51" s="33"/>
      <c r="G51" s="33"/>
      <c r="H51" s="33"/>
      <c r="I51" s="212"/>
      <c r="J51" s="212"/>
      <c r="K51" s="46"/>
      <c r="L51" s="46"/>
      <c r="M51" s="213"/>
      <c r="N51" s="200"/>
      <c r="O51" s="38"/>
      <c r="P51" s="38"/>
      <c r="Q51" s="38"/>
      <c r="R51" s="38"/>
      <c r="S51" s="46"/>
      <c r="T51" s="235"/>
      <c r="U51" s="235"/>
      <c r="V51" s="214"/>
      <c r="W51" s="34"/>
    </row>
    <row r="52" spans="1:23" ht="16" x14ac:dyDescent="0.35">
      <c r="A52" s="46"/>
      <c r="B52" s="211"/>
      <c r="C52" s="211"/>
      <c r="D52" s="33"/>
      <c r="E52" s="33"/>
      <c r="F52" s="33"/>
      <c r="G52" s="33"/>
      <c r="H52" s="33"/>
      <c r="I52" s="212"/>
      <c r="J52" s="212"/>
      <c r="K52" s="46"/>
      <c r="L52" s="46"/>
      <c r="M52" s="213"/>
      <c r="N52" s="200"/>
      <c r="O52" s="38"/>
      <c r="P52" s="38"/>
      <c r="Q52" s="38"/>
      <c r="R52" s="38"/>
      <c r="S52" s="46"/>
      <c r="T52" s="235"/>
      <c r="U52" s="235"/>
      <c r="V52" s="214"/>
      <c r="W52" s="34"/>
    </row>
    <row r="53" spans="1:23" ht="16" x14ac:dyDescent="0.35">
      <c r="A53" s="46"/>
      <c r="B53" s="211"/>
      <c r="C53" s="211"/>
      <c r="D53" s="33"/>
      <c r="E53" s="33"/>
      <c r="F53" s="33"/>
      <c r="G53" s="33"/>
      <c r="H53" s="33"/>
      <c r="I53" s="212"/>
      <c r="J53" s="212"/>
      <c r="K53" s="46"/>
      <c r="L53" s="46"/>
      <c r="M53" s="213"/>
      <c r="N53" s="200"/>
      <c r="O53" s="38"/>
      <c r="P53" s="38"/>
      <c r="Q53" s="38"/>
      <c r="R53" s="38"/>
      <c r="S53" s="46"/>
      <c r="T53" s="235"/>
      <c r="U53" s="235"/>
      <c r="V53" s="214"/>
      <c r="W53" s="34"/>
    </row>
    <row r="54" spans="1:23" ht="16" x14ac:dyDescent="0.35">
      <c r="A54" s="46"/>
      <c r="B54" s="211"/>
      <c r="C54" s="211"/>
      <c r="D54" s="33"/>
      <c r="E54" s="33"/>
      <c r="F54" s="33"/>
      <c r="G54" s="33"/>
      <c r="H54" s="33"/>
      <c r="I54" s="212"/>
      <c r="J54" s="212"/>
      <c r="K54" s="46"/>
      <c r="L54" s="46"/>
      <c r="M54" s="213"/>
      <c r="N54" s="200"/>
      <c r="O54" s="38"/>
      <c r="P54" s="38"/>
      <c r="Q54" s="38"/>
      <c r="R54" s="38"/>
      <c r="S54" s="46"/>
      <c r="T54" s="235"/>
      <c r="U54" s="235"/>
      <c r="V54" s="214"/>
      <c r="W54" s="34"/>
    </row>
    <row r="55" spans="1:23" ht="16" x14ac:dyDescent="0.35">
      <c r="A55" s="46"/>
      <c r="B55" s="211"/>
      <c r="C55" s="211"/>
      <c r="D55" s="33"/>
      <c r="E55" s="33"/>
      <c r="F55" s="33"/>
      <c r="G55" s="33"/>
      <c r="H55" s="33"/>
      <c r="I55" s="212"/>
      <c r="J55" s="212"/>
      <c r="K55" s="46"/>
      <c r="L55" s="46"/>
      <c r="M55" s="213"/>
      <c r="N55" s="200"/>
      <c r="O55" s="38"/>
      <c r="P55" s="38"/>
      <c r="Q55" s="38"/>
      <c r="R55" s="38"/>
      <c r="S55" s="46"/>
      <c r="T55" s="235"/>
      <c r="U55" s="235"/>
      <c r="V55" s="214"/>
      <c r="W55" s="34"/>
    </row>
    <row r="56" spans="1:23" ht="16" x14ac:dyDescent="0.35">
      <c r="A56" s="46"/>
      <c r="B56" s="211"/>
      <c r="C56" s="211"/>
      <c r="D56" s="33"/>
      <c r="E56" s="33"/>
      <c r="F56" s="33"/>
      <c r="G56" s="33"/>
      <c r="H56" s="33"/>
      <c r="I56" s="212"/>
      <c r="J56" s="212"/>
      <c r="K56" s="46"/>
      <c r="L56" s="46"/>
      <c r="M56" s="213"/>
      <c r="N56" s="200"/>
      <c r="O56" s="38"/>
      <c r="P56" s="38"/>
      <c r="Q56" s="38"/>
      <c r="R56" s="38"/>
      <c r="S56" s="46"/>
      <c r="T56" s="235"/>
      <c r="U56" s="235"/>
      <c r="V56" s="214"/>
      <c r="W56" s="34"/>
    </row>
    <row r="57" spans="1:23" ht="16" x14ac:dyDescent="0.35">
      <c r="A57" s="46"/>
      <c r="B57" s="211"/>
      <c r="C57" s="211"/>
      <c r="D57" s="33"/>
      <c r="E57" s="33"/>
      <c r="F57" s="33"/>
      <c r="G57" s="33"/>
      <c r="H57" s="33"/>
      <c r="I57" s="212"/>
      <c r="J57" s="212"/>
      <c r="K57" s="46"/>
      <c r="L57" s="46"/>
      <c r="M57" s="213"/>
      <c r="N57" s="200"/>
      <c r="O57" s="38"/>
      <c r="P57" s="38"/>
      <c r="Q57" s="38"/>
      <c r="R57" s="38"/>
      <c r="S57" s="46"/>
      <c r="T57" s="235"/>
      <c r="U57" s="235"/>
      <c r="V57" s="214"/>
      <c r="W57" s="34"/>
    </row>
    <row r="58" spans="1:23" ht="16" x14ac:dyDescent="0.35">
      <c r="A58" s="46"/>
      <c r="B58" s="211"/>
      <c r="C58" s="211"/>
      <c r="D58" s="33"/>
      <c r="E58" s="33"/>
      <c r="F58" s="33"/>
      <c r="G58" s="33"/>
      <c r="H58" s="33"/>
      <c r="I58" s="212"/>
      <c r="J58" s="212"/>
      <c r="K58" s="46"/>
      <c r="L58" s="46"/>
      <c r="M58" s="213"/>
      <c r="N58" s="200"/>
      <c r="O58" s="38"/>
      <c r="P58" s="38"/>
      <c r="Q58" s="38"/>
      <c r="R58" s="38"/>
      <c r="S58" s="46"/>
      <c r="T58" s="235"/>
      <c r="U58" s="235"/>
      <c r="V58" s="214"/>
      <c r="W58" s="34"/>
    </row>
    <row r="59" spans="1:23" ht="16" x14ac:dyDescent="0.35">
      <c r="A59" s="46"/>
      <c r="B59" s="211"/>
      <c r="C59" s="211"/>
      <c r="D59" s="33"/>
      <c r="E59" s="33"/>
      <c r="F59" s="33"/>
      <c r="G59" s="33"/>
      <c r="H59" s="33"/>
      <c r="I59" s="212"/>
      <c r="J59" s="212"/>
      <c r="K59" s="46"/>
      <c r="L59" s="46"/>
      <c r="M59" s="213"/>
      <c r="N59" s="200"/>
      <c r="O59" s="38"/>
      <c r="P59" s="38"/>
      <c r="Q59" s="38"/>
      <c r="R59" s="38"/>
      <c r="S59" s="46"/>
      <c r="T59" s="235"/>
      <c r="U59" s="235"/>
      <c r="V59" s="214"/>
      <c r="W59" s="34"/>
    </row>
    <row r="60" spans="1:23" ht="16" x14ac:dyDescent="0.35">
      <c r="A60" s="46"/>
      <c r="B60" s="211"/>
      <c r="C60" s="211"/>
      <c r="D60" s="33"/>
      <c r="E60" s="33"/>
      <c r="F60" s="33"/>
      <c r="G60" s="33"/>
      <c r="H60" s="33"/>
      <c r="I60" s="212"/>
      <c r="J60" s="212"/>
      <c r="K60" s="46"/>
      <c r="L60" s="46"/>
      <c r="M60" s="213"/>
      <c r="N60" s="200"/>
      <c r="O60" s="38"/>
      <c r="P60" s="38"/>
      <c r="Q60" s="38"/>
      <c r="R60" s="38"/>
      <c r="S60" s="46"/>
      <c r="T60" s="235"/>
      <c r="U60" s="235"/>
      <c r="V60" s="214"/>
      <c r="W60" s="34"/>
    </row>
    <row r="61" spans="1:23" ht="16" x14ac:dyDescent="0.35">
      <c r="A61" s="46"/>
      <c r="B61" s="211"/>
      <c r="C61" s="211"/>
      <c r="D61" s="33"/>
      <c r="E61" s="33"/>
      <c r="F61" s="33"/>
      <c r="G61" s="33"/>
      <c r="H61" s="33"/>
      <c r="I61" s="212"/>
      <c r="J61" s="212"/>
      <c r="K61" s="46"/>
      <c r="L61" s="46"/>
      <c r="M61" s="213"/>
      <c r="N61" s="200"/>
      <c r="O61" s="38"/>
      <c r="P61" s="38"/>
      <c r="Q61" s="38"/>
      <c r="R61" s="38"/>
      <c r="S61" s="46"/>
      <c r="T61" s="235"/>
      <c r="U61" s="235"/>
      <c r="V61" s="214"/>
      <c r="W61" s="34"/>
    </row>
    <row r="62" spans="1:23" ht="16" x14ac:dyDescent="0.35">
      <c r="A62" s="46"/>
      <c r="B62" s="211"/>
      <c r="C62" s="211"/>
      <c r="D62" s="33"/>
      <c r="E62" s="33"/>
      <c r="F62" s="33"/>
      <c r="G62" s="33"/>
      <c r="H62" s="33"/>
      <c r="I62" s="212"/>
      <c r="J62" s="212"/>
      <c r="K62" s="46"/>
      <c r="L62" s="46"/>
      <c r="M62" s="213"/>
      <c r="N62" s="200"/>
      <c r="O62" s="38"/>
      <c r="P62" s="38"/>
      <c r="Q62" s="38"/>
      <c r="R62" s="38"/>
      <c r="S62" s="46"/>
      <c r="T62" s="235"/>
      <c r="U62" s="235"/>
      <c r="V62" s="214"/>
      <c r="W62" s="34"/>
    </row>
    <row r="63" spans="1:23" ht="16" x14ac:dyDescent="0.35">
      <c r="A63" s="46"/>
      <c r="B63" s="211"/>
      <c r="C63" s="211"/>
      <c r="D63" s="33"/>
      <c r="E63" s="33"/>
      <c r="F63" s="33"/>
      <c r="G63" s="33"/>
      <c r="H63" s="33"/>
      <c r="I63" s="212"/>
      <c r="J63" s="212"/>
      <c r="K63" s="46"/>
      <c r="L63" s="46"/>
      <c r="M63" s="213"/>
      <c r="N63" s="200"/>
      <c r="O63" s="38"/>
      <c r="P63" s="38"/>
      <c r="Q63" s="38"/>
      <c r="R63" s="38"/>
      <c r="S63" s="46"/>
      <c r="T63" s="235"/>
      <c r="U63" s="235"/>
      <c r="V63" s="214"/>
      <c r="W63" s="34"/>
    </row>
    <row r="64" spans="1:23" ht="16" x14ac:dyDescent="0.35">
      <c r="A64" s="46"/>
      <c r="B64" s="211"/>
      <c r="C64" s="211"/>
      <c r="D64" s="33"/>
      <c r="E64" s="33"/>
      <c r="F64" s="33"/>
      <c r="G64" s="33"/>
      <c r="H64" s="33"/>
      <c r="I64" s="212"/>
      <c r="J64" s="212"/>
      <c r="K64" s="46"/>
      <c r="L64" s="46"/>
      <c r="M64" s="213"/>
      <c r="N64" s="200"/>
      <c r="O64" s="38"/>
      <c r="P64" s="38"/>
      <c r="Q64" s="38"/>
      <c r="R64" s="38"/>
      <c r="S64" s="46"/>
      <c r="T64" s="235"/>
      <c r="U64" s="235"/>
      <c r="V64" s="214"/>
      <c r="W64" s="34"/>
    </row>
    <row r="65" spans="1:23" ht="16" x14ac:dyDescent="0.35">
      <c r="A65" s="46"/>
      <c r="B65" s="211"/>
      <c r="C65" s="211"/>
      <c r="D65" s="33"/>
      <c r="E65" s="33"/>
      <c r="F65" s="33"/>
      <c r="G65" s="33"/>
      <c r="H65" s="33"/>
      <c r="I65" s="212"/>
      <c r="J65" s="212"/>
      <c r="K65" s="46"/>
      <c r="L65" s="46"/>
      <c r="M65" s="213"/>
      <c r="N65" s="200"/>
      <c r="O65" s="38"/>
      <c r="P65" s="38"/>
      <c r="Q65" s="38"/>
      <c r="R65" s="38"/>
      <c r="S65" s="46"/>
      <c r="T65" s="235"/>
      <c r="U65" s="235"/>
      <c r="V65" s="214"/>
      <c r="W65" s="34"/>
    </row>
    <row r="66" spans="1:23" ht="16" x14ac:dyDescent="0.35">
      <c r="A66" s="46"/>
      <c r="B66" s="211"/>
      <c r="C66" s="211"/>
      <c r="D66" s="33"/>
      <c r="E66" s="33"/>
      <c r="F66" s="33"/>
      <c r="G66" s="33"/>
      <c r="H66" s="33"/>
      <c r="I66" s="212"/>
      <c r="J66" s="212"/>
      <c r="K66" s="46"/>
      <c r="L66" s="46"/>
      <c r="M66" s="213"/>
      <c r="N66" s="200"/>
      <c r="O66" s="38"/>
      <c r="P66" s="38"/>
      <c r="Q66" s="38"/>
      <c r="R66" s="38"/>
      <c r="S66" s="46"/>
      <c r="T66" s="235"/>
      <c r="U66" s="235"/>
      <c r="V66" s="214"/>
      <c r="W66" s="34"/>
    </row>
    <row r="67" spans="1:23" ht="16" x14ac:dyDescent="0.35">
      <c r="A67" s="46"/>
      <c r="B67" s="211"/>
      <c r="C67" s="211"/>
      <c r="D67" s="33"/>
      <c r="E67" s="33"/>
      <c r="F67" s="33"/>
      <c r="G67" s="33"/>
      <c r="H67" s="33"/>
      <c r="I67" s="212"/>
      <c r="J67" s="212"/>
      <c r="K67" s="46"/>
      <c r="L67" s="46"/>
      <c r="M67" s="213"/>
      <c r="N67" s="200"/>
      <c r="O67" s="38"/>
      <c r="P67" s="38"/>
      <c r="Q67" s="38"/>
      <c r="R67" s="38"/>
      <c r="S67" s="46"/>
      <c r="T67" s="235"/>
      <c r="U67" s="235"/>
      <c r="V67" s="214"/>
      <c r="W67" s="34"/>
    </row>
    <row r="68" spans="1:23" ht="16" x14ac:dyDescent="0.35">
      <c r="A68" s="46"/>
      <c r="B68" s="211"/>
      <c r="C68" s="211"/>
      <c r="D68" s="33"/>
      <c r="E68" s="33"/>
      <c r="F68" s="33"/>
      <c r="G68" s="33"/>
      <c r="H68" s="33"/>
      <c r="I68" s="212"/>
      <c r="J68" s="212"/>
      <c r="K68" s="46"/>
      <c r="L68" s="46"/>
      <c r="M68" s="213"/>
      <c r="N68" s="200"/>
      <c r="O68" s="38"/>
      <c r="P68" s="38"/>
      <c r="Q68" s="38"/>
      <c r="R68" s="38"/>
      <c r="S68" s="46"/>
      <c r="T68" s="235"/>
      <c r="U68" s="235"/>
      <c r="V68" s="214"/>
      <c r="W68" s="34"/>
    </row>
    <row r="69" spans="1:23" ht="16" x14ac:dyDescent="0.35">
      <c r="A69" s="46"/>
      <c r="B69" s="211"/>
      <c r="C69" s="211"/>
      <c r="D69" s="33"/>
      <c r="E69" s="33"/>
      <c r="F69" s="33"/>
      <c r="G69" s="33"/>
      <c r="H69" s="33"/>
      <c r="I69" s="212"/>
      <c r="J69" s="212"/>
      <c r="K69" s="46"/>
      <c r="L69" s="46"/>
      <c r="M69" s="213"/>
      <c r="N69" s="200"/>
      <c r="O69" s="38"/>
      <c r="P69" s="38"/>
      <c r="Q69" s="38"/>
      <c r="R69" s="38"/>
      <c r="S69" s="46"/>
      <c r="T69" s="235"/>
      <c r="U69" s="235"/>
      <c r="V69" s="214"/>
      <c r="W69" s="34"/>
    </row>
    <row r="70" spans="1:23" ht="16" x14ac:dyDescent="0.35">
      <c r="A70" s="46"/>
      <c r="B70" s="211"/>
      <c r="C70" s="211"/>
      <c r="D70" s="33"/>
      <c r="E70" s="33"/>
      <c r="F70" s="33"/>
      <c r="G70" s="33"/>
      <c r="H70" s="33"/>
      <c r="I70" s="212"/>
      <c r="J70" s="212"/>
      <c r="K70" s="46"/>
      <c r="L70" s="46"/>
      <c r="M70" s="213"/>
      <c r="N70" s="200"/>
      <c r="O70" s="38"/>
      <c r="P70" s="38"/>
      <c r="Q70" s="38"/>
      <c r="R70" s="38"/>
      <c r="S70" s="46"/>
      <c r="T70" s="235"/>
      <c r="U70" s="235"/>
      <c r="V70" s="214"/>
      <c r="W70" s="34"/>
    </row>
    <row r="71" spans="1:23" ht="16" x14ac:dyDescent="0.35">
      <c r="A71" s="46"/>
      <c r="B71" s="211"/>
      <c r="C71" s="211"/>
      <c r="D71" s="33"/>
      <c r="E71" s="33"/>
      <c r="F71" s="33"/>
      <c r="G71" s="33"/>
      <c r="H71" s="33"/>
      <c r="I71" s="212"/>
      <c r="J71" s="212"/>
      <c r="K71" s="46"/>
      <c r="L71" s="46"/>
      <c r="M71" s="213"/>
      <c r="N71" s="200"/>
      <c r="O71" s="38"/>
      <c r="P71" s="38"/>
      <c r="Q71" s="38"/>
      <c r="R71" s="38"/>
      <c r="S71" s="46"/>
      <c r="T71" s="235"/>
      <c r="U71" s="235"/>
      <c r="V71" s="214"/>
      <c r="W71" s="34"/>
    </row>
    <row r="72" spans="1:23" ht="16" x14ac:dyDescent="0.35">
      <c r="A72" s="46"/>
      <c r="B72" s="211"/>
      <c r="C72" s="211"/>
      <c r="D72" s="33"/>
      <c r="E72" s="33"/>
      <c r="F72" s="33"/>
      <c r="G72" s="33"/>
      <c r="H72" s="33"/>
      <c r="I72" s="212"/>
      <c r="J72" s="212"/>
      <c r="K72" s="46"/>
      <c r="L72" s="46"/>
      <c r="M72" s="213"/>
      <c r="N72" s="200"/>
      <c r="O72" s="38"/>
      <c r="P72" s="38"/>
      <c r="Q72" s="38"/>
      <c r="R72" s="38"/>
      <c r="S72" s="46"/>
      <c r="T72" s="235"/>
      <c r="U72" s="235"/>
      <c r="V72" s="214"/>
      <c r="W72" s="34"/>
    </row>
    <row r="73" spans="1:23" ht="16" x14ac:dyDescent="0.35">
      <c r="A73" s="46"/>
      <c r="B73" s="211"/>
      <c r="C73" s="211"/>
      <c r="D73" s="33"/>
      <c r="E73" s="33"/>
      <c r="F73" s="33"/>
      <c r="G73" s="33"/>
      <c r="H73" s="33"/>
      <c r="I73" s="212"/>
      <c r="J73" s="212"/>
      <c r="K73" s="46"/>
      <c r="L73" s="46"/>
      <c r="M73" s="213"/>
      <c r="N73" s="200"/>
      <c r="O73" s="38"/>
      <c r="P73" s="38"/>
      <c r="Q73" s="38"/>
      <c r="R73" s="38"/>
      <c r="S73" s="46"/>
      <c r="T73" s="235"/>
      <c r="U73" s="235"/>
      <c r="V73" s="214"/>
      <c r="W73" s="34"/>
    </row>
    <row r="74" spans="1:23" ht="16" x14ac:dyDescent="0.35">
      <c r="A74" s="46"/>
      <c r="B74" s="211"/>
      <c r="C74" s="211"/>
      <c r="D74" s="33"/>
      <c r="E74" s="33"/>
      <c r="F74" s="33"/>
      <c r="G74" s="33"/>
      <c r="H74" s="33"/>
      <c r="I74" s="212"/>
      <c r="J74" s="212"/>
      <c r="K74" s="46"/>
      <c r="L74" s="46"/>
      <c r="M74" s="213"/>
      <c r="N74" s="200"/>
      <c r="O74" s="38"/>
      <c r="P74" s="38"/>
      <c r="Q74" s="38"/>
      <c r="R74" s="38"/>
      <c r="S74" s="46"/>
      <c r="T74" s="235"/>
      <c r="U74" s="235"/>
      <c r="V74" s="214"/>
      <c r="W74" s="34"/>
    </row>
    <row r="75" spans="1:23" ht="16" x14ac:dyDescent="0.35">
      <c r="A75" s="46"/>
      <c r="B75" s="211"/>
      <c r="C75" s="211"/>
      <c r="D75" s="33"/>
      <c r="E75" s="33"/>
      <c r="F75" s="33"/>
      <c r="G75" s="33"/>
      <c r="H75" s="33"/>
      <c r="I75" s="212"/>
      <c r="J75" s="212"/>
      <c r="K75" s="46"/>
      <c r="L75" s="46"/>
      <c r="M75" s="213"/>
      <c r="N75" s="200"/>
      <c r="O75" s="38"/>
      <c r="P75" s="38"/>
      <c r="Q75" s="38"/>
      <c r="R75" s="38"/>
      <c r="S75" s="46"/>
      <c r="T75" s="235"/>
      <c r="U75" s="235"/>
      <c r="V75" s="214"/>
      <c r="W75" s="34"/>
    </row>
    <row r="76" spans="1:23" x14ac:dyDescent="0.35">
      <c r="A76" s="46"/>
      <c r="B76" s="211"/>
      <c r="C76" s="211"/>
      <c r="D76" s="33"/>
      <c r="E76" s="33"/>
      <c r="F76" s="33"/>
      <c r="G76" s="33"/>
      <c r="H76" s="33"/>
      <c r="I76" s="212"/>
      <c r="J76" s="212"/>
      <c r="K76" s="46"/>
      <c r="L76" s="46"/>
      <c r="M76" s="213"/>
      <c r="N76" s="200"/>
      <c r="O76" s="46"/>
      <c r="P76" s="46"/>
      <c r="Q76" s="46"/>
      <c r="R76" s="46"/>
      <c r="S76" s="46"/>
      <c r="T76" s="235"/>
      <c r="U76" s="235"/>
      <c r="V76" s="214"/>
      <c r="W76" s="34"/>
    </row>
    <row r="77" spans="1:23" x14ac:dyDescent="0.35">
      <c r="A77" s="46"/>
      <c r="B77" s="211"/>
      <c r="C77" s="211"/>
      <c r="D77" s="33"/>
      <c r="E77" s="33"/>
      <c r="F77" s="33"/>
      <c r="G77" s="33"/>
      <c r="H77" s="33"/>
      <c r="I77" s="212"/>
      <c r="J77" s="212"/>
      <c r="K77" s="46"/>
      <c r="L77" s="46"/>
      <c r="M77" s="213"/>
      <c r="N77" s="200"/>
      <c r="O77" s="46"/>
      <c r="P77" s="46"/>
      <c r="Q77" s="46"/>
      <c r="R77" s="46"/>
      <c r="S77" s="46"/>
      <c r="T77" s="235"/>
      <c r="U77" s="235"/>
      <c r="V77" s="214"/>
      <c r="W77" s="34"/>
    </row>
    <row r="78" spans="1:23" x14ac:dyDescent="0.35">
      <c r="A78" s="46"/>
      <c r="B78" s="211"/>
      <c r="C78" s="211"/>
      <c r="D78" s="33"/>
      <c r="E78" s="33"/>
      <c r="F78" s="33"/>
      <c r="G78" s="33"/>
      <c r="H78" s="33"/>
      <c r="I78" s="212"/>
      <c r="J78" s="212"/>
      <c r="K78" s="46"/>
      <c r="L78" s="46"/>
      <c r="M78" s="213"/>
      <c r="N78" s="200"/>
      <c r="O78" s="46"/>
      <c r="P78" s="46"/>
      <c r="Q78" s="46"/>
      <c r="R78" s="46"/>
      <c r="S78" s="46"/>
      <c r="T78" s="235"/>
      <c r="U78" s="235"/>
      <c r="V78" s="214"/>
      <c r="W78" s="34"/>
    </row>
    <row r="79" spans="1:23" x14ac:dyDescent="0.35">
      <c r="A79" s="46"/>
      <c r="B79" s="211"/>
      <c r="C79" s="211"/>
      <c r="D79" s="33"/>
      <c r="E79" s="33"/>
      <c r="F79" s="33"/>
      <c r="G79" s="33"/>
      <c r="H79" s="33"/>
      <c r="I79" s="212"/>
      <c r="J79" s="212"/>
      <c r="K79" s="46"/>
      <c r="L79" s="46"/>
      <c r="M79" s="213"/>
      <c r="N79" s="200"/>
      <c r="O79" s="46"/>
      <c r="P79" s="46"/>
      <c r="Q79" s="46"/>
      <c r="R79" s="46"/>
      <c r="S79" s="46"/>
      <c r="T79" s="235"/>
      <c r="U79" s="235"/>
      <c r="V79" s="214"/>
      <c r="W79" s="34"/>
    </row>
    <row r="80" spans="1:23" x14ac:dyDescent="0.35">
      <c r="A80" s="46"/>
      <c r="B80" s="211"/>
      <c r="C80" s="211"/>
      <c r="D80" s="33"/>
      <c r="E80" s="33"/>
      <c r="F80" s="33"/>
      <c r="G80" s="33"/>
      <c r="H80" s="33"/>
      <c r="I80" s="212"/>
      <c r="J80" s="212"/>
      <c r="K80" s="46"/>
      <c r="L80" s="46"/>
      <c r="M80" s="213"/>
      <c r="N80" s="200"/>
      <c r="O80" s="46"/>
      <c r="P80" s="46"/>
      <c r="Q80" s="46"/>
      <c r="R80" s="46"/>
      <c r="S80" s="46"/>
      <c r="T80" s="235"/>
      <c r="U80" s="235"/>
      <c r="V80" s="214"/>
      <c r="W80" s="34"/>
    </row>
    <row r="81" spans="1:23" x14ac:dyDescent="0.35">
      <c r="A81" s="46"/>
      <c r="B81" s="211"/>
      <c r="C81" s="211"/>
      <c r="D81" s="33"/>
      <c r="E81" s="33"/>
      <c r="F81" s="33"/>
      <c r="G81" s="33"/>
      <c r="H81" s="33"/>
      <c r="I81" s="212"/>
      <c r="J81" s="212"/>
      <c r="K81" s="46"/>
      <c r="L81" s="46"/>
      <c r="M81" s="213"/>
      <c r="N81" s="200"/>
      <c r="O81" s="46"/>
      <c r="P81" s="46"/>
      <c r="Q81" s="46"/>
      <c r="R81" s="46"/>
      <c r="S81" s="46"/>
      <c r="T81" s="235"/>
      <c r="U81" s="235"/>
      <c r="V81" s="214"/>
      <c r="W81" s="34"/>
    </row>
    <row r="82" spans="1:23" x14ac:dyDescent="0.35">
      <c r="A82" s="46"/>
      <c r="B82" s="211"/>
      <c r="C82" s="211"/>
      <c r="D82" s="33"/>
      <c r="E82" s="33"/>
      <c r="F82" s="33"/>
      <c r="G82" s="33"/>
      <c r="H82" s="33"/>
      <c r="I82" s="212"/>
      <c r="J82" s="212"/>
      <c r="K82" s="46"/>
      <c r="L82" s="46"/>
      <c r="M82" s="213"/>
      <c r="N82" s="200"/>
      <c r="O82" s="46"/>
      <c r="P82" s="46"/>
      <c r="Q82" s="46"/>
      <c r="R82" s="46"/>
      <c r="S82" s="46"/>
      <c r="T82" s="235"/>
      <c r="U82" s="235"/>
      <c r="V82" s="214"/>
      <c r="W82" s="34"/>
    </row>
    <row r="83" spans="1:23" x14ac:dyDescent="0.35">
      <c r="A83" s="46"/>
      <c r="B83" s="211"/>
      <c r="C83" s="211"/>
      <c r="D83" s="33"/>
      <c r="E83" s="33"/>
      <c r="F83" s="33"/>
      <c r="G83" s="33"/>
      <c r="H83" s="33"/>
      <c r="I83" s="212"/>
      <c r="J83" s="212"/>
      <c r="K83" s="46"/>
      <c r="L83" s="46"/>
      <c r="M83" s="213"/>
      <c r="N83" s="200"/>
      <c r="O83" s="46"/>
      <c r="P83" s="46"/>
      <c r="Q83" s="46"/>
      <c r="R83" s="46"/>
      <c r="S83" s="46"/>
      <c r="T83" s="235"/>
      <c r="U83" s="235"/>
      <c r="V83" s="214"/>
      <c r="W83" s="34"/>
    </row>
    <row r="84" spans="1:23" x14ac:dyDescent="0.35">
      <c r="A84" s="46"/>
      <c r="B84" s="211"/>
      <c r="C84" s="211"/>
      <c r="D84" s="33"/>
      <c r="E84" s="33"/>
      <c r="F84" s="33"/>
      <c r="G84" s="33"/>
      <c r="H84" s="33"/>
      <c r="I84" s="212"/>
      <c r="J84" s="212"/>
      <c r="K84" s="46"/>
      <c r="L84" s="46"/>
      <c r="M84" s="213"/>
      <c r="N84" s="200"/>
      <c r="O84" s="46"/>
      <c r="P84" s="46"/>
      <c r="Q84" s="46"/>
      <c r="R84" s="46"/>
      <c r="S84" s="46"/>
      <c r="T84" s="235"/>
      <c r="U84" s="235"/>
      <c r="V84" s="214"/>
      <c r="W84" s="34"/>
    </row>
    <row r="85" spans="1:23" x14ac:dyDescent="0.35">
      <c r="A85" s="46"/>
      <c r="B85" s="211"/>
      <c r="C85" s="211"/>
      <c r="D85" s="33"/>
      <c r="E85" s="33"/>
      <c r="F85" s="33"/>
      <c r="G85" s="33"/>
      <c r="H85" s="33"/>
      <c r="I85" s="212"/>
      <c r="J85" s="212"/>
      <c r="K85" s="46"/>
      <c r="L85" s="46"/>
      <c r="M85" s="213"/>
      <c r="N85" s="200"/>
      <c r="O85" s="46"/>
      <c r="P85" s="46"/>
      <c r="Q85" s="46"/>
      <c r="R85" s="46"/>
      <c r="S85" s="46"/>
      <c r="T85" s="235"/>
      <c r="U85" s="235"/>
      <c r="V85" s="214"/>
      <c r="W85" s="34"/>
    </row>
    <row r="86" spans="1:23" x14ac:dyDescent="0.35">
      <c r="A86" s="46"/>
      <c r="B86" s="211"/>
      <c r="C86" s="211"/>
      <c r="D86" s="33"/>
      <c r="E86" s="33"/>
      <c r="F86" s="33"/>
      <c r="G86" s="33"/>
      <c r="H86" s="33"/>
      <c r="I86" s="212"/>
      <c r="J86" s="212"/>
      <c r="K86" s="46"/>
      <c r="L86" s="46"/>
      <c r="M86" s="213"/>
      <c r="N86" s="200"/>
      <c r="O86" s="46"/>
      <c r="P86" s="46"/>
      <c r="Q86" s="46"/>
      <c r="R86" s="46"/>
      <c r="S86" s="46"/>
      <c r="T86" s="235"/>
      <c r="U86" s="235"/>
      <c r="V86" s="214"/>
      <c r="W86" s="34"/>
    </row>
    <row r="87" spans="1:23" x14ac:dyDescent="0.35">
      <c r="A87" s="46"/>
      <c r="B87" s="211"/>
      <c r="C87" s="211"/>
      <c r="D87" s="33"/>
      <c r="E87" s="33"/>
      <c r="F87" s="33"/>
      <c r="G87" s="33"/>
      <c r="H87" s="33"/>
      <c r="I87" s="212"/>
      <c r="J87" s="212"/>
      <c r="K87" s="46"/>
      <c r="L87" s="46"/>
      <c r="M87" s="213"/>
      <c r="N87" s="200"/>
      <c r="O87" s="46"/>
      <c r="P87" s="46"/>
      <c r="Q87" s="46"/>
      <c r="R87" s="46"/>
      <c r="S87" s="46"/>
      <c r="T87" s="235"/>
      <c r="U87" s="235"/>
      <c r="V87" s="214"/>
      <c r="W87" s="34"/>
    </row>
    <row r="88" spans="1:23" x14ac:dyDescent="0.35">
      <c r="A88" s="46"/>
      <c r="B88" s="211"/>
      <c r="C88" s="211"/>
      <c r="D88" s="33"/>
      <c r="E88" s="33"/>
      <c r="F88" s="33"/>
      <c r="G88" s="33"/>
      <c r="H88" s="33"/>
      <c r="I88" s="212"/>
      <c r="J88" s="212"/>
      <c r="K88" s="46"/>
      <c r="L88" s="46"/>
      <c r="M88" s="213"/>
      <c r="N88" s="200"/>
      <c r="O88" s="46"/>
      <c r="P88" s="46"/>
      <c r="Q88" s="46"/>
      <c r="R88" s="46"/>
      <c r="S88" s="46"/>
      <c r="T88" s="235"/>
      <c r="U88" s="235"/>
      <c r="V88" s="214"/>
      <c r="W88" s="34"/>
    </row>
    <row r="89" spans="1:23" x14ac:dyDescent="0.35">
      <c r="A89" s="46"/>
      <c r="B89" s="211"/>
      <c r="C89" s="211"/>
      <c r="D89" s="33"/>
      <c r="E89" s="33"/>
      <c r="F89" s="33"/>
      <c r="G89" s="33"/>
      <c r="H89" s="33"/>
      <c r="I89" s="212"/>
      <c r="J89" s="212"/>
      <c r="K89" s="46"/>
      <c r="L89" s="46"/>
      <c r="M89" s="213"/>
      <c r="N89" s="200"/>
      <c r="O89" s="46"/>
      <c r="P89" s="46"/>
      <c r="Q89" s="46"/>
      <c r="R89" s="46"/>
      <c r="S89" s="46"/>
      <c r="T89" s="235"/>
      <c r="U89" s="235"/>
      <c r="V89" s="214"/>
      <c r="W89" s="34"/>
    </row>
    <row r="90" spans="1:23" x14ac:dyDescent="0.35">
      <c r="A90" s="46"/>
      <c r="B90" s="211"/>
      <c r="C90" s="211"/>
      <c r="D90" s="33"/>
      <c r="E90" s="33"/>
      <c r="F90" s="33"/>
      <c r="G90" s="33"/>
      <c r="H90" s="33"/>
      <c r="I90" s="212"/>
      <c r="J90" s="212"/>
      <c r="K90" s="46"/>
      <c r="L90" s="46"/>
      <c r="M90" s="213"/>
      <c r="N90" s="200"/>
      <c r="O90" s="46"/>
      <c r="P90" s="46"/>
      <c r="Q90" s="46"/>
      <c r="R90" s="46"/>
      <c r="S90" s="46"/>
      <c r="T90" s="235"/>
      <c r="U90" s="235"/>
      <c r="V90" s="214"/>
      <c r="W90" s="34"/>
    </row>
    <row r="91" spans="1:23" x14ac:dyDescent="0.35">
      <c r="A91" s="46"/>
      <c r="B91" s="211"/>
      <c r="C91" s="211"/>
      <c r="D91" s="33"/>
      <c r="E91" s="33"/>
      <c r="F91" s="33"/>
      <c r="G91" s="33"/>
      <c r="H91" s="33"/>
      <c r="I91" s="212"/>
      <c r="J91" s="212"/>
      <c r="K91" s="46"/>
      <c r="L91" s="46"/>
      <c r="M91" s="213"/>
      <c r="N91" s="200"/>
      <c r="O91" s="46"/>
      <c r="P91" s="46"/>
      <c r="Q91" s="46"/>
      <c r="R91" s="46"/>
      <c r="S91" s="46"/>
      <c r="T91" s="235"/>
      <c r="U91" s="235"/>
      <c r="V91" s="214"/>
      <c r="W91" s="34"/>
    </row>
    <row r="92" spans="1:23" x14ac:dyDescent="0.35">
      <c r="A92" s="46"/>
      <c r="B92" s="211"/>
      <c r="C92" s="211"/>
      <c r="D92" s="33"/>
      <c r="E92" s="33"/>
      <c r="F92" s="33"/>
      <c r="G92" s="33"/>
      <c r="H92" s="33"/>
      <c r="I92" s="212"/>
      <c r="J92" s="212"/>
      <c r="K92" s="46"/>
      <c r="L92" s="46"/>
      <c r="M92" s="213"/>
      <c r="N92" s="200"/>
      <c r="O92" s="46"/>
      <c r="P92" s="46"/>
      <c r="Q92" s="46"/>
      <c r="R92" s="46"/>
      <c r="S92" s="46"/>
      <c r="T92" s="235"/>
      <c r="U92" s="235"/>
      <c r="V92" s="214"/>
      <c r="W92" s="34"/>
    </row>
    <row r="93" spans="1:23" x14ac:dyDescent="0.35">
      <c r="A93" s="46"/>
      <c r="B93" s="211"/>
      <c r="C93" s="211"/>
      <c r="D93" s="33"/>
      <c r="E93" s="33"/>
      <c r="F93" s="33"/>
      <c r="G93" s="33"/>
      <c r="H93" s="33"/>
      <c r="I93" s="212"/>
      <c r="J93" s="212"/>
      <c r="K93" s="46"/>
      <c r="L93" s="46"/>
      <c r="M93" s="213"/>
      <c r="N93" s="200"/>
      <c r="O93" s="46"/>
      <c r="P93" s="46"/>
      <c r="Q93" s="46"/>
      <c r="R93" s="46"/>
      <c r="S93" s="46"/>
      <c r="T93" s="235"/>
      <c r="U93" s="235"/>
      <c r="V93" s="214"/>
      <c r="W93" s="34"/>
    </row>
    <row r="94" spans="1:23" x14ac:dyDescent="0.35">
      <c r="A94" s="46"/>
      <c r="B94" s="211"/>
      <c r="C94" s="211"/>
      <c r="D94" s="33"/>
      <c r="E94" s="33"/>
      <c r="F94" s="33"/>
      <c r="G94" s="33"/>
      <c r="H94" s="33"/>
      <c r="I94" s="212"/>
      <c r="J94" s="212"/>
      <c r="K94" s="46"/>
      <c r="L94" s="46"/>
      <c r="M94" s="213"/>
      <c r="N94" s="200"/>
      <c r="O94" s="46"/>
      <c r="P94" s="46"/>
      <c r="Q94" s="46"/>
      <c r="R94" s="46"/>
      <c r="S94" s="46"/>
      <c r="T94" s="235"/>
      <c r="U94" s="235"/>
      <c r="V94" s="214"/>
      <c r="W94" s="34"/>
    </row>
    <row r="95" spans="1:23" x14ac:dyDescent="0.35">
      <c r="A95" s="46"/>
      <c r="B95" s="211"/>
      <c r="C95" s="211"/>
      <c r="D95" s="33"/>
      <c r="E95" s="33"/>
      <c r="F95" s="33"/>
      <c r="G95" s="33"/>
      <c r="H95" s="33"/>
      <c r="I95" s="212"/>
      <c r="J95" s="212"/>
      <c r="K95" s="46"/>
      <c r="L95" s="46"/>
      <c r="M95" s="213"/>
      <c r="N95" s="200"/>
      <c r="O95" s="46"/>
      <c r="P95" s="46"/>
      <c r="Q95" s="46"/>
      <c r="R95" s="46"/>
      <c r="S95" s="46"/>
      <c r="T95" s="235"/>
      <c r="U95" s="235"/>
      <c r="V95" s="214"/>
      <c r="W95" s="34"/>
    </row>
    <row r="96" spans="1:23" x14ac:dyDescent="0.35">
      <c r="A96" s="46"/>
      <c r="B96" s="211"/>
      <c r="C96" s="211"/>
      <c r="D96" s="33"/>
      <c r="E96" s="33"/>
      <c r="F96" s="33"/>
      <c r="G96" s="33"/>
      <c r="H96" s="33"/>
      <c r="I96" s="212"/>
      <c r="J96" s="212"/>
      <c r="K96" s="46"/>
      <c r="L96" s="46"/>
      <c r="M96" s="213"/>
      <c r="N96" s="200"/>
      <c r="O96" s="46"/>
      <c r="P96" s="46"/>
      <c r="Q96" s="46"/>
      <c r="R96" s="46"/>
      <c r="S96" s="46"/>
      <c r="T96" s="235"/>
      <c r="U96" s="235"/>
      <c r="V96" s="214"/>
      <c r="W96" s="34"/>
    </row>
    <row r="97" spans="1:23" x14ac:dyDescent="0.35">
      <c r="A97" s="46"/>
      <c r="B97" s="211"/>
      <c r="C97" s="211"/>
      <c r="D97" s="33"/>
      <c r="E97" s="33"/>
      <c r="F97" s="33"/>
      <c r="G97" s="33"/>
      <c r="H97" s="33"/>
      <c r="I97" s="212"/>
      <c r="J97" s="212"/>
      <c r="K97" s="46"/>
      <c r="L97" s="46"/>
      <c r="M97" s="213"/>
      <c r="N97" s="200"/>
      <c r="O97" s="46"/>
      <c r="P97" s="46"/>
      <c r="Q97" s="46"/>
      <c r="R97" s="46"/>
      <c r="S97" s="46"/>
      <c r="T97" s="235"/>
      <c r="U97" s="235"/>
      <c r="V97" s="214"/>
      <c r="W97" s="34"/>
    </row>
    <row r="98" spans="1:23" x14ac:dyDescent="0.35">
      <c r="A98" s="46"/>
      <c r="B98" s="211"/>
      <c r="C98" s="211"/>
      <c r="D98" s="33"/>
      <c r="E98" s="33"/>
      <c r="F98" s="33"/>
      <c r="G98" s="33"/>
      <c r="H98" s="33"/>
      <c r="I98" s="212"/>
      <c r="J98" s="212"/>
      <c r="K98" s="46"/>
      <c r="L98" s="46"/>
      <c r="M98" s="213"/>
      <c r="N98" s="200"/>
      <c r="O98" s="46"/>
      <c r="P98" s="46"/>
      <c r="Q98" s="46"/>
      <c r="R98" s="46"/>
      <c r="S98" s="46"/>
      <c r="T98" s="235"/>
      <c r="U98" s="235"/>
      <c r="V98" s="214"/>
      <c r="W98" s="34"/>
    </row>
    <row r="99" spans="1:23" x14ac:dyDescent="0.35">
      <c r="A99" s="46"/>
      <c r="B99" s="211"/>
      <c r="C99" s="211"/>
      <c r="D99" s="33"/>
      <c r="E99" s="33"/>
      <c r="F99" s="33"/>
      <c r="G99" s="33"/>
      <c r="H99" s="33"/>
      <c r="I99" s="212"/>
      <c r="J99" s="212"/>
      <c r="K99" s="46"/>
      <c r="L99" s="46"/>
      <c r="M99" s="213"/>
      <c r="N99" s="200"/>
      <c r="O99" s="46"/>
      <c r="P99" s="46"/>
      <c r="Q99" s="46"/>
      <c r="R99" s="46"/>
      <c r="S99" s="46"/>
      <c r="T99" s="235"/>
      <c r="U99" s="235"/>
      <c r="V99" s="214"/>
      <c r="W99" s="34"/>
    </row>
    <row r="100" spans="1:23" x14ac:dyDescent="0.35">
      <c r="A100" s="46"/>
      <c r="B100" s="211"/>
      <c r="C100" s="211"/>
      <c r="D100" s="33"/>
      <c r="E100" s="33"/>
      <c r="F100" s="33"/>
      <c r="G100" s="33"/>
      <c r="H100" s="33"/>
      <c r="I100" s="212"/>
      <c r="J100" s="212"/>
      <c r="K100" s="46"/>
      <c r="L100" s="46"/>
      <c r="M100" s="213"/>
      <c r="N100" s="200"/>
      <c r="O100" s="46"/>
      <c r="P100" s="46"/>
      <c r="Q100" s="46"/>
      <c r="R100" s="46"/>
      <c r="S100" s="46"/>
      <c r="T100" s="235"/>
      <c r="U100" s="235"/>
      <c r="V100" s="214"/>
      <c r="W100" s="34"/>
    </row>
    <row r="101" spans="1:23" x14ac:dyDescent="0.35">
      <c r="A101" s="46"/>
      <c r="B101" s="211"/>
      <c r="C101" s="211"/>
      <c r="D101" s="33"/>
      <c r="E101" s="33"/>
      <c r="F101" s="33"/>
      <c r="G101" s="33"/>
      <c r="H101" s="33"/>
      <c r="I101" s="212"/>
      <c r="J101" s="212"/>
      <c r="K101" s="46"/>
      <c r="L101" s="46"/>
      <c r="M101" s="213"/>
      <c r="N101" s="200"/>
      <c r="O101" s="46"/>
      <c r="P101" s="46"/>
      <c r="Q101" s="46"/>
      <c r="R101" s="46"/>
      <c r="S101" s="46"/>
      <c r="T101" s="235"/>
      <c r="U101" s="235"/>
      <c r="V101" s="214"/>
      <c r="W101" s="34"/>
    </row>
    <row r="102" spans="1:23" x14ac:dyDescent="0.35">
      <c r="A102" s="46"/>
      <c r="B102" s="211"/>
      <c r="C102" s="211"/>
      <c r="D102" s="33"/>
      <c r="E102" s="33"/>
      <c r="F102" s="33"/>
      <c r="G102" s="33"/>
      <c r="H102" s="33"/>
      <c r="I102" s="212"/>
      <c r="J102" s="212"/>
      <c r="K102" s="46"/>
      <c r="L102" s="46"/>
      <c r="M102" s="213"/>
      <c r="N102" s="200"/>
      <c r="O102" s="46"/>
      <c r="P102" s="46"/>
      <c r="Q102" s="46"/>
      <c r="R102" s="46"/>
      <c r="S102" s="46"/>
      <c r="T102" s="235"/>
      <c r="U102" s="235"/>
      <c r="V102" s="214"/>
      <c r="W102" s="34"/>
    </row>
    <row r="103" spans="1:23" x14ac:dyDescent="0.35">
      <c r="A103" s="46"/>
      <c r="B103" s="211"/>
      <c r="C103" s="211"/>
      <c r="D103" s="33"/>
      <c r="E103" s="33"/>
      <c r="F103" s="33"/>
      <c r="G103" s="33"/>
      <c r="H103" s="33"/>
      <c r="I103" s="212"/>
      <c r="J103" s="212"/>
      <c r="K103" s="46"/>
      <c r="L103" s="46"/>
      <c r="M103" s="213"/>
      <c r="N103" s="200"/>
      <c r="O103" s="46"/>
      <c r="P103" s="46"/>
      <c r="Q103" s="46"/>
      <c r="R103" s="46"/>
      <c r="S103" s="46"/>
      <c r="T103" s="235"/>
      <c r="U103" s="235"/>
      <c r="V103" s="214"/>
      <c r="W103" s="34"/>
    </row>
    <row r="104" spans="1:23" x14ac:dyDescent="0.35">
      <c r="A104" s="46"/>
      <c r="B104" s="211"/>
      <c r="C104" s="211"/>
      <c r="D104" s="33"/>
      <c r="E104" s="33"/>
      <c r="F104" s="33"/>
      <c r="G104" s="33"/>
      <c r="H104" s="33"/>
      <c r="I104" s="212"/>
      <c r="J104" s="212"/>
      <c r="K104" s="46"/>
      <c r="L104" s="46"/>
      <c r="M104" s="213"/>
      <c r="N104" s="200"/>
      <c r="O104" s="46"/>
      <c r="P104" s="46"/>
      <c r="Q104" s="46"/>
      <c r="R104" s="46"/>
      <c r="S104" s="46"/>
      <c r="T104" s="235"/>
      <c r="U104" s="235"/>
      <c r="V104" s="214"/>
      <c r="W104" s="34"/>
    </row>
    <row r="105" spans="1:23" x14ac:dyDescent="0.35">
      <c r="A105" s="46"/>
      <c r="B105" s="211"/>
      <c r="C105" s="211"/>
      <c r="D105" s="33"/>
      <c r="E105" s="33"/>
      <c r="F105" s="33"/>
      <c r="G105" s="33"/>
      <c r="H105" s="33"/>
      <c r="I105" s="212"/>
      <c r="J105" s="212"/>
      <c r="K105" s="46"/>
      <c r="L105" s="46"/>
      <c r="M105" s="213"/>
      <c r="N105" s="200"/>
      <c r="O105" s="46"/>
      <c r="P105" s="46"/>
      <c r="Q105" s="46"/>
      <c r="R105" s="46"/>
      <c r="S105" s="46"/>
      <c r="T105" s="235"/>
      <c r="U105" s="235"/>
      <c r="V105" s="214"/>
      <c r="W105" s="34"/>
    </row>
    <row r="106" spans="1:23" x14ac:dyDescent="0.35">
      <c r="A106" s="46"/>
      <c r="B106" s="211"/>
      <c r="C106" s="211"/>
      <c r="D106" s="33"/>
      <c r="E106" s="33"/>
      <c r="F106" s="33"/>
      <c r="G106" s="33"/>
      <c r="H106" s="33"/>
      <c r="I106" s="212"/>
      <c r="J106" s="212"/>
      <c r="K106" s="46"/>
      <c r="L106" s="46"/>
      <c r="M106" s="213"/>
      <c r="N106" s="200"/>
      <c r="O106" s="46"/>
      <c r="P106" s="46"/>
      <c r="Q106" s="46"/>
      <c r="R106" s="46"/>
      <c r="S106" s="46"/>
      <c r="T106" s="235"/>
      <c r="U106" s="235"/>
      <c r="V106" s="214"/>
      <c r="W106" s="34"/>
    </row>
    <row r="107" spans="1:23" x14ac:dyDescent="0.35">
      <c r="A107" s="46"/>
      <c r="B107" s="211"/>
      <c r="C107" s="211"/>
      <c r="D107" s="33"/>
      <c r="E107" s="33"/>
      <c r="F107" s="33"/>
      <c r="G107" s="33"/>
      <c r="H107" s="33"/>
      <c r="I107" s="212"/>
      <c r="J107" s="212"/>
      <c r="K107" s="46"/>
      <c r="L107" s="46"/>
      <c r="M107" s="213"/>
      <c r="N107" s="200"/>
      <c r="O107" s="46"/>
      <c r="P107" s="46"/>
      <c r="Q107" s="46"/>
      <c r="R107" s="46"/>
      <c r="S107" s="46"/>
      <c r="T107" s="235"/>
      <c r="U107" s="235"/>
      <c r="V107" s="214"/>
      <c r="W107" s="34"/>
    </row>
    <row r="108" spans="1:23" x14ac:dyDescent="0.35">
      <c r="A108" s="46"/>
      <c r="B108" s="211"/>
      <c r="C108" s="211"/>
      <c r="D108" s="33"/>
      <c r="E108" s="33"/>
      <c r="F108" s="33"/>
      <c r="G108" s="33"/>
      <c r="H108" s="33"/>
      <c r="I108" s="212"/>
      <c r="J108" s="212"/>
      <c r="K108" s="46"/>
      <c r="L108" s="46"/>
      <c r="M108" s="213"/>
      <c r="N108" s="200"/>
      <c r="O108" s="46"/>
      <c r="P108" s="46"/>
      <c r="Q108" s="46"/>
      <c r="R108" s="46"/>
      <c r="S108" s="46"/>
      <c r="T108" s="235"/>
      <c r="U108" s="235"/>
      <c r="V108" s="214"/>
      <c r="W108" s="34"/>
    </row>
    <row r="109" spans="1:23" x14ac:dyDescent="0.35">
      <c r="A109" s="46"/>
      <c r="B109" s="211"/>
      <c r="C109" s="211"/>
      <c r="D109" s="33"/>
      <c r="E109" s="33"/>
      <c r="F109" s="33"/>
      <c r="G109" s="33"/>
      <c r="H109" s="33"/>
      <c r="I109" s="212"/>
      <c r="J109" s="212"/>
      <c r="K109" s="46"/>
      <c r="L109" s="46"/>
      <c r="M109" s="213"/>
      <c r="N109" s="200"/>
      <c r="O109" s="46"/>
      <c r="P109" s="46"/>
      <c r="Q109" s="46"/>
      <c r="R109" s="46"/>
      <c r="S109" s="46"/>
      <c r="T109" s="235"/>
      <c r="U109" s="235"/>
      <c r="V109" s="214"/>
      <c r="W109" s="34"/>
    </row>
    <row r="110" spans="1:23" x14ac:dyDescent="0.35">
      <c r="A110" s="46"/>
      <c r="B110" s="211"/>
      <c r="C110" s="211"/>
      <c r="D110" s="33"/>
      <c r="E110" s="33"/>
      <c r="F110" s="33"/>
      <c r="G110" s="33"/>
      <c r="H110" s="33"/>
      <c r="I110" s="212"/>
      <c r="J110" s="212"/>
      <c r="K110" s="46"/>
      <c r="L110" s="46"/>
      <c r="M110" s="213"/>
      <c r="N110" s="200"/>
      <c r="O110" s="46"/>
      <c r="P110" s="46"/>
      <c r="Q110" s="46"/>
      <c r="R110" s="46"/>
      <c r="S110" s="46"/>
      <c r="T110" s="235"/>
      <c r="U110" s="235"/>
      <c r="V110" s="214"/>
      <c r="W110" s="34"/>
    </row>
    <row r="111" spans="1:23" x14ac:dyDescent="0.35">
      <c r="A111" s="46"/>
      <c r="B111" s="211"/>
      <c r="C111" s="211"/>
      <c r="D111" s="33"/>
      <c r="E111" s="33"/>
      <c r="F111" s="33"/>
      <c r="G111" s="33"/>
      <c r="H111" s="33"/>
      <c r="I111" s="212"/>
      <c r="J111" s="212"/>
      <c r="K111" s="46"/>
      <c r="L111" s="46"/>
      <c r="M111" s="213"/>
      <c r="N111" s="200"/>
      <c r="O111" s="46"/>
      <c r="P111" s="46"/>
      <c r="Q111" s="46"/>
      <c r="R111" s="46"/>
      <c r="S111" s="46"/>
      <c r="T111" s="235"/>
      <c r="U111" s="235"/>
      <c r="V111" s="214"/>
      <c r="W111" s="34"/>
    </row>
    <row r="112" spans="1:23" x14ac:dyDescent="0.35">
      <c r="A112" s="46"/>
      <c r="B112" s="211"/>
      <c r="C112" s="211"/>
      <c r="D112" s="33"/>
      <c r="E112" s="33"/>
      <c r="F112" s="33"/>
      <c r="G112" s="33"/>
      <c r="H112" s="33"/>
      <c r="I112" s="212"/>
      <c r="J112" s="212"/>
      <c r="K112" s="46"/>
      <c r="L112" s="46"/>
      <c r="M112" s="213"/>
      <c r="N112" s="200"/>
      <c r="O112" s="46"/>
      <c r="P112" s="46"/>
      <c r="Q112" s="46"/>
      <c r="R112" s="46"/>
      <c r="S112" s="46"/>
      <c r="T112" s="235"/>
      <c r="U112" s="235"/>
      <c r="V112" s="214"/>
      <c r="W112" s="34"/>
    </row>
    <row r="113" spans="1:23" x14ac:dyDescent="0.35">
      <c r="A113" s="46"/>
      <c r="B113" s="211"/>
      <c r="C113" s="211"/>
      <c r="D113" s="33"/>
      <c r="E113" s="33"/>
      <c r="F113" s="33"/>
      <c r="G113" s="33"/>
      <c r="H113" s="33"/>
      <c r="I113" s="212"/>
      <c r="J113" s="212"/>
      <c r="K113" s="46"/>
      <c r="L113" s="46"/>
      <c r="M113" s="213"/>
      <c r="N113" s="200"/>
      <c r="O113" s="46"/>
      <c r="P113" s="46"/>
      <c r="Q113" s="46"/>
      <c r="R113" s="46"/>
      <c r="S113" s="46"/>
      <c r="T113" s="235"/>
      <c r="U113" s="235"/>
      <c r="V113" s="214"/>
      <c r="W113" s="34"/>
    </row>
    <row r="114" spans="1:23" x14ac:dyDescent="0.35">
      <c r="A114" s="46"/>
      <c r="B114" s="211"/>
      <c r="C114" s="211"/>
      <c r="D114" s="33"/>
      <c r="E114" s="33"/>
      <c r="F114" s="33"/>
      <c r="G114" s="33"/>
      <c r="H114" s="33"/>
      <c r="I114" s="212"/>
      <c r="J114" s="212"/>
      <c r="K114" s="46"/>
      <c r="L114" s="46"/>
      <c r="M114" s="213"/>
      <c r="N114" s="200"/>
      <c r="O114" s="46"/>
      <c r="P114" s="46"/>
      <c r="Q114" s="46"/>
      <c r="R114" s="46"/>
      <c r="S114" s="46"/>
      <c r="T114" s="235"/>
      <c r="U114" s="235"/>
      <c r="V114" s="214"/>
      <c r="W114" s="34"/>
    </row>
    <row r="115" spans="1:23" x14ac:dyDescent="0.35">
      <c r="A115" s="46"/>
      <c r="B115" s="211"/>
      <c r="C115" s="211"/>
      <c r="D115" s="33"/>
      <c r="E115" s="33"/>
      <c r="F115" s="33"/>
      <c r="G115" s="33"/>
      <c r="H115" s="33"/>
      <c r="I115" s="212"/>
      <c r="J115" s="212"/>
      <c r="K115" s="46"/>
      <c r="L115" s="46"/>
      <c r="M115" s="213"/>
      <c r="N115" s="200"/>
      <c r="O115" s="46"/>
      <c r="P115" s="46"/>
      <c r="Q115" s="46"/>
      <c r="R115" s="46"/>
      <c r="S115" s="46"/>
      <c r="T115" s="235"/>
      <c r="U115" s="235"/>
      <c r="V115" s="214"/>
      <c r="W115" s="34"/>
    </row>
    <row r="116" spans="1:23" x14ac:dyDescent="0.35">
      <c r="A116" s="46"/>
      <c r="B116" s="211"/>
      <c r="C116" s="211"/>
      <c r="D116" s="33"/>
      <c r="E116" s="33"/>
      <c r="F116" s="33"/>
      <c r="G116" s="33"/>
      <c r="H116" s="33"/>
      <c r="I116" s="212"/>
      <c r="J116" s="212"/>
      <c r="K116" s="46"/>
      <c r="L116" s="46"/>
      <c r="M116" s="213"/>
      <c r="N116" s="200"/>
      <c r="O116" s="46"/>
      <c r="P116" s="46"/>
      <c r="Q116" s="46"/>
      <c r="R116" s="46"/>
      <c r="S116" s="46"/>
      <c r="T116" s="235"/>
      <c r="U116" s="235"/>
      <c r="V116" s="214"/>
      <c r="W116" s="34"/>
    </row>
    <row r="117" spans="1:23" x14ac:dyDescent="0.35">
      <c r="A117" s="46"/>
      <c r="B117" s="211"/>
      <c r="C117" s="211"/>
      <c r="D117" s="33"/>
      <c r="E117" s="33"/>
      <c r="F117" s="33"/>
      <c r="G117" s="33"/>
      <c r="H117" s="33"/>
      <c r="I117" s="212"/>
      <c r="J117" s="212"/>
      <c r="K117" s="46"/>
      <c r="L117" s="46"/>
      <c r="M117" s="213"/>
      <c r="N117" s="200"/>
      <c r="O117" s="46"/>
      <c r="P117" s="46"/>
      <c r="Q117" s="46"/>
      <c r="R117" s="46"/>
      <c r="S117" s="46"/>
      <c r="T117" s="235"/>
      <c r="U117" s="235"/>
      <c r="V117" s="214"/>
      <c r="W117" s="34"/>
    </row>
    <row r="118" spans="1:23" x14ac:dyDescent="0.35">
      <c r="A118" s="46"/>
      <c r="B118" s="211"/>
      <c r="C118" s="211"/>
      <c r="D118" s="33"/>
      <c r="E118" s="33"/>
      <c r="F118" s="33"/>
      <c r="G118" s="33"/>
      <c r="H118" s="33"/>
      <c r="I118" s="212"/>
      <c r="J118" s="212"/>
      <c r="K118" s="46"/>
      <c r="L118" s="46"/>
      <c r="M118" s="213"/>
      <c r="N118" s="200"/>
      <c r="O118" s="46"/>
      <c r="P118" s="46"/>
      <c r="Q118" s="46"/>
      <c r="R118" s="46"/>
      <c r="S118" s="46"/>
      <c r="T118" s="235"/>
      <c r="U118" s="235"/>
      <c r="V118" s="214"/>
      <c r="W118" s="34"/>
    </row>
    <row r="119" spans="1:23" x14ac:dyDescent="0.35">
      <c r="A119" s="46"/>
      <c r="B119" s="211"/>
      <c r="C119" s="211"/>
      <c r="D119" s="33"/>
      <c r="E119" s="33"/>
      <c r="F119" s="33"/>
      <c r="G119" s="33"/>
      <c r="H119" s="33"/>
      <c r="I119" s="212"/>
      <c r="J119" s="212"/>
      <c r="K119" s="46"/>
      <c r="L119" s="46"/>
      <c r="M119" s="213"/>
      <c r="N119" s="200"/>
      <c r="O119" s="46"/>
      <c r="P119" s="46"/>
      <c r="Q119" s="46"/>
      <c r="R119" s="46"/>
      <c r="S119" s="46"/>
      <c r="T119" s="235"/>
      <c r="U119" s="235"/>
      <c r="V119" s="214"/>
      <c r="W119" s="34"/>
    </row>
    <row r="120" spans="1:23" x14ac:dyDescent="0.35">
      <c r="A120" s="46"/>
      <c r="B120" s="211"/>
      <c r="C120" s="211"/>
      <c r="D120" s="33"/>
      <c r="E120" s="33"/>
      <c r="F120" s="33"/>
      <c r="G120" s="33"/>
      <c r="H120" s="33"/>
      <c r="I120" s="212"/>
      <c r="J120" s="212"/>
      <c r="K120" s="46"/>
      <c r="L120" s="46"/>
      <c r="M120" s="213"/>
      <c r="N120" s="200"/>
      <c r="O120" s="46"/>
      <c r="P120" s="46"/>
      <c r="Q120" s="46"/>
      <c r="R120" s="46"/>
      <c r="S120" s="46"/>
      <c r="T120" s="235"/>
      <c r="U120" s="235"/>
      <c r="V120" s="214"/>
      <c r="W120" s="34"/>
    </row>
    <row r="121" spans="1:23" x14ac:dyDescent="0.35">
      <c r="A121" s="46"/>
      <c r="B121" s="211"/>
      <c r="C121" s="211"/>
      <c r="D121" s="33"/>
      <c r="E121" s="33"/>
      <c r="F121" s="33"/>
      <c r="G121" s="33"/>
      <c r="H121" s="33"/>
      <c r="I121" s="212"/>
      <c r="J121" s="212"/>
      <c r="K121" s="46"/>
      <c r="L121" s="46"/>
      <c r="M121" s="213"/>
      <c r="N121" s="200"/>
      <c r="O121" s="46"/>
      <c r="P121" s="46"/>
      <c r="Q121" s="46"/>
      <c r="R121" s="46"/>
      <c r="S121" s="46"/>
      <c r="T121" s="235"/>
      <c r="U121" s="235"/>
      <c r="V121" s="214"/>
      <c r="W121" s="34"/>
    </row>
    <row r="122" spans="1:23" x14ac:dyDescent="0.35">
      <c r="A122" s="46"/>
      <c r="B122" s="211"/>
      <c r="C122" s="211"/>
      <c r="D122" s="33"/>
      <c r="E122" s="33"/>
      <c r="F122" s="33"/>
      <c r="G122" s="33"/>
      <c r="H122" s="33"/>
      <c r="I122" s="212"/>
      <c r="J122" s="212"/>
      <c r="K122" s="46"/>
      <c r="L122" s="46"/>
      <c r="M122" s="213"/>
      <c r="N122" s="200"/>
      <c r="O122" s="46"/>
      <c r="P122" s="46"/>
      <c r="Q122" s="46"/>
      <c r="R122" s="46"/>
      <c r="S122" s="46"/>
      <c r="T122" s="235"/>
      <c r="U122" s="235"/>
      <c r="V122" s="214"/>
      <c r="W122" s="34"/>
    </row>
    <row r="123" spans="1:23" x14ac:dyDescent="0.35">
      <c r="A123" s="46"/>
      <c r="B123" s="211"/>
      <c r="C123" s="211"/>
      <c r="D123" s="33"/>
      <c r="E123" s="33"/>
      <c r="F123" s="33"/>
      <c r="G123" s="33"/>
      <c r="H123" s="33"/>
      <c r="I123" s="212"/>
      <c r="J123" s="212"/>
      <c r="K123" s="46"/>
      <c r="L123" s="46"/>
      <c r="M123" s="213"/>
      <c r="N123" s="200"/>
      <c r="O123" s="46"/>
      <c r="P123" s="46"/>
      <c r="Q123" s="46"/>
      <c r="R123" s="46"/>
      <c r="S123" s="46"/>
      <c r="T123" s="235"/>
      <c r="U123" s="235"/>
      <c r="V123" s="214"/>
      <c r="W123" s="34"/>
    </row>
    <row r="124" spans="1:23" x14ac:dyDescent="0.35">
      <c r="A124" s="46"/>
      <c r="B124" s="211"/>
      <c r="C124" s="211"/>
      <c r="D124" s="33"/>
      <c r="E124" s="33"/>
      <c r="F124" s="33"/>
      <c r="G124" s="33"/>
      <c r="H124" s="33"/>
      <c r="I124" s="212"/>
      <c r="J124" s="212"/>
      <c r="K124" s="46"/>
      <c r="L124" s="46"/>
      <c r="M124" s="213"/>
      <c r="N124" s="200"/>
      <c r="O124" s="46"/>
      <c r="P124" s="46"/>
      <c r="Q124" s="46"/>
      <c r="R124" s="46"/>
      <c r="S124" s="46"/>
      <c r="T124" s="235"/>
      <c r="U124" s="235"/>
      <c r="V124" s="214"/>
      <c r="W124" s="34"/>
    </row>
    <row r="125" spans="1:23" x14ac:dyDescent="0.35">
      <c r="A125" s="46"/>
      <c r="B125" s="211"/>
      <c r="C125" s="211"/>
      <c r="D125" s="33"/>
      <c r="E125" s="33"/>
      <c r="F125" s="33"/>
      <c r="G125" s="33"/>
      <c r="H125" s="33"/>
      <c r="I125" s="212"/>
      <c r="J125" s="212"/>
      <c r="K125" s="46"/>
      <c r="L125" s="46"/>
      <c r="M125" s="213"/>
      <c r="N125" s="200"/>
      <c r="O125" s="46"/>
      <c r="P125" s="46"/>
      <c r="Q125" s="46"/>
      <c r="R125" s="46"/>
      <c r="S125" s="46"/>
      <c r="T125" s="235"/>
      <c r="U125" s="235"/>
      <c r="V125" s="214"/>
      <c r="W125" s="34"/>
    </row>
    <row r="126" spans="1:23" x14ac:dyDescent="0.35">
      <c r="A126" s="46"/>
      <c r="B126" s="211"/>
      <c r="C126" s="211"/>
      <c r="D126" s="33"/>
      <c r="E126" s="33"/>
      <c r="F126" s="33"/>
      <c r="G126" s="33"/>
      <c r="H126" s="33"/>
      <c r="I126" s="212"/>
      <c r="J126" s="212"/>
      <c r="K126" s="46"/>
      <c r="L126" s="46"/>
      <c r="M126" s="213"/>
      <c r="N126" s="200"/>
      <c r="O126" s="46"/>
      <c r="P126" s="46"/>
      <c r="Q126" s="46"/>
      <c r="R126" s="46"/>
      <c r="S126" s="46"/>
      <c r="T126" s="235"/>
      <c r="U126" s="235"/>
      <c r="V126" s="214"/>
      <c r="W126" s="34"/>
    </row>
    <row r="127" spans="1:23" x14ac:dyDescent="0.35">
      <c r="A127" s="46"/>
      <c r="B127" s="211"/>
      <c r="C127" s="211"/>
      <c r="D127" s="33"/>
      <c r="E127" s="33"/>
      <c r="F127" s="33"/>
      <c r="G127" s="33"/>
      <c r="H127" s="33"/>
      <c r="I127" s="212"/>
      <c r="J127" s="212"/>
      <c r="K127" s="46"/>
      <c r="L127" s="46"/>
      <c r="M127" s="213"/>
      <c r="N127" s="200"/>
      <c r="O127" s="46"/>
      <c r="P127" s="46"/>
      <c r="Q127" s="46"/>
      <c r="R127" s="46"/>
      <c r="S127" s="46"/>
      <c r="T127" s="235"/>
      <c r="U127" s="235"/>
      <c r="V127" s="214"/>
      <c r="W127" s="34"/>
    </row>
    <row r="128" spans="1:23" x14ac:dyDescent="0.35">
      <c r="A128" s="46"/>
      <c r="B128" s="211"/>
      <c r="C128" s="211"/>
      <c r="D128" s="33"/>
      <c r="E128" s="33"/>
      <c r="F128" s="33"/>
      <c r="G128" s="33"/>
      <c r="H128" s="33"/>
      <c r="I128" s="212"/>
      <c r="J128" s="212"/>
      <c r="K128" s="46"/>
      <c r="L128" s="46"/>
      <c r="M128" s="213"/>
      <c r="N128" s="200"/>
      <c r="O128" s="46"/>
      <c r="P128" s="46"/>
      <c r="Q128" s="46"/>
      <c r="R128" s="46"/>
      <c r="S128" s="46"/>
      <c r="T128" s="235"/>
      <c r="U128" s="235"/>
      <c r="V128" s="214"/>
      <c r="W128" s="34"/>
    </row>
    <row r="129" spans="1:23" x14ac:dyDescent="0.35">
      <c r="A129" s="46"/>
      <c r="B129" s="211"/>
      <c r="C129" s="211"/>
      <c r="D129" s="33"/>
      <c r="E129" s="33"/>
      <c r="F129" s="33"/>
      <c r="G129" s="33"/>
      <c r="H129" s="33"/>
      <c r="I129" s="212"/>
      <c r="J129" s="212"/>
      <c r="K129" s="46"/>
      <c r="L129" s="46"/>
      <c r="M129" s="213"/>
      <c r="N129" s="200"/>
      <c r="O129" s="46"/>
      <c r="P129" s="46"/>
      <c r="Q129" s="46"/>
      <c r="R129" s="46"/>
      <c r="S129" s="46"/>
      <c r="T129" s="235"/>
      <c r="U129" s="235"/>
      <c r="V129" s="214"/>
      <c r="W129" s="34"/>
    </row>
    <row r="130" spans="1:23" x14ac:dyDescent="0.35">
      <c r="A130" s="46"/>
      <c r="B130" s="211"/>
      <c r="C130" s="211"/>
      <c r="D130" s="33"/>
      <c r="E130" s="33"/>
      <c r="F130" s="33"/>
      <c r="G130" s="33"/>
      <c r="H130" s="33"/>
      <c r="I130" s="212"/>
      <c r="J130" s="212"/>
      <c r="K130" s="46"/>
      <c r="L130" s="46"/>
      <c r="M130" s="213"/>
      <c r="N130" s="200"/>
      <c r="O130" s="46"/>
      <c r="P130" s="46"/>
      <c r="Q130" s="46"/>
      <c r="R130" s="46"/>
      <c r="S130" s="46"/>
      <c r="T130" s="235"/>
      <c r="U130" s="235"/>
      <c r="V130" s="214"/>
      <c r="W130" s="34"/>
    </row>
    <row r="131" spans="1:23" x14ac:dyDescent="0.35">
      <c r="A131" s="46"/>
      <c r="B131" s="211"/>
      <c r="C131" s="211"/>
      <c r="D131" s="33"/>
      <c r="E131" s="33"/>
      <c r="F131" s="33"/>
      <c r="G131" s="33"/>
      <c r="H131" s="33"/>
      <c r="I131" s="212"/>
      <c r="J131" s="212"/>
      <c r="K131" s="46"/>
      <c r="L131" s="46"/>
      <c r="M131" s="213"/>
      <c r="N131" s="200"/>
      <c r="O131" s="46"/>
      <c r="P131" s="46"/>
      <c r="Q131" s="46"/>
      <c r="R131" s="46"/>
      <c r="S131" s="46"/>
      <c r="T131" s="235"/>
      <c r="U131" s="235"/>
      <c r="V131" s="214"/>
      <c r="W131" s="34"/>
    </row>
    <row r="132" spans="1:23" x14ac:dyDescent="0.35">
      <c r="A132" s="46"/>
      <c r="B132" s="211"/>
      <c r="C132" s="211"/>
      <c r="D132" s="33"/>
      <c r="E132" s="33"/>
      <c r="F132" s="33"/>
      <c r="G132" s="33"/>
      <c r="H132" s="33"/>
      <c r="I132" s="212"/>
      <c r="J132" s="212"/>
      <c r="K132" s="46"/>
      <c r="L132" s="46"/>
      <c r="M132" s="213"/>
      <c r="N132" s="200"/>
      <c r="O132" s="46"/>
      <c r="P132" s="46"/>
      <c r="Q132" s="46"/>
      <c r="R132" s="46"/>
      <c r="S132" s="46"/>
      <c r="T132" s="235"/>
      <c r="U132" s="235"/>
      <c r="V132" s="214"/>
      <c r="W132" s="34"/>
    </row>
    <row r="133" spans="1:23" x14ac:dyDescent="0.35">
      <c r="A133" s="46"/>
      <c r="B133" s="211"/>
      <c r="C133" s="211"/>
      <c r="D133" s="33"/>
      <c r="E133" s="33"/>
      <c r="F133" s="33"/>
      <c r="G133" s="33"/>
      <c r="H133" s="33"/>
      <c r="I133" s="212"/>
      <c r="J133" s="212"/>
      <c r="K133" s="46"/>
      <c r="L133" s="46"/>
      <c r="M133" s="213"/>
      <c r="N133" s="200"/>
      <c r="O133" s="46"/>
      <c r="P133" s="46"/>
      <c r="Q133" s="46"/>
      <c r="R133" s="46"/>
      <c r="S133" s="46"/>
      <c r="T133" s="235"/>
      <c r="U133" s="235"/>
      <c r="V133" s="214"/>
      <c r="W133" s="34"/>
    </row>
    <row r="134" spans="1:23" x14ac:dyDescent="0.35">
      <c r="A134" s="46"/>
      <c r="B134" s="211"/>
      <c r="C134" s="211"/>
      <c r="D134" s="33"/>
      <c r="E134" s="33"/>
      <c r="F134" s="33"/>
      <c r="G134" s="33"/>
      <c r="H134" s="33"/>
      <c r="I134" s="212"/>
      <c r="J134" s="212"/>
      <c r="K134" s="46"/>
      <c r="L134" s="46"/>
      <c r="M134" s="213"/>
      <c r="N134" s="200"/>
      <c r="O134" s="46"/>
      <c r="P134" s="46"/>
      <c r="Q134" s="46"/>
      <c r="R134" s="46"/>
      <c r="S134" s="46"/>
      <c r="T134" s="235"/>
      <c r="U134" s="235"/>
      <c r="V134" s="214"/>
      <c r="W134" s="34"/>
    </row>
    <row r="135" spans="1:23" x14ac:dyDescent="0.35">
      <c r="A135" s="46"/>
      <c r="B135" s="211"/>
      <c r="C135" s="211"/>
      <c r="D135" s="33"/>
      <c r="E135" s="33"/>
      <c r="F135" s="33"/>
      <c r="G135" s="33"/>
      <c r="H135" s="33"/>
      <c r="I135" s="212"/>
      <c r="J135" s="212"/>
      <c r="K135" s="46"/>
      <c r="L135" s="46"/>
      <c r="M135" s="213"/>
      <c r="N135" s="200"/>
      <c r="O135" s="46"/>
      <c r="P135" s="46"/>
      <c r="Q135" s="46"/>
      <c r="R135" s="46"/>
      <c r="S135" s="46"/>
      <c r="T135" s="235"/>
      <c r="U135" s="235"/>
      <c r="V135" s="214"/>
      <c r="W135" s="34"/>
    </row>
    <row r="136" spans="1:23" x14ac:dyDescent="0.35">
      <c r="A136" s="46"/>
      <c r="B136" s="211"/>
      <c r="C136" s="211"/>
      <c r="D136" s="33"/>
      <c r="E136" s="33"/>
      <c r="F136" s="33"/>
      <c r="G136" s="33"/>
      <c r="H136" s="33"/>
      <c r="I136" s="212"/>
      <c r="J136" s="212"/>
      <c r="K136" s="46"/>
      <c r="L136" s="46"/>
      <c r="M136" s="213"/>
      <c r="N136" s="200"/>
      <c r="O136" s="46"/>
      <c r="P136" s="46"/>
      <c r="Q136" s="46"/>
      <c r="R136" s="46"/>
      <c r="S136" s="46"/>
      <c r="T136" s="235"/>
      <c r="U136" s="235"/>
      <c r="V136" s="214"/>
      <c r="W136" s="34"/>
    </row>
    <row r="137" spans="1:23" x14ac:dyDescent="0.35">
      <c r="A137" s="46"/>
      <c r="B137" s="211"/>
      <c r="C137" s="211"/>
      <c r="D137" s="33"/>
      <c r="E137" s="33"/>
      <c r="F137" s="33"/>
      <c r="G137" s="33"/>
      <c r="H137" s="33"/>
      <c r="I137" s="212"/>
      <c r="J137" s="212"/>
      <c r="K137" s="46"/>
      <c r="L137" s="46"/>
      <c r="M137" s="213"/>
      <c r="N137" s="200"/>
      <c r="O137" s="46"/>
      <c r="P137" s="46"/>
      <c r="Q137" s="46"/>
      <c r="R137" s="46"/>
      <c r="S137" s="46"/>
      <c r="T137" s="235"/>
      <c r="U137" s="235"/>
      <c r="V137" s="214"/>
      <c r="W137" s="34"/>
    </row>
    <row r="138" spans="1:23" x14ac:dyDescent="0.35">
      <c r="A138" s="46"/>
      <c r="B138" s="211"/>
      <c r="C138" s="211"/>
      <c r="D138" s="33"/>
      <c r="E138" s="33"/>
      <c r="F138" s="33"/>
      <c r="G138" s="33"/>
      <c r="H138" s="33"/>
      <c r="I138" s="212"/>
      <c r="J138" s="212"/>
      <c r="K138" s="46"/>
      <c r="L138" s="46"/>
      <c r="M138" s="213"/>
      <c r="N138" s="200"/>
      <c r="O138" s="46"/>
      <c r="P138" s="46"/>
      <c r="Q138" s="46"/>
      <c r="R138" s="46"/>
      <c r="S138" s="46"/>
      <c r="T138" s="235"/>
      <c r="U138" s="235"/>
      <c r="V138" s="214"/>
      <c r="W138" s="34"/>
    </row>
    <row r="139" spans="1:23" x14ac:dyDescent="0.35">
      <c r="A139" s="46"/>
      <c r="B139" s="211"/>
      <c r="C139" s="211"/>
      <c r="D139" s="33"/>
      <c r="E139" s="33"/>
      <c r="F139" s="33"/>
      <c r="G139" s="33"/>
      <c r="H139" s="33"/>
      <c r="I139" s="212"/>
      <c r="J139" s="212"/>
      <c r="K139" s="46"/>
      <c r="L139" s="46"/>
      <c r="M139" s="213"/>
      <c r="N139" s="200"/>
      <c r="O139" s="46"/>
      <c r="P139" s="46"/>
      <c r="Q139" s="46"/>
      <c r="R139" s="46"/>
      <c r="S139" s="46"/>
      <c r="T139" s="235"/>
      <c r="U139" s="235"/>
      <c r="V139" s="214"/>
      <c r="W139" s="34"/>
    </row>
    <row r="140" spans="1:23" x14ac:dyDescent="0.35">
      <c r="A140" s="46"/>
      <c r="B140" s="211"/>
      <c r="C140" s="211"/>
      <c r="D140" s="33"/>
      <c r="E140" s="33"/>
      <c r="F140" s="33"/>
      <c r="G140" s="33"/>
      <c r="H140" s="33"/>
      <c r="I140" s="212"/>
      <c r="J140" s="212"/>
      <c r="K140" s="46"/>
      <c r="L140" s="46"/>
      <c r="M140" s="213"/>
      <c r="N140" s="200"/>
      <c r="O140" s="46"/>
      <c r="P140" s="46"/>
      <c r="Q140" s="46"/>
      <c r="R140" s="46"/>
      <c r="S140" s="46"/>
      <c r="T140" s="235"/>
      <c r="U140" s="235"/>
      <c r="V140" s="214"/>
      <c r="W140" s="34"/>
    </row>
    <row r="141" spans="1:23" x14ac:dyDescent="0.35">
      <c r="A141" s="46"/>
      <c r="B141" s="211"/>
      <c r="C141" s="211"/>
      <c r="D141" s="33"/>
      <c r="E141" s="33"/>
      <c r="F141" s="33"/>
      <c r="G141" s="33"/>
      <c r="H141" s="33"/>
      <c r="I141" s="212"/>
      <c r="J141" s="212"/>
      <c r="K141" s="46"/>
      <c r="L141" s="46"/>
      <c r="M141" s="213"/>
      <c r="N141" s="200"/>
      <c r="O141" s="46"/>
      <c r="P141" s="46"/>
      <c r="Q141" s="46"/>
      <c r="R141" s="46"/>
      <c r="S141" s="46"/>
      <c r="T141" s="235"/>
      <c r="U141" s="235"/>
      <c r="V141" s="214"/>
      <c r="W141" s="34"/>
    </row>
    <row r="142" spans="1:23" x14ac:dyDescent="0.35">
      <c r="A142" s="46"/>
      <c r="B142" s="211"/>
      <c r="C142" s="211"/>
      <c r="D142" s="33"/>
      <c r="E142" s="33"/>
      <c r="F142" s="33"/>
      <c r="G142" s="33"/>
      <c r="H142" s="33"/>
      <c r="I142" s="212"/>
      <c r="J142" s="212"/>
      <c r="K142" s="46"/>
      <c r="L142" s="46"/>
      <c r="M142" s="213"/>
      <c r="N142" s="200"/>
      <c r="O142" s="46"/>
      <c r="P142" s="46"/>
      <c r="Q142" s="46"/>
      <c r="R142" s="46"/>
      <c r="S142" s="46"/>
      <c r="T142" s="235"/>
      <c r="U142" s="235"/>
      <c r="V142" s="214"/>
      <c r="W142" s="34"/>
    </row>
    <row r="143" spans="1:23" x14ac:dyDescent="0.35">
      <c r="A143" s="46"/>
      <c r="B143" s="211"/>
      <c r="C143" s="211"/>
      <c r="D143" s="33"/>
      <c r="E143" s="33"/>
      <c r="F143" s="33"/>
      <c r="G143" s="33"/>
      <c r="H143" s="33"/>
      <c r="I143" s="212"/>
      <c r="J143" s="212"/>
      <c r="K143" s="46"/>
      <c r="L143" s="46"/>
      <c r="M143" s="213"/>
      <c r="N143" s="200"/>
      <c r="O143" s="46"/>
      <c r="P143" s="46"/>
      <c r="Q143" s="46"/>
      <c r="R143" s="46"/>
      <c r="S143" s="46"/>
      <c r="T143" s="235"/>
      <c r="U143" s="235"/>
      <c r="V143" s="214"/>
      <c r="W143" s="34"/>
    </row>
    <row r="144" spans="1:23" x14ac:dyDescent="0.35">
      <c r="A144" s="46"/>
      <c r="B144" s="211"/>
      <c r="C144" s="211"/>
      <c r="D144" s="33"/>
      <c r="E144" s="33"/>
      <c r="F144" s="33"/>
      <c r="G144" s="33"/>
      <c r="H144" s="33"/>
      <c r="I144" s="212"/>
      <c r="J144" s="212"/>
      <c r="K144" s="46"/>
      <c r="L144" s="46"/>
      <c r="M144" s="213"/>
      <c r="N144" s="200"/>
      <c r="O144" s="46"/>
      <c r="P144" s="46"/>
      <c r="Q144" s="46"/>
      <c r="R144" s="46"/>
      <c r="S144" s="46"/>
      <c r="T144" s="235"/>
      <c r="U144" s="235"/>
      <c r="V144" s="214"/>
      <c r="W144" s="34"/>
    </row>
    <row r="145" spans="1:23" x14ac:dyDescent="0.35">
      <c r="A145" s="46"/>
      <c r="B145" s="211"/>
      <c r="C145" s="211"/>
      <c r="D145" s="33"/>
      <c r="E145" s="33"/>
      <c r="F145" s="33"/>
      <c r="G145" s="33"/>
      <c r="H145" s="33"/>
      <c r="I145" s="212"/>
      <c r="J145" s="212"/>
      <c r="K145" s="46"/>
      <c r="L145" s="46"/>
      <c r="M145" s="213"/>
      <c r="N145" s="200"/>
      <c r="O145" s="46"/>
      <c r="P145" s="46"/>
      <c r="Q145" s="46"/>
      <c r="R145" s="46"/>
      <c r="S145" s="46"/>
      <c r="T145" s="235"/>
      <c r="U145" s="235"/>
      <c r="V145" s="214"/>
      <c r="W145" s="34"/>
    </row>
    <row r="146" spans="1:23" x14ac:dyDescent="0.35">
      <c r="A146" s="46"/>
      <c r="B146" s="211"/>
      <c r="C146" s="211"/>
      <c r="D146" s="33"/>
      <c r="E146" s="33"/>
      <c r="F146" s="33"/>
      <c r="G146" s="33"/>
      <c r="H146" s="33"/>
      <c r="I146" s="212"/>
      <c r="J146" s="212"/>
      <c r="K146" s="46"/>
      <c r="L146" s="46"/>
      <c r="M146" s="213"/>
      <c r="N146" s="200"/>
      <c r="O146" s="46"/>
      <c r="P146" s="46"/>
      <c r="Q146" s="46"/>
      <c r="R146" s="46"/>
      <c r="S146" s="46"/>
      <c r="T146" s="235"/>
      <c r="U146" s="235"/>
      <c r="V146" s="214"/>
      <c r="W146" s="34"/>
    </row>
    <row r="147" spans="1:23" x14ac:dyDescent="0.35">
      <c r="A147" s="46"/>
      <c r="B147" s="211"/>
      <c r="C147" s="211"/>
      <c r="D147" s="33"/>
      <c r="E147" s="33"/>
      <c r="F147" s="33"/>
      <c r="G147" s="33"/>
      <c r="H147" s="33"/>
      <c r="I147" s="212"/>
      <c r="J147" s="212"/>
      <c r="K147" s="46"/>
      <c r="L147" s="46"/>
      <c r="M147" s="213"/>
      <c r="N147" s="200"/>
      <c r="O147" s="46"/>
      <c r="P147" s="46"/>
      <c r="Q147" s="46"/>
      <c r="R147" s="46"/>
      <c r="S147" s="46"/>
      <c r="T147" s="235"/>
      <c r="U147" s="235"/>
      <c r="V147" s="214"/>
      <c r="W147" s="34"/>
    </row>
    <row r="148" spans="1:23" x14ac:dyDescent="0.35">
      <c r="A148" s="46"/>
      <c r="B148" s="211"/>
      <c r="C148" s="211"/>
      <c r="D148" s="33"/>
      <c r="E148" s="33"/>
      <c r="F148" s="33"/>
      <c r="G148" s="33"/>
      <c r="H148" s="33"/>
      <c r="I148" s="212"/>
      <c r="J148" s="212"/>
      <c r="K148" s="46"/>
      <c r="L148" s="46"/>
      <c r="M148" s="213"/>
      <c r="N148" s="200"/>
      <c r="O148" s="46"/>
      <c r="P148" s="46"/>
      <c r="Q148" s="46"/>
      <c r="R148" s="46"/>
      <c r="S148" s="46"/>
      <c r="T148" s="235"/>
      <c r="U148" s="235"/>
      <c r="V148" s="214"/>
      <c r="W148" s="34"/>
    </row>
    <row r="149" spans="1:23" x14ac:dyDescent="0.35">
      <c r="A149" s="46"/>
      <c r="B149" s="211"/>
      <c r="C149" s="211"/>
      <c r="D149" s="33"/>
      <c r="E149" s="33"/>
      <c r="F149" s="33"/>
      <c r="G149" s="33"/>
      <c r="H149" s="33"/>
      <c r="I149" s="212"/>
      <c r="J149" s="212"/>
      <c r="K149" s="46"/>
      <c r="L149" s="46"/>
      <c r="M149" s="213"/>
      <c r="N149" s="200"/>
      <c r="O149" s="46"/>
      <c r="P149" s="46"/>
      <c r="Q149" s="46"/>
      <c r="R149" s="46"/>
      <c r="S149" s="46"/>
      <c r="T149" s="235"/>
      <c r="U149" s="235"/>
      <c r="V149" s="214"/>
      <c r="W149" s="34"/>
    </row>
    <row r="150" spans="1:23" x14ac:dyDescent="0.35">
      <c r="A150" s="46"/>
      <c r="B150" s="211"/>
      <c r="C150" s="211"/>
      <c r="D150" s="33"/>
      <c r="E150" s="33"/>
      <c r="F150" s="33"/>
      <c r="G150" s="33"/>
      <c r="H150" s="33"/>
      <c r="I150" s="212"/>
      <c r="J150" s="212"/>
      <c r="K150" s="46"/>
      <c r="L150" s="46"/>
      <c r="M150" s="213"/>
      <c r="N150" s="200"/>
      <c r="O150" s="46"/>
      <c r="P150" s="46"/>
      <c r="Q150" s="46"/>
      <c r="R150" s="46"/>
      <c r="S150" s="46"/>
      <c r="T150" s="235"/>
      <c r="U150" s="235"/>
      <c r="V150" s="214"/>
      <c r="W150" s="34"/>
    </row>
    <row r="151" spans="1:23" x14ac:dyDescent="0.35">
      <c r="A151" s="46"/>
      <c r="B151" s="211"/>
      <c r="C151" s="211"/>
      <c r="D151" s="33"/>
      <c r="E151" s="33"/>
      <c r="F151" s="33"/>
      <c r="G151" s="33"/>
      <c r="H151" s="33"/>
      <c r="I151" s="212"/>
      <c r="J151" s="212"/>
      <c r="K151" s="46"/>
      <c r="L151" s="46"/>
      <c r="M151" s="213"/>
      <c r="N151" s="200"/>
      <c r="O151" s="46"/>
      <c r="P151" s="46"/>
      <c r="Q151" s="46"/>
      <c r="R151" s="46"/>
      <c r="S151" s="46"/>
      <c r="T151" s="235"/>
      <c r="U151" s="235"/>
      <c r="V151" s="214"/>
      <c r="W151" s="34"/>
    </row>
    <row r="152" spans="1:23" x14ac:dyDescent="0.35">
      <c r="A152" s="46"/>
      <c r="B152" s="211"/>
      <c r="C152" s="211"/>
      <c r="D152" s="33"/>
      <c r="E152" s="33"/>
      <c r="F152" s="33"/>
      <c r="G152" s="33"/>
      <c r="H152" s="33"/>
      <c r="I152" s="212"/>
      <c r="J152" s="212"/>
      <c r="K152" s="46"/>
      <c r="L152" s="46"/>
      <c r="M152" s="213"/>
      <c r="N152" s="200"/>
      <c r="O152" s="46"/>
      <c r="P152" s="46"/>
      <c r="Q152" s="46"/>
      <c r="R152" s="46"/>
      <c r="S152" s="46"/>
      <c r="T152" s="235"/>
      <c r="U152" s="235"/>
      <c r="V152" s="214"/>
      <c r="W152" s="34"/>
    </row>
    <row r="153" spans="1:23" x14ac:dyDescent="0.35">
      <c r="A153" s="46"/>
      <c r="B153" s="211"/>
      <c r="C153" s="211"/>
      <c r="D153" s="33"/>
      <c r="E153" s="33"/>
      <c r="F153" s="33"/>
      <c r="G153" s="33"/>
      <c r="H153" s="33"/>
      <c r="I153" s="212"/>
      <c r="J153" s="212"/>
      <c r="K153" s="46"/>
      <c r="L153" s="46"/>
      <c r="M153" s="213"/>
      <c r="N153" s="200"/>
      <c r="O153" s="46"/>
      <c r="P153" s="46"/>
      <c r="Q153" s="46"/>
      <c r="R153" s="46"/>
      <c r="S153" s="46"/>
      <c r="T153" s="235"/>
      <c r="U153" s="235"/>
      <c r="V153" s="214"/>
      <c r="W153" s="34"/>
    </row>
    <row r="154" spans="1:23" x14ac:dyDescent="0.35">
      <c r="A154" s="46"/>
      <c r="B154" s="211"/>
      <c r="C154" s="211"/>
      <c r="D154" s="33"/>
      <c r="E154" s="33"/>
      <c r="F154" s="33"/>
      <c r="G154" s="33"/>
      <c r="H154" s="33"/>
      <c r="I154" s="212"/>
      <c r="J154" s="212"/>
      <c r="K154" s="46"/>
      <c r="L154" s="46"/>
      <c r="M154" s="213"/>
      <c r="N154" s="200"/>
      <c r="O154" s="46"/>
      <c r="P154" s="46"/>
      <c r="Q154" s="46"/>
      <c r="R154" s="46"/>
      <c r="S154" s="46"/>
      <c r="T154" s="235"/>
      <c r="U154" s="235"/>
      <c r="V154" s="214"/>
      <c r="W154" s="34"/>
    </row>
    <row r="155" spans="1:23" x14ac:dyDescent="0.35">
      <c r="A155" s="46"/>
      <c r="B155" s="211"/>
      <c r="C155" s="211"/>
      <c r="D155" s="33"/>
      <c r="E155" s="33"/>
      <c r="F155" s="33"/>
      <c r="G155" s="33"/>
      <c r="H155" s="33"/>
      <c r="I155" s="212"/>
      <c r="J155" s="212"/>
      <c r="K155" s="46"/>
      <c r="L155" s="46"/>
      <c r="M155" s="213"/>
      <c r="N155" s="200"/>
      <c r="O155" s="46"/>
      <c r="P155" s="46"/>
      <c r="Q155" s="46"/>
      <c r="R155" s="46"/>
      <c r="S155" s="46"/>
      <c r="T155" s="235"/>
      <c r="U155" s="235"/>
      <c r="V155" s="214"/>
      <c r="W155" s="34"/>
    </row>
    <row r="156" spans="1:23" x14ac:dyDescent="0.35">
      <c r="A156" s="46"/>
      <c r="B156" s="211"/>
      <c r="C156" s="211"/>
      <c r="D156" s="33"/>
      <c r="E156" s="33"/>
      <c r="F156" s="33"/>
      <c r="G156" s="33"/>
      <c r="H156" s="33"/>
      <c r="I156" s="212"/>
      <c r="J156" s="212"/>
      <c r="K156" s="46"/>
      <c r="L156" s="46"/>
      <c r="M156" s="213"/>
      <c r="N156" s="200"/>
      <c r="O156" s="46"/>
      <c r="P156" s="46"/>
      <c r="Q156" s="46"/>
      <c r="R156" s="46"/>
      <c r="S156" s="46"/>
      <c r="T156" s="235"/>
      <c r="U156" s="235"/>
      <c r="V156" s="214"/>
      <c r="W156" s="34"/>
    </row>
    <row r="157" spans="1:23" x14ac:dyDescent="0.35">
      <c r="A157" s="46"/>
      <c r="B157" s="211"/>
      <c r="C157" s="211"/>
      <c r="D157" s="33"/>
      <c r="E157" s="33"/>
      <c r="F157" s="33"/>
      <c r="G157" s="33"/>
      <c r="H157" s="33"/>
      <c r="I157" s="212"/>
      <c r="J157" s="212"/>
      <c r="K157" s="46"/>
      <c r="L157" s="46"/>
      <c r="M157" s="213"/>
      <c r="N157" s="200"/>
      <c r="O157" s="46"/>
      <c r="P157" s="46"/>
      <c r="Q157" s="46"/>
      <c r="R157" s="46"/>
      <c r="S157" s="46"/>
      <c r="T157" s="235"/>
      <c r="U157" s="235"/>
      <c r="V157" s="214"/>
      <c r="W157" s="34"/>
    </row>
    <row r="158" spans="1:23" x14ac:dyDescent="0.35">
      <c r="A158" s="46"/>
      <c r="B158" s="211"/>
      <c r="C158" s="211"/>
      <c r="D158" s="33"/>
      <c r="E158" s="33"/>
      <c r="F158" s="33"/>
      <c r="G158" s="33"/>
      <c r="H158" s="33"/>
      <c r="I158" s="212"/>
      <c r="J158" s="212"/>
      <c r="K158" s="46"/>
      <c r="L158" s="46"/>
      <c r="M158" s="213"/>
      <c r="N158" s="200"/>
      <c r="O158" s="46"/>
      <c r="P158" s="46"/>
      <c r="Q158" s="46"/>
      <c r="R158" s="46"/>
      <c r="S158" s="46"/>
      <c r="T158" s="235"/>
      <c r="U158" s="235"/>
      <c r="V158" s="214"/>
      <c r="W158" s="34"/>
    </row>
    <row r="159" spans="1:23" x14ac:dyDescent="0.35">
      <c r="A159" s="46"/>
      <c r="B159" s="211"/>
      <c r="C159" s="211"/>
      <c r="D159" s="33"/>
      <c r="E159" s="33"/>
      <c r="F159" s="33"/>
      <c r="G159" s="33"/>
      <c r="H159" s="33"/>
      <c r="I159" s="212"/>
      <c r="J159" s="212"/>
      <c r="K159" s="46"/>
      <c r="L159" s="46"/>
      <c r="M159" s="213"/>
      <c r="N159" s="200"/>
      <c r="O159" s="46"/>
      <c r="P159" s="46"/>
      <c r="Q159" s="46"/>
      <c r="R159" s="46"/>
      <c r="S159" s="46"/>
      <c r="T159" s="235"/>
      <c r="U159" s="235"/>
      <c r="V159" s="214"/>
      <c r="W159" s="34"/>
    </row>
    <row r="160" spans="1:23" x14ac:dyDescent="0.35">
      <c r="A160" s="46"/>
      <c r="B160" s="211"/>
      <c r="C160" s="211"/>
      <c r="D160" s="33"/>
      <c r="E160" s="33"/>
      <c r="F160" s="33"/>
      <c r="G160" s="33"/>
      <c r="H160" s="33"/>
      <c r="I160" s="212"/>
      <c r="J160" s="212"/>
      <c r="K160" s="46"/>
      <c r="L160" s="46"/>
      <c r="M160" s="213"/>
      <c r="N160" s="200"/>
      <c r="O160" s="46"/>
      <c r="P160" s="46"/>
      <c r="Q160" s="46"/>
      <c r="R160" s="46"/>
      <c r="S160" s="46"/>
      <c r="T160" s="235"/>
      <c r="U160" s="235"/>
      <c r="V160" s="214"/>
      <c r="W160" s="34"/>
    </row>
    <row r="161" spans="1:23" x14ac:dyDescent="0.35">
      <c r="A161" s="46"/>
      <c r="B161" s="211"/>
      <c r="C161" s="211"/>
      <c r="D161" s="33"/>
      <c r="E161" s="33"/>
      <c r="F161" s="33"/>
      <c r="G161" s="33"/>
      <c r="H161" s="33"/>
      <c r="I161" s="212"/>
      <c r="J161" s="212"/>
      <c r="K161" s="46"/>
      <c r="L161" s="46"/>
      <c r="M161" s="213"/>
      <c r="N161" s="200"/>
      <c r="O161" s="46"/>
      <c r="P161" s="46"/>
      <c r="Q161" s="46"/>
      <c r="R161" s="46"/>
      <c r="S161" s="46"/>
      <c r="T161" s="235"/>
      <c r="U161" s="235"/>
      <c r="V161" s="214"/>
      <c r="W161" s="34"/>
    </row>
    <row r="162" spans="1:23" x14ac:dyDescent="0.35">
      <c r="A162" s="46"/>
      <c r="B162" s="211"/>
      <c r="C162" s="211"/>
      <c r="D162" s="33"/>
      <c r="E162" s="33"/>
      <c r="F162" s="33"/>
      <c r="G162" s="33"/>
      <c r="H162" s="33"/>
      <c r="I162" s="212"/>
      <c r="J162" s="212"/>
      <c r="K162" s="46"/>
      <c r="L162" s="46"/>
      <c r="M162" s="213"/>
      <c r="N162" s="200"/>
      <c r="O162" s="46"/>
      <c r="P162" s="46"/>
      <c r="Q162" s="46"/>
      <c r="R162" s="46"/>
      <c r="S162" s="46"/>
      <c r="T162" s="235"/>
      <c r="U162" s="235"/>
      <c r="V162" s="214"/>
      <c r="W162" s="34"/>
    </row>
    <row r="163" spans="1:23" x14ac:dyDescent="0.35">
      <c r="A163" s="46"/>
      <c r="B163" s="211"/>
      <c r="C163" s="211"/>
      <c r="D163" s="33"/>
      <c r="E163" s="33"/>
      <c r="F163" s="33"/>
      <c r="G163" s="33"/>
      <c r="H163" s="33"/>
      <c r="I163" s="212"/>
      <c r="J163" s="212"/>
      <c r="K163" s="46"/>
      <c r="L163" s="46"/>
      <c r="M163" s="213"/>
      <c r="N163" s="200"/>
      <c r="O163" s="46"/>
      <c r="P163" s="46"/>
      <c r="Q163" s="46"/>
      <c r="R163" s="46"/>
      <c r="S163" s="46"/>
      <c r="T163" s="235"/>
      <c r="U163" s="235"/>
      <c r="V163" s="214"/>
      <c r="W163" s="34"/>
    </row>
    <row r="164" spans="1:23" x14ac:dyDescent="0.35">
      <c r="A164" s="46"/>
      <c r="B164" s="211"/>
      <c r="C164" s="211"/>
      <c r="D164" s="33"/>
      <c r="E164" s="33"/>
      <c r="F164" s="33"/>
      <c r="G164" s="33"/>
      <c r="H164" s="33"/>
      <c r="I164" s="212"/>
      <c r="J164" s="212"/>
      <c r="K164" s="46"/>
      <c r="L164" s="46"/>
      <c r="M164" s="213"/>
      <c r="N164" s="200"/>
      <c r="O164" s="46"/>
      <c r="P164" s="46"/>
      <c r="Q164" s="46"/>
      <c r="R164" s="46"/>
      <c r="S164" s="46"/>
      <c r="T164" s="235"/>
      <c r="U164" s="235"/>
      <c r="V164" s="214"/>
      <c r="W164" s="34"/>
    </row>
    <row r="165" spans="1:23" x14ac:dyDescent="0.35">
      <c r="A165" s="46"/>
      <c r="B165" s="211"/>
      <c r="C165" s="211"/>
      <c r="D165" s="33"/>
      <c r="E165" s="33"/>
      <c r="F165" s="33"/>
      <c r="G165" s="33"/>
      <c r="H165" s="33"/>
      <c r="I165" s="212"/>
      <c r="J165" s="212"/>
      <c r="K165" s="46"/>
      <c r="L165" s="46"/>
      <c r="M165" s="213"/>
      <c r="N165" s="200"/>
      <c r="O165" s="46"/>
      <c r="P165" s="46"/>
      <c r="Q165" s="46"/>
      <c r="R165" s="46"/>
      <c r="S165" s="46"/>
      <c r="T165" s="235"/>
      <c r="U165" s="235"/>
      <c r="V165" s="214"/>
      <c r="W165" s="34"/>
    </row>
    <row r="166" spans="1:23" x14ac:dyDescent="0.35">
      <c r="A166" s="46"/>
      <c r="B166" s="211"/>
      <c r="C166" s="211"/>
      <c r="D166" s="33"/>
      <c r="E166" s="33"/>
      <c r="F166" s="33"/>
      <c r="G166" s="33"/>
      <c r="H166" s="33"/>
      <c r="I166" s="212"/>
      <c r="J166" s="212"/>
      <c r="K166" s="46"/>
      <c r="L166" s="46"/>
      <c r="M166" s="213"/>
      <c r="N166" s="200"/>
      <c r="O166" s="46"/>
      <c r="P166" s="46"/>
      <c r="Q166" s="46"/>
      <c r="R166" s="46"/>
      <c r="S166" s="46"/>
      <c r="T166" s="235"/>
      <c r="U166" s="235"/>
      <c r="V166" s="214"/>
      <c r="W166" s="34"/>
    </row>
    <row r="167" spans="1:23" x14ac:dyDescent="0.35">
      <c r="A167" s="46"/>
      <c r="B167" s="211"/>
      <c r="C167" s="211"/>
      <c r="D167" s="33"/>
      <c r="E167" s="33"/>
      <c r="F167" s="33"/>
      <c r="G167" s="33"/>
      <c r="H167" s="33"/>
      <c r="I167" s="212"/>
      <c r="J167" s="212"/>
      <c r="K167" s="46"/>
      <c r="L167" s="46"/>
      <c r="M167" s="213"/>
      <c r="N167" s="200"/>
      <c r="O167" s="46"/>
      <c r="P167" s="46"/>
      <c r="Q167" s="46"/>
      <c r="R167" s="46"/>
      <c r="S167" s="46"/>
      <c r="T167" s="235"/>
      <c r="U167" s="235"/>
      <c r="V167" s="214"/>
      <c r="W167" s="34"/>
    </row>
    <row r="168" spans="1:23" x14ac:dyDescent="0.35">
      <c r="A168" s="46"/>
      <c r="B168" s="211"/>
      <c r="C168" s="211"/>
      <c r="D168" s="33"/>
      <c r="E168" s="33"/>
      <c r="F168" s="33"/>
      <c r="G168" s="33"/>
      <c r="H168" s="33"/>
      <c r="I168" s="212"/>
      <c r="J168" s="212"/>
      <c r="K168" s="46"/>
      <c r="L168" s="46"/>
      <c r="M168" s="213"/>
      <c r="N168" s="200"/>
      <c r="O168" s="46"/>
      <c r="P168" s="46"/>
      <c r="Q168" s="46"/>
      <c r="R168" s="46"/>
      <c r="S168" s="46"/>
      <c r="T168" s="235"/>
      <c r="U168" s="235"/>
      <c r="V168" s="214"/>
      <c r="W168" s="34"/>
    </row>
    <row r="169" spans="1:23" x14ac:dyDescent="0.35">
      <c r="A169" s="46"/>
      <c r="B169" s="211"/>
      <c r="C169" s="211"/>
      <c r="D169" s="33"/>
      <c r="E169" s="33"/>
      <c r="F169" s="33"/>
      <c r="G169" s="33"/>
      <c r="H169" s="33"/>
      <c r="I169" s="212"/>
      <c r="J169" s="212"/>
      <c r="K169" s="46"/>
      <c r="L169" s="46"/>
      <c r="M169" s="213"/>
      <c r="N169" s="200"/>
      <c r="O169" s="46"/>
      <c r="P169" s="46"/>
      <c r="Q169" s="46"/>
      <c r="R169" s="46"/>
      <c r="S169" s="46"/>
      <c r="T169" s="235"/>
      <c r="U169" s="235"/>
      <c r="V169" s="214"/>
      <c r="W169" s="34"/>
    </row>
    <row r="170" spans="1:23" x14ac:dyDescent="0.35">
      <c r="A170" s="46"/>
      <c r="B170" s="211"/>
      <c r="C170" s="211"/>
      <c r="D170" s="33"/>
      <c r="E170" s="33"/>
      <c r="F170" s="33"/>
      <c r="G170" s="33"/>
      <c r="H170" s="33"/>
      <c r="I170" s="212"/>
      <c r="J170" s="212"/>
      <c r="K170" s="46"/>
      <c r="L170" s="46"/>
      <c r="M170" s="213"/>
      <c r="N170" s="200"/>
      <c r="O170" s="46"/>
      <c r="P170" s="46"/>
      <c r="Q170" s="46"/>
      <c r="R170" s="46"/>
      <c r="S170" s="46"/>
      <c r="T170" s="235"/>
      <c r="U170" s="235"/>
      <c r="V170" s="214"/>
      <c r="W170" s="34"/>
    </row>
    <row r="171" spans="1:23" x14ac:dyDescent="0.35">
      <c r="A171" s="46"/>
      <c r="B171" s="211"/>
      <c r="C171" s="211"/>
      <c r="D171" s="33"/>
      <c r="E171" s="33"/>
      <c r="F171" s="33"/>
      <c r="G171" s="33"/>
      <c r="H171" s="33"/>
      <c r="I171" s="212"/>
      <c r="J171" s="212"/>
      <c r="K171" s="46"/>
      <c r="L171" s="46"/>
      <c r="M171" s="213"/>
      <c r="N171" s="200"/>
      <c r="O171" s="46"/>
      <c r="P171" s="46"/>
      <c r="Q171" s="46"/>
      <c r="R171" s="46"/>
      <c r="S171" s="46"/>
      <c r="T171" s="235"/>
      <c r="U171" s="235"/>
      <c r="V171" s="214"/>
      <c r="W171" s="34"/>
    </row>
    <row r="172" spans="1:23" x14ac:dyDescent="0.35">
      <c r="A172" s="46"/>
      <c r="B172" s="211"/>
      <c r="C172" s="211"/>
      <c r="D172" s="33"/>
      <c r="E172" s="33"/>
      <c r="F172" s="33"/>
      <c r="G172" s="33"/>
      <c r="H172" s="33"/>
      <c r="I172" s="212"/>
      <c r="J172" s="212"/>
      <c r="K172" s="46"/>
      <c r="L172" s="46"/>
      <c r="M172" s="213"/>
      <c r="N172" s="200"/>
      <c r="O172" s="46"/>
      <c r="P172" s="46"/>
      <c r="Q172" s="46"/>
      <c r="R172" s="46"/>
      <c r="S172" s="46"/>
      <c r="T172" s="235"/>
      <c r="U172" s="235"/>
      <c r="V172" s="214"/>
      <c r="W172" s="34"/>
    </row>
    <row r="173" spans="1:23" x14ac:dyDescent="0.35">
      <c r="A173" s="46"/>
      <c r="B173" s="211"/>
      <c r="C173" s="211"/>
      <c r="D173" s="33"/>
      <c r="E173" s="33"/>
      <c r="F173" s="33"/>
      <c r="G173" s="33"/>
      <c r="H173" s="33"/>
      <c r="I173" s="212"/>
      <c r="J173" s="212"/>
      <c r="K173" s="46"/>
      <c r="L173" s="46"/>
      <c r="M173" s="213"/>
      <c r="N173" s="200"/>
      <c r="O173" s="46"/>
      <c r="P173" s="46"/>
      <c r="Q173" s="46"/>
      <c r="R173" s="46"/>
      <c r="S173" s="46"/>
      <c r="T173" s="235"/>
      <c r="U173" s="235"/>
      <c r="V173" s="214"/>
      <c r="W173" s="34"/>
    </row>
    <row r="174" spans="1:23" x14ac:dyDescent="0.35">
      <c r="A174" s="46"/>
      <c r="B174" s="211"/>
      <c r="C174" s="211"/>
      <c r="D174" s="33"/>
      <c r="E174" s="33"/>
      <c r="F174" s="33"/>
      <c r="G174" s="33"/>
      <c r="H174" s="33"/>
      <c r="I174" s="212"/>
      <c r="J174" s="212"/>
      <c r="K174" s="46"/>
      <c r="L174" s="46"/>
      <c r="M174" s="213"/>
      <c r="N174" s="200"/>
      <c r="O174" s="46"/>
      <c r="P174" s="46"/>
      <c r="Q174" s="46"/>
      <c r="R174" s="46"/>
      <c r="S174" s="46"/>
      <c r="T174" s="235"/>
      <c r="U174" s="235"/>
      <c r="V174" s="214"/>
      <c r="W174" s="34"/>
    </row>
    <row r="175" spans="1:23" x14ac:dyDescent="0.35">
      <c r="A175" s="46"/>
      <c r="B175" s="211"/>
      <c r="C175" s="211"/>
      <c r="D175" s="33"/>
      <c r="E175" s="33"/>
      <c r="F175" s="33"/>
      <c r="G175" s="33"/>
      <c r="H175" s="33"/>
      <c r="I175" s="212"/>
      <c r="J175" s="212"/>
      <c r="K175" s="46"/>
      <c r="L175" s="46"/>
      <c r="M175" s="213"/>
      <c r="N175" s="200"/>
      <c r="O175" s="46"/>
      <c r="P175" s="46"/>
      <c r="Q175" s="46"/>
      <c r="R175" s="46"/>
      <c r="S175" s="46"/>
      <c r="T175" s="235"/>
      <c r="U175" s="235"/>
      <c r="V175" s="214"/>
      <c r="W175" s="34"/>
    </row>
    <row r="176" spans="1:23" x14ac:dyDescent="0.35">
      <c r="A176" s="46"/>
      <c r="B176" s="211"/>
      <c r="C176" s="211"/>
      <c r="D176" s="33"/>
      <c r="E176" s="33"/>
      <c r="F176" s="33"/>
      <c r="G176" s="33"/>
      <c r="H176" s="33"/>
      <c r="I176" s="212"/>
      <c r="J176" s="212"/>
      <c r="K176" s="46"/>
      <c r="L176" s="46"/>
      <c r="M176" s="213"/>
      <c r="N176" s="200"/>
      <c r="O176" s="46"/>
      <c r="P176" s="46"/>
      <c r="Q176" s="46"/>
      <c r="R176" s="46"/>
      <c r="S176" s="46"/>
      <c r="T176" s="235"/>
      <c r="U176" s="235"/>
      <c r="V176" s="214"/>
      <c r="W176" s="34"/>
    </row>
    <row r="177" spans="1:23" x14ac:dyDescent="0.35">
      <c r="A177" s="46"/>
      <c r="B177" s="211"/>
      <c r="C177" s="211"/>
      <c r="D177" s="33"/>
      <c r="E177" s="33"/>
      <c r="F177" s="33"/>
      <c r="G177" s="33"/>
      <c r="H177" s="33"/>
      <c r="I177" s="212"/>
      <c r="J177" s="212"/>
      <c r="K177" s="46"/>
      <c r="L177" s="46"/>
      <c r="M177" s="213"/>
      <c r="N177" s="200"/>
      <c r="O177" s="46"/>
      <c r="P177" s="46"/>
      <c r="Q177" s="46"/>
      <c r="R177" s="46"/>
      <c r="S177" s="46"/>
      <c r="T177" s="235"/>
      <c r="U177" s="235"/>
      <c r="V177" s="214"/>
      <c r="W177" s="34"/>
    </row>
    <row r="178" spans="1:23" x14ac:dyDescent="0.35">
      <c r="A178" s="46"/>
      <c r="B178" s="211"/>
      <c r="C178" s="211"/>
      <c r="D178" s="33"/>
      <c r="E178" s="33"/>
      <c r="F178" s="33"/>
      <c r="G178" s="33"/>
      <c r="H178" s="33"/>
      <c r="I178" s="212"/>
      <c r="J178" s="212"/>
      <c r="K178" s="46"/>
      <c r="L178" s="46"/>
      <c r="M178" s="213"/>
      <c r="N178" s="200"/>
      <c r="O178" s="46"/>
      <c r="P178" s="46"/>
      <c r="Q178" s="46"/>
      <c r="R178" s="46"/>
      <c r="S178" s="46"/>
      <c r="T178" s="235"/>
      <c r="U178" s="235"/>
      <c r="V178" s="214"/>
      <c r="W178" s="34"/>
    </row>
    <row r="179" spans="1:23" x14ac:dyDescent="0.35">
      <c r="A179" s="46"/>
      <c r="B179" s="211"/>
      <c r="C179" s="211"/>
      <c r="D179" s="33"/>
      <c r="E179" s="33"/>
      <c r="F179" s="33"/>
      <c r="G179" s="33"/>
      <c r="H179" s="33"/>
      <c r="I179" s="212"/>
      <c r="J179" s="212"/>
      <c r="K179" s="46"/>
      <c r="L179" s="46"/>
      <c r="M179" s="213"/>
      <c r="N179" s="200"/>
      <c r="O179" s="46"/>
      <c r="P179" s="46"/>
      <c r="Q179" s="46"/>
      <c r="R179" s="46"/>
      <c r="S179" s="46"/>
      <c r="T179" s="235"/>
      <c r="U179" s="235"/>
      <c r="V179" s="214"/>
      <c r="W179" s="34"/>
    </row>
    <row r="180" spans="1:23" x14ac:dyDescent="0.35">
      <c r="A180" s="46"/>
      <c r="B180" s="211"/>
      <c r="C180" s="211"/>
      <c r="D180" s="33"/>
      <c r="E180" s="33"/>
      <c r="F180" s="33"/>
      <c r="G180" s="33"/>
      <c r="H180" s="33"/>
      <c r="I180" s="212"/>
      <c r="J180" s="212"/>
      <c r="K180" s="46"/>
      <c r="L180" s="46"/>
      <c r="M180" s="213"/>
      <c r="N180" s="200"/>
      <c r="O180" s="46"/>
      <c r="P180" s="46"/>
      <c r="Q180" s="46"/>
      <c r="R180" s="46"/>
      <c r="S180" s="46"/>
      <c r="T180" s="235"/>
      <c r="U180" s="235"/>
      <c r="V180" s="214"/>
      <c r="W180" s="34"/>
    </row>
    <row r="181" spans="1:23" x14ac:dyDescent="0.35">
      <c r="A181" s="46"/>
      <c r="B181" s="211"/>
      <c r="C181" s="211"/>
      <c r="D181" s="33"/>
      <c r="E181" s="33"/>
      <c r="F181" s="33"/>
      <c r="G181" s="33"/>
      <c r="H181" s="33"/>
      <c r="I181" s="212"/>
      <c r="J181" s="212"/>
      <c r="K181" s="46"/>
      <c r="L181" s="46"/>
      <c r="M181" s="213"/>
      <c r="N181" s="200"/>
      <c r="O181" s="46"/>
      <c r="P181" s="46"/>
      <c r="Q181" s="46"/>
      <c r="R181" s="46"/>
      <c r="S181" s="46"/>
      <c r="T181" s="235"/>
      <c r="U181" s="235"/>
      <c r="V181" s="214"/>
      <c r="W181" s="34"/>
    </row>
    <row r="182" spans="1:23" x14ac:dyDescent="0.35">
      <c r="A182" s="46"/>
      <c r="B182" s="211"/>
      <c r="C182" s="211"/>
      <c r="D182" s="33"/>
      <c r="E182" s="33"/>
      <c r="F182" s="33"/>
      <c r="G182" s="33"/>
      <c r="H182" s="33"/>
      <c r="I182" s="212"/>
      <c r="J182" s="212"/>
      <c r="K182" s="46"/>
      <c r="L182" s="46"/>
      <c r="M182" s="213"/>
      <c r="N182" s="200"/>
      <c r="O182" s="46"/>
      <c r="P182" s="46"/>
      <c r="Q182" s="46"/>
      <c r="R182" s="46"/>
      <c r="S182" s="46"/>
      <c r="T182" s="235"/>
      <c r="U182" s="235"/>
      <c r="V182" s="214"/>
      <c r="W182" s="34"/>
    </row>
    <row r="183" spans="1:23" x14ac:dyDescent="0.35">
      <c r="A183" s="46"/>
      <c r="B183" s="211"/>
      <c r="C183" s="211"/>
      <c r="D183" s="33"/>
      <c r="E183" s="33"/>
      <c r="F183" s="33"/>
      <c r="G183" s="33"/>
      <c r="H183" s="33"/>
      <c r="I183" s="212"/>
      <c r="J183" s="212"/>
      <c r="K183" s="46"/>
      <c r="L183" s="46"/>
      <c r="M183" s="213"/>
      <c r="N183" s="200"/>
      <c r="O183" s="46"/>
      <c r="P183" s="46"/>
      <c r="Q183" s="46"/>
      <c r="R183" s="46"/>
      <c r="S183" s="46"/>
      <c r="T183" s="235"/>
      <c r="U183" s="235"/>
      <c r="V183" s="214"/>
      <c r="W183" s="34"/>
    </row>
    <row r="184" spans="1:23" x14ac:dyDescent="0.35">
      <c r="A184" s="46"/>
      <c r="B184" s="211"/>
      <c r="C184" s="211"/>
      <c r="D184" s="33"/>
      <c r="E184" s="33"/>
      <c r="F184" s="33"/>
      <c r="G184" s="33"/>
      <c r="H184" s="33"/>
      <c r="I184" s="212"/>
      <c r="J184" s="212"/>
      <c r="K184" s="46"/>
      <c r="L184" s="46"/>
      <c r="M184" s="213"/>
      <c r="N184" s="200"/>
      <c r="O184" s="46"/>
      <c r="P184" s="46"/>
      <c r="Q184" s="46"/>
      <c r="R184" s="46"/>
      <c r="S184" s="46"/>
      <c r="T184" s="235"/>
      <c r="U184" s="235"/>
      <c r="V184" s="214"/>
      <c r="W184" s="34"/>
    </row>
    <row r="185" spans="1:23" x14ac:dyDescent="0.35">
      <c r="A185" s="46"/>
      <c r="B185" s="211"/>
      <c r="C185" s="211"/>
      <c r="D185" s="33"/>
      <c r="E185" s="33"/>
      <c r="F185" s="33"/>
      <c r="G185" s="33"/>
      <c r="H185" s="33"/>
      <c r="I185" s="212"/>
      <c r="J185" s="212"/>
      <c r="K185" s="46"/>
      <c r="L185" s="46"/>
      <c r="M185" s="213"/>
      <c r="N185" s="200"/>
      <c r="O185" s="46"/>
      <c r="P185" s="46"/>
      <c r="Q185" s="46"/>
      <c r="R185" s="46"/>
      <c r="S185" s="46"/>
      <c r="T185" s="235"/>
      <c r="U185" s="235"/>
      <c r="V185" s="214"/>
      <c r="W185" s="34"/>
    </row>
    <row r="186" spans="1:23" x14ac:dyDescent="0.35">
      <c r="A186" s="46"/>
      <c r="B186" s="211"/>
      <c r="C186" s="211"/>
      <c r="D186" s="33"/>
      <c r="E186" s="33"/>
      <c r="F186" s="33"/>
      <c r="G186" s="33"/>
      <c r="H186" s="33"/>
      <c r="I186" s="212"/>
      <c r="J186" s="212"/>
      <c r="K186" s="46"/>
      <c r="L186" s="46"/>
      <c r="M186" s="213"/>
      <c r="N186" s="200"/>
      <c r="O186" s="46"/>
      <c r="P186" s="46"/>
      <c r="Q186" s="46"/>
      <c r="R186" s="46"/>
      <c r="S186" s="46"/>
      <c r="T186" s="235"/>
      <c r="U186" s="235"/>
      <c r="V186" s="214"/>
      <c r="W186" s="34"/>
    </row>
    <row r="187" spans="1:23" x14ac:dyDescent="0.35">
      <c r="A187" s="46"/>
      <c r="B187" s="211"/>
      <c r="C187" s="211"/>
      <c r="D187" s="33"/>
      <c r="E187" s="33"/>
      <c r="F187" s="33"/>
      <c r="G187" s="33"/>
      <c r="H187" s="33"/>
      <c r="I187" s="212"/>
      <c r="J187" s="212"/>
      <c r="K187" s="46"/>
      <c r="L187" s="46"/>
      <c r="M187" s="213"/>
      <c r="N187" s="200"/>
      <c r="O187" s="46"/>
      <c r="P187" s="46"/>
      <c r="Q187" s="46"/>
      <c r="R187" s="46"/>
      <c r="S187" s="46"/>
      <c r="T187" s="235"/>
      <c r="U187" s="235"/>
      <c r="V187" s="214"/>
      <c r="W187" s="34"/>
    </row>
    <row r="188" spans="1:23" x14ac:dyDescent="0.35">
      <c r="A188" s="46"/>
      <c r="B188" s="211"/>
      <c r="C188" s="211"/>
      <c r="D188" s="33"/>
      <c r="E188" s="33"/>
      <c r="F188" s="33"/>
      <c r="G188" s="33"/>
      <c r="H188" s="33"/>
      <c r="I188" s="212"/>
      <c r="J188" s="212"/>
      <c r="K188" s="46"/>
      <c r="L188" s="46"/>
      <c r="M188" s="213"/>
      <c r="N188" s="200"/>
      <c r="O188" s="46"/>
      <c r="P188" s="46"/>
      <c r="Q188" s="46"/>
      <c r="R188" s="46"/>
      <c r="S188" s="46"/>
      <c r="T188" s="235"/>
      <c r="U188" s="235"/>
      <c r="V188" s="214"/>
      <c r="W188" s="34"/>
    </row>
    <row r="189" spans="1:23" x14ac:dyDescent="0.35">
      <c r="A189" s="46"/>
      <c r="B189" s="211"/>
      <c r="C189" s="211"/>
      <c r="D189" s="33"/>
      <c r="E189" s="33"/>
      <c r="F189" s="33"/>
      <c r="G189" s="33"/>
      <c r="H189" s="33"/>
      <c r="I189" s="212"/>
      <c r="J189" s="212"/>
      <c r="K189" s="46"/>
      <c r="L189" s="46"/>
      <c r="M189" s="213"/>
      <c r="N189" s="200"/>
      <c r="O189" s="46"/>
      <c r="P189" s="46"/>
      <c r="Q189" s="46"/>
      <c r="R189" s="46"/>
      <c r="S189" s="46"/>
      <c r="T189" s="235"/>
      <c r="U189" s="235"/>
      <c r="V189" s="214"/>
      <c r="W189" s="34"/>
    </row>
    <row r="190" spans="1:23" x14ac:dyDescent="0.35">
      <c r="A190" s="46"/>
      <c r="B190" s="211"/>
      <c r="C190" s="211"/>
      <c r="D190" s="33"/>
      <c r="E190" s="33"/>
      <c r="F190" s="33"/>
      <c r="G190" s="33"/>
      <c r="H190" s="33"/>
      <c r="I190" s="212"/>
      <c r="J190" s="212"/>
      <c r="K190" s="46"/>
      <c r="L190" s="46"/>
      <c r="M190" s="213"/>
      <c r="N190" s="200"/>
      <c r="O190" s="46"/>
      <c r="P190" s="46"/>
      <c r="Q190" s="46"/>
      <c r="R190" s="46"/>
      <c r="S190" s="46"/>
      <c r="T190" s="235"/>
      <c r="U190" s="235"/>
      <c r="V190" s="214"/>
      <c r="W190" s="34"/>
    </row>
    <row r="191" spans="1:23" x14ac:dyDescent="0.35">
      <c r="A191" s="46"/>
      <c r="B191" s="211"/>
      <c r="C191" s="211"/>
      <c r="D191" s="33"/>
      <c r="E191" s="33"/>
      <c r="F191" s="33"/>
      <c r="G191" s="33"/>
      <c r="H191" s="33"/>
      <c r="I191" s="212"/>
      <c r="J191" s="212"/>
      <c r="K191" s="46"/>
      <c r="L191" s="46"/>
      <c r="M191" s="213"/>
      <c r="N191" s="200"/>
      <c r="O191" s="46"/>
      <c r="P191" s="46"/>
      <c r="Q191" s="46"/>
      <c r="R191" s="46"/>
      <c r="S191" s="46"/>
      <c r="T191" s="235"/>
      <c r="U191" s="235"/>
      <c r="V191" s="214"/>
      <c r="W191" s="34"/>
    </row>
    <row r="192" spans="1:23" x14ac:dyDescent="0.35">
      <c r="A192" s="46"/>
      <c r="B192" s="211"/>
      <c r="C192" s="211"/>
      <c r="D192" s="33"/>
      <c r="E192" s="33"/>
      <c r="F192" s="33"/>
      <c r="G192" s="33"/>
      <c r="H192" s="33"/>
      <c r="I192" s="212"/>
      <c r="J192" s="212"/>
      <c r="K192" s="46"/>
      <c r="L192" s="46"/>
      <c r="M192" s="213"/>
      <c r="N192" s="200"/>
      <c r="O192" s="46"/>
      <c r="P192" s="46"/>
      <c r="Q192" s="46"/>
      <c r="R192" s="46"/>
      <c r="S192" s="46"/>
      <c r="T192" s="235"/>
      <c r="U192" s="235"/>
      <c r="V192" s="214"/>
      <c r="W192" s="34"/>
    </row>
    <row r="193" spans="1:23" x14ac:dyDescent="0.35">
      <c r="A193" s="46"/>
      <c r="B193" s="211"/>
      <c r="C193" s="211"/>
      <c r="D193" s="33"/>
      <c r="E193" s="33"/>
      <c r="F193" s="33"/>
      <c r="G193" s="33"/>
      <c r="H193" s="33"/>
      <c r="I193" s="212"/>
      <c r="J193" s="212"/>
      <c r="K193" s="46"/>
      <c r="L193" s="46"/>
      <c r="M193" s="213"/>
      <c r="N193" s="200"/>
      <c r="O193" s="46"/>
      <c r="P193" s="46"/>
      <c r="Q193" s="46"/>
      <c r="R193" s="46"/>
      <c r="S193" s="46"/>
      <c r="T193" s="235"/>
      <c r="U193" s="235"/>
      <c r="V193" s="214"/>
      <c r="W193" s="34"/>
    </row>
    <row r="194" spans="1:23" x14ac:dyDescent="0.35">
      <c r="A194" s="46"/>
      <c r="B194" s="211"/>
      <c r="C194" s="211"/>
      <c r="D194" s="33"/>
      <c r="E194" s="33"/>
      <c r="F194" s="33"/>
      <c r="G194" s="33"/>
      <c r="H194" s="33"/>
      <c r="I194" s="212"/>
      <c r="J194" s="212"/>
      <c r="K194" s="46"/>
      <c r="L194" s="46"/>
      <c r="M194" s="213"/>
      <c r="N194" s="200"/>
      <c r="O194" s="46"/>
      <c r="P194" s="46"/>
      <c r="Q194" s="46"/>
      <c r="R194" s="46"/>
      <c r="S194" s="46"/>
      <c r="T194" s="235"/>
      <c r="U194" s="235"/>
      <c r="V194" s="214"/>
      <c r="W194" s="34"/>
    </row>
    <row r="195" spans="1:23" x14ac:dyDescent="0.35">
      <c r="A195" s="46"/>
      <c r="B195" s="211"/>
      <c r="C195" s="211"/>
      <c r="D195" s="33"/>
      <c r="E195" s="33"/>
      <c r="F195" s="33"/>
      <c r="G195" s="33"/>
      <c r="H195" s="33"/>
      <c r="I195" s="212"/>
      <c r="J195" s="212"/>
      <c r="K195" s="46"/>
      <c r="L195" s="46"/>
      <c r="M195" s="213"/>
      <c r="N195" s="200"/>
      <c r="O195" s="46"/>
      <c r="P195" s="46"/>
      <c r="Q195" s="46"/>
      <c r="R195" s="46"/>
      <c r="S195" s="46"/>
      <c r="T195" s="235"/>
      <c r="U195" s="235"/>
      <c r="V195" s="214"/>
      <c r="W195" s="34"/>
    </row>
    <row r="196" spans="1:23" x14ac:dyDescent="0.35">
      <c r="A196" s="46"/>
      <c r="B196" s="211"/>
      <c r="C196" s="211"/>
      <c r="D196" s="33"/>
      <c r="E196" s="33"/>
      <c r="F196" s="33"/>
      <c r="G196" s="33"/>
      <c r="H196" s="33"/>
      <c r="I196" s="212"/>
      <c r="J196" s="212"/>
      <c r="K196" s="46"/>
      <c r="L196" s="46"/>
      <c r="M196" s="213"/>
      <c r="N196" s="200"/>
      <c r="O196" s="46"/>
      <c r="P196" s="46"/>
      <c r="Q196" s="46"/>
      <c r="R196" s="46"/>
      <c r="S196" s="46"/>
      <c r="T196" s="235"/>
      <c r="U196" s="235"/>
      <c r="V196" s="214"/>
      <c r="W196" s="34"/>
    </row>
    <row r="197" spans="1:23" x14ac:dyDescent="0.35">
      <c r="A197" s="46"/>
      <c r="B197" s="211"/>
      <c r="C197" s="211"/>
      <c r="D197" s="33"/>
      <c r="E197" s="33"/>
      <c r="F197" s="33"/>
      <c r="G197" s="33"/>
      <c r="H197" s="33"/>
      <c r="I197" s="212"/>
      <c r="J197" s="212"/>
      <c r="K197" s="46"/>
      <c r="L197" s="46"/>
      <c r="M197" s="213"/>
      <c r="N197" s="200"/>
      <c r="O197" s="46"/>
      <c r="P197" s="46"/>
      <c r="Q197" s="46"/>
      <c r="R197" s="46"/>
      <c r="S197" s="46"/>
      <c r="T197" s="235"/>
      <c r="U197" s="235"/>
      <c r="V197" s="214"/>
      <c r="W197" s="34"/>
    </row>
    <row r="198" spans="1:23" x14ac:dyDescent="0.35">
      <c r="A198" s="46"/>
      <c r="B198" s="211"/>
      <c r="C198" s="211"/>
      <c r="D198" s="33"/>
      <c r="E198" s="33"/>
      <c r="F198" s="33"/>
      <c r="G198" s="33"/>
      <c r="H198" s="33"/>
      <c r="I198" s="212"/>
      <c r="J198" s="212"/>
      <c r="K198" s="46"/>
      <c r="L198" s="46"/>
      <c r="M198" s="213"/>
      <c r="N198" s="200"/>
      <c r="O198" s="46"/>
      <c r="P198" s="46"/>
      <c r="Q198" s="46"/>
      <c r="R198" s="46"/>
      <c r="S198" s="46"/>
      <c r="T198" s="235"/>
      <c r="U198" s="235"/>
      <c r="V198" s="214"/>
      <c r="W198" s="34"/>
    </row>
    <row r="199" spans="1:23" x14ac:dyDescent="0.35">
      <c r="A199" s="46"/>
      <c r="B199" s="211"/>
      <c r="C199" s="211"/>
      <c r="D199" s="33"/>
      <c r="E199" s="33"/>
      <c r="F199" s="33"/>
      <c r="G199" s="33"/>
      <c r="H199" s="33"/>
      <c r="I199" s="212"/>
      <c r="J199" s="212"/>
      <c r="K199" s="46"/>
      <c r="L199" s="46"/>
      <c r="M199" s="213"/>
      <c r="N199" s="200"/>
      <c r="O199" s="46"/>
      <c r="P199" s="46"/>
      <c r="Q199" s="46"/>
      <c r="R199" s="46"/>
      <c r="S199" s="46"/>
      <c r="T199" s="235"/>
      <c r="U199" s="235"/>
      <c r="V199" s="214"/>
      <c r="W199" s="34"/>
    </row>
    <row r="200" spans="1:23" x14ac:dyDescent="0.35">
      <c r="A200" s="46"/>
      <c r="B200" s="211"/>
      <c r="C200" s="211"/>
      <c r="D200" s="33"/>
      <c r="E200" s="33"/>
      <c r="F200" s="33"/>
      <c r="G200" s="33"/>
      <c r="H200" s="33"/>
      <c r="I200" s="212"/>
      <c r="J200" s="212"/>
      <c r="K200" s="46"/>
      <c r="L200" s="46"/>
      <c r="M200" s="213"/>
      <c r="N200" s="200"/>
      <c r="O200" s="46"/>
      <c r="P200" s="46"/>
      <c r="Q200" s="46"/>
      <c r="R200" s="46"/>
      <c r="S200" s="46"/>
      <c r="T200" s="235"/>
      <c r="U200" s="235"/>
      <c r="V200" s="214"/>
      <c r="W200" s="34"/>
    </row>
    <row r="201" spans="1:23" x14ac:dyDescent="0.35">
      <c r="A201" s="46"/>
      <c r="B201" s="211"/>
      <c r="C201" s="211"/>
      <c r="D201" s="33"/>
      <c r="E201" s="33"/>
      <c r="F201" s="33"/>
      <c r="G201" s="33"/>
      <c r="H201" s="33"/>
      <c r="I201" s="212"/>
      <c r="J201" s="212"/>
      <c r="K201" s="46"/>
      <c r="L201" s="46"/>
      <c r="M201" s="213"/>
      <c r="N201" s="200"/>
      <c r="O201" s="46"/>
      <c r="P201" s="46"/>
      <c r="Q201" s="46"/>
      <c r="R201" s="46"/>
      <c r="S201" s="46"/>
      <c r="T201" s="235"/>
      <c r="U201" s="235"/>
      <c r="V201" s="214"/>
      <c r="W201" s="34"/>
    </row>
    <row r="202" spans="1:23" x14ac:dyDescent="0.35">
      <c r="A202" s="46"/>
      <c r="B202" s="211"/>
      <c r="C202" s="211"/>
      <c r="D202" s="33"/>
      <c r="E202" s="33"/>
      <c r="F202" s="33"/>
      <c r="G202" s="33"/>
      <c r="H202" s="33"/>
      <c r="I202" s="212"/>
      <c r="J202" s="212"/>
      <c r="K202" s="46"/>
      <c r="L202" s="46"/>
      <c r="M202" s="213"/>
      <c r="N202" s="200"/>
      <c r="O202" s="46"/>
      <c r="P202" s="46"/>
      <c r="Q202" s="46"/>
      <c r="R202" s="46"/>
      <c r="S202" s="46"/>
      <c r="T202" s="235"/>
      <c r="U202" s="235"/>
      <c r="V202" s="214"/>
      <c r="W202" s="34"/>
    </row>
    <row r="203" spans="1:23" x14ac:dyDescent="0.35">
      <c r="A203" s="46"/>
      <c r="B203" s="211"/>
      <c r="C203" s="211"/>
      <c r="D203" s="33"/>
      <c r="E203" s="33"/>
      <c r="F203" s="33"/>
      <c r="G203" s="33"/>
      <c r="H203" s="33"/>
      <c r="I203" s="212"/>
      <c r="J203" s="212"/>
      <c r="K203" s="46"/>
      <c r="L203" s="46"/>
      <c r="M203" s="213"/>
      <c r="N203" s="200"/>
      <c r="O203" s="46"/>
      <c r="P203" s="46"/>
      <c r="Q203" s="46"/>
      <c r="R203" s="46"/>
      <c r="S203" s="46"/>
      <c r="T203" s="235"/>
      <c r="U203" s="235"/>
      <c r="V203" s="214"/>
      <c r="W203" s="34"/>
    </row>
    <row r="204" spans="1:23" x14ac:dyDescent="0.35">
      <c r="A204" s="46"/>
      <c r="B204" s="211"/>
      <c r="C204" s="211"/>
      <c r="D204" s="33"/>
      <c r="E204" s="33"/>
      <c r="F204" s="33"/>
      <c r="G204" s="33"/>
      <c r="H204" s="33"/>
      <c r="I204" s="212"/>
      <c r="J204" s="212"/>
      <c r="K204" s="46"/>
      <c r="L204" s="46"/>
      <c r="M204" s="213"/>
      <c r="N204" s="200"/>
      <c r="O204" s="46"/>
      <c r="P204" s="46"/>
      <c r="Q204" s="46"/>
      <c r="R204" s="46"/>
      <c r="S204" s="46"/>
      <c r="T204" s="235"/>
      <c r="U204" s="235"/>
      <c r="V204" s="214"/>
      <c r="W204" s="34"/>
    </row>
    <row r="205" spans="1:23" x14ac:dyDescent="0.35">
      <c r="A205" s="46"/>
      <c r="B205" s="211"/>
      <c r="C205" s="211"/>
      <c r="D205" s="33"/>
      <c r="E205" s="33"/>
      <c r="F205" s="33"/>
      <c r="G205" s="33"/>
      <c r="H205" s="33"/>
      <c r="I205" s="212"/>
      <c r="J205" s="212"/>
      <c r="K205" s="46"/>
      <c r="L205" s="46"/>
      <c r="M205" s="213"/>
      <c r="N205" s="200"/>
      <c r="O205" s="46"/>
      <c r="P205" s="46"/>
      <c r="Q205" s="46"/>
      <c r="R205" s="46"/>
      <c r="S205" s="46"/>
      <c r="T205" s="235"/>
      <c r="U205" s="235"/>
      <c r="V205" s="214"/>
      <c r="W205" s="34"/>
    </row>
    <row r="206" spans="1:23" x14ac:dyDescent="0.35">
      <c r="A206" s="46"/>
      <c r="B206" s="211"/>
      <c r="C206" s="211"/>
      <c r="D206" s="33"/>
      <c r="E206" s="33"/>
      <c r="F206" s="33"/>
      <c r="G206" s="33"/>
      <c r="H206" s="33"/>
      <c r="I206" s="212"/>
      <c r="J206" s="212"/>
      <c r="K206" s="46"/>
      <c r="L206" s="46"/>
      <c r="M206" s="213"/>
      <c r="N206" s="200"/>
      <c r="O206" s="46"/>
      <c r="P206" s="46"/>
      <c r="Q206" s="46"/>
      <c r="R206" s="46"/>
      <c r="S206" s="46"/>
      <c r="T206" s="235"/>
      <c r="U206" s="235"/>
      <c r="V206" s="214"/>
      <c r="W206" s="34"/>
    </row>
    <row r="207" spans="1:23" x14ac:dyDescent="0.35">
      <c r="A207" s="46"/>
      <c r="B207" s="211"/>
      <c r="C207" s="211"/>
      <c r="D207" s="33"/>
      <c r="E207" s="33"/>
      <c r="F207" s="33"/>
      <c r="G207" s="33"/>
      <c r="H207" s="33"/>
      <c r="I207" s="212"/>
      <c r="J207" s="212"/>
      <c r="K207" s="46"/>
      <c r="L207" s="46"/>
      <c r="M207" s="213"/>
      <c r="N207" s="200"/>
      <c r="O207" s="46"/>
      <c r="P207" s="46"/>
      <c r="Q207" s="46"/>
      <c r="R207" s="46"/>
      <c r="S207" s="46"/>
      <c r="T207" s="235"/>
      <c r="U207" s="235"/>
      <c r="V207" s="214"/>
      <c r="W207" s="34"/>
    </row>
    <row r="208" spans="1:23" x14ac:dyDescent="0.35">
      <c r="A208" s="46"/>
      <c r="B208" s="211"/>
      <c r="C208" s="211"/>
      <c r="D208" s="33"/>
      <c r="E208" s="33"/>
      <c r="F208" s="33"/>
      <c r="G208" s="33"/>
      <c r="H208" s="33"/>
      <c r="I208" s="212"/>
      <c r="J208" s="212"/>
      <c r="K208" s="46"/>
      <c r="L208" s="46"/>
      <c r="M208" s="213"/>
      <c r="N208" s="200"/>
      <c r="O208" s="46"/>
      <c r="P208" s="46"/>
      <c r="Q208" s="46"/>
      <c r="R208" s="46"/>
      <c r="S208" s="46"/>
      <c r="T208" s="235"/>
      <c r="U208" s="235"/>
      <c r="V208" s="214"/>
      <c r="W208" s="34"/>
    </row>
    <row r="209" spans="1:23" x14ac:dyDescent="0.35">
      <c r="A209" s="46"/>
      <c r="B209" s="211"/>
      <c r="C209" s="211"/>
      <c r="D209" s="33"/>
      <c r="E209" s="33"/>
      <c r="F209" s="33"/>
      <c r="G209" s="33"/>
      <c r="H209" s="33"/>
      <c r="I209" s="212"/>
      <c r="J209" s="212"/>
      <c r="K209" s="46"/>
      <c r="L209" s="46"/>
      <c r="M209" s="213"/>
      <c r="N209" s="200"/>
      <c r="O209" s="46"/>
      <c r="P209" s="46"/>
      <c r="Q209" s="46"/>
      <c r="R209" s="46"/>
      <c r="S209" s="46"/>
      <c r="T209" s="235"/>
      <c r="U209" s="235"/>
      <c r="V209" s="214"/>
      <c r="W209" s="34"/>
    </row>
    <row r="210" spans="1:23" x14ac:dyDescent="0.35">
      <c r="A210" s="46"/>
      <c r="B210" s="211"/>
      <c r="C210" s="211"/>
      <c r="D210" s="33"/>
      <c r="E210" s="33"/>
      <c r="F210" s="33"/>
      <c r="G210" s="33"/>
      <c r="H210" s="33"/>
      <c r="I210" s="212"/>
      <c r="J210" s="212"/>
      <c r="K210" s="46"/>
      <c r="L210" s="46"/>
      <c r="M210" s="213"/>
      <c r="N210" s="200"/>
      <c r="O210" s="46"/>
      <c r="P210" s="46"/>
      <c r="Q210" s="46"/>
      <c r="R210" s="46"/>
      <c r="S210" s="46"/>
      <c r="T210" s="235"/>
      <c r="U210" s="235"/>
      <c r="V210" s="214"/>
      <c r="W210" s="34"/>
    </row>
    <row r="211" spans="1:23" x14ac:dyDescent="0.35">
      <c r="A211" s="46"/>
      <c r="B211" s="211"/>
      <c r="C211" s="211"/>
      <c r="D211" s="33"/>
      <c r="E211" s="33"/>
      <c r="F211" s="33"/>
      <c r="G211" s="33"/>
      <c r="H211" s="33"/>
      <c r="I211" s="212"/>
      <c r="J211" s="212"/>
      <c r="K211" s="46"/>
      <c r="L211" s="46"/>
      <c r="M211" s="213"/>
      <c r="N211" s="200"/>
      <c r="O211" s="46"/>
      <c r="P211" s="46"/>
      <c r="Q211" s="46"/>
      <c r="R211" s="46"/>
      <c r="S211" s="46"/>
      <c r="T211" s="235"/>
      <c r="U211" s="235"/>
      <c r="V211" s="214"/>
      <c r="W211" s="34"/>
    </row>
    <row r="212" spans="1:23" x14ac:dyDescent="0.35">
      <c r="A212" s="46"/>
      <c r="B212" s="211"/>
      <c r="C212" s="211"/>
      <c r="D212" s="33"/>
      <c r="E212" s="33"/>
      <c r="F212" s="33"/>
      <c r="G212" s="33"/>
      <c r="H212" s="33"/>
      <c r="I212" s="212"/>
      <c r="J212" s="212"/>
      <c r="K212" s="46"/>
      <c r="L212" s="46"/>
      <c r="M212" s="213"/>
      <c r="N212" s="200"/>
      <c r="O212" s="46"/>
      <c r="P212" s="46"/>
      <c r="Q212" s="46"/>
      <c r="R212" s="46"/>
      <c r="S212" s="46"/>
      <c r="T212" s="235"/>
      <c r="U212" s="235"/>
      <c r="V212" s="214"/>
      <c r="W212" s="34"/>
    </row>
    <row r="213" spans="1:23" x14ac:dyDescent="0.35">
      <c r="A213" s="46"/>
      <c r="B213" s="211"/>
      <c r="C213" s="211"/>
      <c r="D213" s="33"/>
      <c r="E213" s="33"/>
      <c r="F213" s="33"/>
      <c r="G213" s="33"/>
      <c r="H213" s="33"/>
      <c r="I213" s="212"/>
      <c r="J213" s="212"/>
      <c r="K213" s="46"/>
      <c r="L213" s="46"/>
      <c r="M213" s="213"/>
      <c r="N213" s="200"/>
      <c r="O213" s="46"/>
      <c r="P213" s="46"/>
      <c r="Q213" s="46"/>
      <c r="R213" s="46"/>
      <c r="S213" s="46"/>
      <c r="T213" s="235"/>
      <c r="U213" s="235"/>
      <c r="V213" s="214"/>
      <c r="W213" s="34"/>
    </row>
    <row r="214" spans="1:23" x14ac:dyDescent="0.35">
      <c r="A214" s="46"/>
      <c r="B214" s="211"/>
      <c r="C214" s="211"/>
      <c r="D214" s="33"/>
      <c r="E214" s="33"/>
      <c r="F214" s="33"/>
      <c r="G214" s="33"/>
      <c r="H214" s="33"/>
      <c r="I214" s="212"/>
      <c r="J214" s="212"/>
      <c r="K214" s="46"/>
      <c r="L214" s="46"/>
      <c r="M214" s="213"/>
      <c r="N214" s="200"/>
      <c r="O214" s="46"/>
      <c r="P214" s="46"/>
      <c r="Q214" s="46"/>
      <c r="R214" s="46"/>
      <c r="S214" s="46"/>
      <c r="T214" s="235"/>
      <c r="U214" s="235"/>
      <c r="V214" s="214"/>
      <c r="W214" s="34"/>
    </row>
    <row r="215" spans="1:23" x14ac:dyDescent="0.35">
      <c r="A215" s="46"/>
      <c r="B215" s="211"/>
      <c r="C215" s="211"/>
      <c r="D215" s="33"/>
      <c r="E215" s="33"/>
      <c r="F215" s="33"/>
      <c r="G215" s="33"/>
      <c r="H215" s="33"/>
      <c r="I215" s="212"/>
      <c r="J215" s="212"/>
      <c r="K215" s="46"/>
      <c r="L215" s="46"/>
      <c r="M215" s="213"/>
      <c r="N215" s="200"/>
      <c r="O215" s="46"/>
      <c r="P215" s="46"/>
      <c r="Q215" s="46"/>
      <c r="R215" s="46"/>
      <c r="S215" s="46"/>
      <c r="T215" s="235"/>
      <c r="U215" s="235"/>
      <c r="V215" s="214"/>
      <c r="W215" s="34"/>
    </row>
    <row r="216" spans="1:23" x14ac:dyDescent="0.35">
      <c r="A216" s="46"/>
      <c r="B216" s="211"/>
      <c r="C216" s="211"/>
      <c r="D216" s="33"/>
      <c r="E216" s="33"/>
      <c r="F216" s="33"/>
      <c r="G216" s="33"/>
      <c r="H216" s="33"/>
      <c r="I216" s="212"/>
      <c r="J216" s="212"/>
      <c r="K216" s="46"/>
      <c r="L216" s="46"/>
      <c r="M216" s="213"/>
      <c r="N216" s="200"/>
      <c r="O216" s="46"/>
      <c r="P216" s="46"/>
      <c r="Q216" s="46"/>
      <c r="R216" s="46"/>
      <c r="S216" s="46"/>
      <c r="T216" s="235"/>
      <c r="U216" s="235"/>
      <c r="V216" s="214"/>
      <c r="W216" s="34"/>
    </row>
    <row r="217" spans="1:23" x14ac:dyDescent="0.35">
      <c r="A217" s="46"/>
      <c r="B217" s="211"/>
      <c r="C217" s="211"/>
      <c r="D217" s="33"/>
      <c r="E217" s="33"/>
      <c r="F217" s="33"/>
      <c r="G217" s="33"/>
      <c r="H217" s="33"/>
      <c r="I217" s="212"/>
      <c r="J217" s="212"/>
      <c r="K217" s="46"/>
      <c r="L217" s="46"/>
      <c r="M217" s="213"/>
      <c r="N217" s="200"/>
      <c r="O217" s="46"/>
      <c r="P217" s="46"/>
      <c r="Q217" s="46"/>
      <c r="R217" s="46"/>
      <c r="S217" s="46"/>
      <c r="T217" s="235"/>
      <c r="U217" s="235"/>
      <c r="V217" s="214"/>
      <c r="W217" s="34"/>
    </row>
    <row r="218" spans="1:23" x14ac:dyDescent="0.35">
      <c r="A218" s="46"/>
      <c r="B218" s="211"/>
      <c r="C218" s="211"/>
      <c r="D218" s="33"/>
      <c r="E218" s="33"/>
      <c r="F218" s="33"/>
      <c r="G218" s="33"/>
      <c r="H218" s="33"/>
      <c r="I218" s="212"/>
      <c r="J218" s="212"/>
      <c r="K218" s="46"/>
      <c r="L218" s="46"/>
      <c r="M218" s="213"/>
      <c r="N218" s="200"/>
      <c r="O218" s="46"/>
      <c r="P218" s="46"/>
      <c r="Q218" s="46"/>
      <c r="R218" s="46"/>
      <c r="S218" s="46"/>
      <c r="T218" s="235"/>
      <c r="U218" s="235"/>
      <c r="V218" s="214"/>
      <c r="W218" s="34"/>
    </row>
    <row r="219" spans="1:23" x14ac:dyDescent="0.35">
      <c r="A219" s="46"/>
      <c r="B219" s="211"/>
      <c r="C219" s="211"/>
      <c r="D219" s="33"/>
      <c r="E219" s="33"/>
      <c r="F219" s="33"/>
      <c r="G219" s="33"/>
      <c r="H219" s="33"/>
      <c r="I219" s="212"/>
      <c r="J219" s="212"/>
      <c r="K219" s="46"/>
      <c r="L219" s="46"/>
      <c r="M219" s="213"/>
      <c r="N219" s="200"/>
      <c r="O219" s="46"/>
      <c r="P219" s="46"/>
      <c r="Q219" s="46"/>
      <c r="R219" s="46"/>
      <c r="S219" s="46"/>
      <c r="T219" s="235"/>
      <c r="U219" s="235"/>
      <c r="V219" s="214"/>
      <c r="W219" s="34"/>
    </row>
    <row r="220" spans="1:23" x14ac:dyDescent="0.35">
      <c r="A220" s="46"/>
      <c r="B220" s="211"/>
      <c r="C220" s="211"/>
      <c r="D220" s="33"/>
      <c r="E220" s="33"/>
      <c r="F220" s="33"/>
      <c r="G220" s="33"/>
      <c r="H220" s="33"/>
      <c r="I220" s="212"/>
      <c r="J220" s="212"/>
      <c r="K220" s="46"/>
      <c r="L220" s="46"/>
      <c r="M220" s="213"/>
      <c r="N220" s="200"/>
      <c r="O220" s="46"/>
      <c r="P220" s="46"/>
      <c r="Q220" s="46"/>
      <c r="R220" s="46"/>
      <c r="S220" s="46"/>
      <c r="T220" s="235"/>
      <c r="U220" s="235"/>
      <c r="V220" s="214"/>
      <c r="W220" s="34"/>
    </row>
    <row r="221" spans="1:23" x14ac:dyDescent="0.35">
      <c r="A221" s="46"/>
      <c r="B221" s="211"/>
      <c r="C221" s="211"/>
      <c r="D221" s="33"/>
      <c r="E221" s="33"/>
      <c r="F221" s="33"/>
      <c r="G221" s="33"/>
      <c r="H221" s="33"/>
      <c r="I221" s="212"/>
      <c r="J221" s="212"/>
      <c r="K221" s="46"/>
      <c r="L221" s="46"/>
      <c r="M221" s="213"/>
      <c r="N221" s="200"/>
      <c r="O221" s="46"/>
      <c r="P221" s="46"/>
      <c r="Q221" s="46"/>
      <c r="R221" s="46"/>
      <c r="S221" s="46"/>
      <c r="T221" s="235"/>
      <c r="U221" s="235"/>
      <c r="V221" s="214"/>
      <c r="W221" s="34"/>
    </row>
    <row r="222" spans="1:23" x14ac:dyDescent="0.35">
      <c r="A222" s="46"/>
      <c r="B222" s="211"/>
      <c r="C222" s="211"/>
      <c r="D222" s="33"/>
      <c r="E222" s="33"/>
      <c r="F222" s="33"/>
      <c r="G222" s="33"/>
      <c r="H222" s="33"/>
      <c r="I222" s="212"/>
      <c r="J222" s="212"/>
      <c r="K222" s="46"/>
      <c r="L222" s="46"/>
      <c r="M222" s="213"/>
      <c r="N222" s="200"/>
      <c r="O222" s="46"/>
      <c r="P222" s="46"/>
      <c r="Q222" s="46"/>
      <c r="R222" s="46"/>
      <c r="S222" s="46"/>
      <c r="T222" s="235"/>
      <c r="U222" s="235"/>
      <c r="V222" s="214"/>
      <c r="W222" s="34"/>
    </row>
    <row r="223" spans="1:23" x14ac:dyDescent="0.35">
      <c r="A223" s="46"/>
      <c r="B223" s="211"/>
      <c r="C223" s="211"/>
      <c r="D223" s="33"/>
      <c r="E223" s="33"/>
      <c r="F223" s="33"/>
      <c r="G223" s="33"/>
      <c r="H223" s="33"/>
      <c r="I223" s="212"/>
      <c r="J223" s="212"/>
      <c r="K223" s="46"/>
      <c r="L223" s="46"/>
      <c r="M223" s="213"/>
      <c r="N223" s="200"/>
      <c r="O223" s="46"/>
      <c r="P223" s="46"/>
      <c r="Q223" s="46"/>
      <c r="R223" s="46"/>
      <c r="S223" s="46"/>
      <c r="T223" s="235"/>
      <c r="U223" s="235"/>
      <c r="V223" s="214"/>
      <c r="W223" s="34"/>
    </row>
    <row r="224" spans="1:23" x14ac:dyDescent="0.35">
      <c r="A224" s="46"/>
      <c r="B224" s="211"/>
      <c r="C224" s="211"/>
      <c r="D224" s="33"/>
      <c r="E224" s="33"/>
      <c r="F224" s="33"/>
      <c r="G224" s="33"/>
      <c r="H224" s="33"/>
      <c r="I224" s="212"/>
      <c r="J224" s="212"/>
      <c r="K224" s="46"/>
      <c r="L224" s="46"/>
      <c r="M224" s="213"/>
      <c r="N224" s="200"/>
      <c r="O224" s="46"/>
      <c r="P224" s="46"/>
      <c r="Q224" s="46"/>
      <c r="R224" s="46"/>
      <c r="S224" s="46"/>
      <c r="T224" s="235"/>
      <c r="U224" s="235"/>
      <c r="V224" s="214"/>
      <c r="W224" s="34"/>
    </row>
    <row r="225" spans="1:23" x14ac:dyDescent="0.35">
      <c r="A225" s="46"/>
      <c r="B225" s="211"/>
      <c r="C225" s="211"/>
      <c r="D225" s="33"/>
      <c r="E225" s="33"/>
      <c r="F225" s="33"/>
      <c r="G225" s="33"/>
      <c r="H225" s="33"/>
      <c r="I225" s="212"/>
      <c r="J225" s="212"/>
      <c r="K225" s="46"/>
      <c r="L225" s="46"/>
      <c r="M225" s="213"/>
      <c r="N225" s="200"/>
      <c r="O225" s="46"/>
      <c r="P225" s="46"/>
      <c r="Q225" s="46"/>
      <c r="R225" s="46"/>
      <c r="S225" s="46"/>
      <c r="T225" s="235"/>
      <c r="U225" s="235"/>
      <c r="V225" s="214"/>
      <c r="W225" s="34"/>
    </row>
    <row r="226" spans="1:23" x14ac:dyDescent="0.35">
      <c r="A226" s="46"/>
      <c r="B226" s="211"/>
      <c r="C226" s="211"/>
      <c r="D226" s="33"/>
      <c r="E226" s="33"/>
      <c r="F226" s="33"/>
      <c r="G226" s="33"/>
      <c r="H226" s="33"/>
      <c r="I226" s="212"/>
      <c r="J226" s="212"/>
      <c r="K226" s="46"/>
      <c r="L226" s="46"/>
      <c r="M226" s="213"/>
      <c r="N226" s="200"/>
      <c r="O226" s="46"/>
      <c r="P226" s="46"/>
      <c r="Q226" s="46"/>
      <c r="R226" s="46"/>
      <c r="S226" s="46"/>
      <c r="T226" s="235"/>
      <c r="U226" s="235"/>
      <c r="V226" s="214"/>
      <c r="W226" s="34"/>
    </row>
    <row r="227" spans="1:23" x14ac:dyDescent="0.35">
      <c r="A227" s="46"/>
      <c r="B227" s="211"/>
      <c r="C227" s="211"/>
      <c r="D227" s="33"/>
      <c r="E227" s="33"/>
      <c r="F227" s="33"/>
      <c r="G227" s="33"/>
      <c r="H227" s="33"/>
      <c r="I227" s="212"/>
      <c r="J227" s="212"/>
      <c r="K227" s="46"/>
      <c r="L227" s="46"/>
      <c r="M227" s="213"/>
      <c r="N227" s="200"/>
      <c r="O227" s="46"/>
      <c r="P227" s="46"/>
      <c r="Q227" s="46"/>
      <c r="R227" s="46"/>
      <c r="S227" s="46"/>
      <c r="T227" s="235"/>
      <c r="U227" s="235"/>
      <c r="V227" s="214"/>
      <c r="W227" s="34"/>
    </row>
    <row r="228" spans="1:23" x14ac:dyDescent="0.35">
      <c r="A228" s="46"/>
      <c r="B228" s="211"/>
      <c r="C228" s="211"/>
      <c r="D228" s="33"/>
      <c r="E228" s="33"/>
      <c r="F228" s="33"/>
      <c r="G228" s="33"/>
      <c r="H228" s="33"/>
      <c r="I228" s="212"/>
      <c r="J228" s="212"/>
      <c r="K228" s="46"/>
      <c r="L228" s="46"/>
      <c r="M228" s="213"/>
      <c r="N228" s="200"/>
      <c r="O228" s="46"/>
      <c r="P228" s="46"/>
      <c r="Q228" s="46"/>
      <c r="R228" s="46"/>
      <c r="S228" s="46"/>
      <c r="T228" s="235"/>
      <c r="U228" s="235"/>
      <c r="V228" s="214"/>
      <c r="W228" s="34"/>
    </row>
    <row r="229" spans="1:23" x14ac:dyDescent="0.35">
      <c r="A229" s="46"/>
      <c r="B229" s="211"/>
      <c r="C229" s="211"/>
      <c r="D229" s="33"/>
      <c r="E229" s="33"/>
      <c r="F229" s="33"/>
      <c r="G229" s="33"/>
      <c r="H229" s="33"/>
      <c r="I229" s="212"/>
      <c r="J229" s="212"/>
      <c r="K229" s="46"/>
      <c r="L229" s="46"/>
      <c r="M229" s="213"/>
      <c r="N229" s="200"/>
      <c r="O229" s="46"/>
      <c r="P229" s="46"/>
      <c r="Q229" s="46"/>
      <c r="R229" s="46"/>
      <c r="S229" s="46"/>
      <c r="T229" s="235"/>
      <c r="U229" s="235"/>
      <c r="V229" s="214"/>
      <c r="W229" s="34"/>
    </row>
    <row r="230" spans="1:23" x14ac:dyDescent="0.35">
      <c r="A230" s="46"/>
      <c r="B230" s="211"/>
      <c r="C230" s="211"/>
      <c r="D230" s="33"/>
      <c r="E230" s="33"/>
      <c r="F230" s="33"/>
      <c r="G230" s="33"/>
      <c r="H230" s="33"/>
      <c r="I230" s="212"/>
      <c r="J230" s="212"/>
      <c r="K230" s="46"/>
      <c r="L230" s="46"/>
      <c r="M230" s="213"/>
      <c r="N230" s="200"/>
      <c r="O230" s="46"/>
      <c r="P230" s="46"/>
      <c r="Q230" s="46"/>
      <c r="R230" s="46"/>
      <c r="S230" s="46"/>
      <c r="T230" s="235"/>
      <c r="U230" s="235"/>
      <c r="V230" s="214"/>
      <c r="W230" s="34"/>
    </row>
    <row r="231" spans="1:23" x14ac:dyDescent="0.35">
      <c r="A231" s="46"/>
      <c r="B231" s="211"/>
      <c r="C231" s="211"/>
      <c r="D231" s="33"/>
      <c r="E231" s="33"/>
      <c r="F231" s="33"/>
      <c r="G231" s="33"/>
      <c r="H231" s="33"/>
      <c r="I231" s="212"/>
      <c r="J231" s="212"/>
      <c r="K231" s="46"/>
      <c r="L231" s="46"/>
      <c r="M231" s="213"/>
      <c r="N231" s="200"/>
      <c r="O231" s="46"/>
      <c r="P231" s="46"/>
      <c r="Q231" s="46"/>
      <c r="R231" s="46"/>
      <c r="S231" s="46"/>
      <c r="T231" s="235"/>
      <c r="U231" s="235"/>
      <c r="V231" s="214"/>
      <c r="W231" s="34"/>
    </row>
    <row r="232" spans="1:23" x14ac:dyDescent="0.35">
      <c r="A232" s="46"/>
      <c r="B232" s="211"/>
      <c r="C232" s="211"/>
      <c r="D232" s="33"/>
      <c r="E232" s="33"/>
      <c r="F232" s="33"/>
      <c r="G232" s="33"/>
      <c r="H232" s="33"/>
      <c r="I232" s="212"/>
      <c r="J232" s="212"/>
      <c r="K232" s="46"/>
      <c r="L232" s="46"/>
      <c r="M232" s="213"/>
      <c r="N232" s="200"/>
      <c r="O232" s="46"/>
      <c r="P232" s="46"/>
      <c r="Q232" s="46"/>
      <c r="R232" s="46"/>
      <c r="S232" s="46"/>
      <c r="T232" s="235"/>
      <c r="U232" s="235"/>
      <c r="V232" s="214"/>
      <c r="W232" s="34"/>
    </row>
    <row r="233" spans="1:23" x14ac:dyDescent="0.35">
      <c r="A233" s="46"/>
      <c r="B233" s="211"/>
      <c r="C233" s="211"/>
      <c r="D233" s="33"/>
      <c r="E233" s="33"/>
      <c r="F233" s="33"/>
      <c r="G233" s="33"/>
      <c r="H233" s="33"/>
      <c r="I233" s="212"/>
      <c r="J233" s="212"/>
      <c r="K233" s="46"/>
      <c r="L233" s="46"/>
      <c r="M233" s="213"/>
      <c r="N233" s="200"/>
      <c r="O233" s="46"/>
      <c r="P233" s="46"/>
      <c r="Q233" s="46"/>
      <c r="R233" s="46"/>
      <c r="S233" s="46"/>
      <c r="T233" s="235"/>
      <c r="U233" s="235"/>
      <c r="V233" s="214"/>
      <c r="W233" s="34"/>
    </row>
    <row r="234" spans="1:23" x14ac:dyDescent="0.35">
      <c r="A234" s="46"/>
      <c r="B234" s="211"/>
      <c r="C234" s="211"/>
      <c r="D234" s="33"/>
      <c r="E234" s="33"/>
      <c r="F234" s="33"/>
      <c r="G234" s="33"/>
      <c r="H234" s="33"/>
      <c r="I234" s="212"/>
      <c r="J234" s="212"/>
      <c r="K234" s="46"/>
      <c r="L234" s="46"/>
      <c r="M234" s="213"/>
      <c r="N234" s="200"/>
      <c r="O234" s="46"/>
      <c r="P234" s="46"/>
      <c r="Q234" s="46"/>
      <c r="R234" s="46"/>
      <c r="S234" s="46"/>
      <c r="T234" s="235"/>
      <c r="U234" s="235"/>
      <c r="V234" s="214"/>
      <c r="W234" s="34"/>
    </row>
    <row r="235" spans="1:23" x14ac:dyDescent="0.35">
      <c r="A235" s="46"/>
      <c r="B235" s="211"/>
      <c r="C235" s="211"/>
      <c r="D235" s="33"/>
      <c r="E235" s="33"/>
      <c r="F235" s="33"/>
      <c r="G235" s="33"/>
      <c r="H235" s="33"/>
      <c r="I235" s="212"/>
      <c r="J235" s="212"/>
      <c r="K235" s="46"/>
      <c r="L235" s="46"/>
      <c r="M235" s="213"/>
      <c r="N235" s="200"/>
      <c r="O235" s="46"/>
      <c r="P235" s="46"/>
      <c r="Q235" s="46"/>
      <c r="R235" s="46"/>
      <c r="S235" s="46"/>
      <c r="T235" s="235"/>
      <c r="U235" s="235"/>
      <c r="V235" s="214"/>
      <c r="W235" s="34"/>
    </row>
    <row r="236" spans="1:23" x14ac:dyDescent="0.35">
      <c r="A236" s="46"/>
      <c r="B236" s="211"/>
      <c r="C236" s="211"/>
      <c r="D236" s="33"/>
      <c r="E236" s="33"/>
      <c r="F236" s="33"/>
      <c r="G236" s="33"/>
      <c r="H236" s="33"/>
      <c r="I236" s="212"/>
      <c r="J236" s="212"/>
      <c r="K236" s="46"/>
      <c r="L236" s="46"/>
      <c r="M236" s="213"/>
      <c r="N236" s="200"/>
      <c r="O236" s="46"/>
      <c r="P236" s="46"/>
      <c r="Q236" s="46"/>
      <c r="R236" s="46"/>
      <c r="S236" s="46"/>
      <c r="T236" s="235"/>
      <c r="U236" s="235"/>
      <c r="V236" s="214"/>
      <c r="W236" s="34"/>
    </row>
    <row r="237" spans="1:23" x14ac:dyDescent="0.35">
      <c r="A237" s="46"/>
      <c r="B237" s="211"/>
      <c r="C237" s="211"/>
      <c r="D237" s="33"/>
      <c r="E237" s="33"/>
      <c r="F237" s="33"/>
      <c r="G237" s="33"/>
      <c r="H237" s="33"/>
      <c r="I237" s="212"/>
      <c r="J237" s="212"/>
      <c r="K237" s="46"/>
      <c r="L237" s="46"/>
      <c r="M237" s="213"/>
      <c r="N237" s="200"/>
      <c r="O237" s="46"/>
      <c r="P237" s="46"/>
      <c r="Q237" s="46"/>
      <c r="R237" s="46"/>
      <c r="S237" s="46"/>
      <c r="T237" s="235"/>
      <c r="U237" s="235"/>
      <c r="V237" s="214"/>
      <c r="W237" s="34"/>
    </row>
    <row r="238" spans="1:23" x14ac:dyDescent="0.35">
      <c r="A238" s="46"/>
      <c r="B238" s="211"/>
      <c r="C238" s="211"/>
      <c r="D238" s="33"/>
      <c r="E238" s="33"/>
      <c r="F238" s="33"/>
      <c r="G238" s="33"/>
      <c r="H238" s="33"/>
      <c r="I238" s="212"/>
      <c r="J238" s="212"/>
      <c r="K238" s="46"/>
      <c r="L238" s="46"/>
      <c r="M238" s="213"/>
      <c r="N238" s="200"/>
      <c r="O238" s="46"/>
      <c r="P238" s="46"/>
      <c r="Q238" s="46"/>
      <c r="R238" s="46"/>
      <c r="S238" s="46"/>
      <c r="T238" s="235"/>
      <c r="U238" s="235"/>
      <c r="V238" s="214"/>
      <c r="W238" s="34"/>
    </row>
    <row r="239" spans="1:23" x14ac:dyDescent="0.35">
      <c r="A239" s="46"/>
      <c r="B239" s="211"/>
      <c r="C239" s="211"/>
      <c r="D239" s="33"/>
      <c r="E239" s="33"/>
      <c r="F239" s="33"/>
      <c r="G239" s="33"/>
      <c r="H239" s="33"/>
      <c r="I239" s="212"/>
      <c r="J239" s="212"/>
      <c r="K239" s="46"/>
      <c r="L239" s="46"/>
      <c r="M239" s="213"/>
      <c r="N239" s="200"/>
      <c r="O239" s="46"/>
      <c r="P239" s="46"/>
      <c r="Q239" s="46"/>
      <c r="R239" s="46"/>
      <c r="S239" s="46"/>
      <c r="T239" s="235"/>
      <c r="U239" s="235"/>
      <c r="V239" s="214"/>
      <c r="W239" s="34"/>
    </row>
    <row r="240" spans="1:23" x14ac:dyDescent="0.35">
      <c r="A240" s="46"/>
      <c r="B240" s="211"/>
      <c r="C240" s="211"/>
      <c r="D240" s="33"/>
      <c r="E240" s="33"/>
      <c r="F240" s="33"/>
      <c r="G240" s="33"/>
      <c r="H240" s="33"/>
      <c r="I240" s="212"/>
      <c r="J240" s="212"/>
      <c r="K240" s="46"/>
      <c r="L240" s="46"/>
      <c r="M240" s="213"/>
      <c r="N240" s="200"/>
      <c r="O240" s="46"/>
      <c r="P240" s="46"/>
      <c r="Q240" s="46"/>
      <c r="R240" s="46"/>
      <c r="S240" s="46"/>
      <c r="T240" s="235"/>
      <c r="U240" s="235"/>
      <c r="V240" s="214"/>
      <c r="W240" s="34"/>
    </row>
    <row r="241" spans="1:23" x14ac:dyDescent="0.35">
      <c r="A241" s="46"/>
      <c r="B241" s="211"/>
      <c r="C241" s="211"/>
      <c r="D241" s="33"/>
      <c r="E241" s="33"/>
      <c r="F241" s="33"/>
      <c r="G241" s="33"/>
      <c r="H241" s="33"/>
      <c r="I241" s="212"/>
      <c r="J241" s="212"/>
      <c r="K241" s="46"/>
      <c r="L241" s="46"/>
      <c r="M241" s="213"/>
      <c r="N241" s="200"/>
      <c r="O241" s="46"/>
      <c r="P241" s="46"/>
      <c r="Q241" s="46"/>
      <c r="R241" s="46"/>
      <c r="S241" s="46"/>
      <c r="T241" s="235"/>
      <c r="U241" s="235"/>
      <c r="V241" s="214"/>
      <c r="W241" s="34"/>
    </row>
    <row r="242" spans="1:23" x14ac:dyDescent="0.35">
      <c r="A242" s="46"/>
      <c r="B242" s="211"/>
      <c r="C242" s="211"/>
      <c r="D242" s="33"/>
      <c r="E242" s="33"/>
      <c r="F242" s="33"/>
      <c r="G242" s="33"/>
      <c r="H242" s="33"/>
      <c r="I242" s="212"/>
      <c r="J242" s="212"/>
      <c r="K242" s="46"/>
      <c r="L242" s="46"/>
      <c r="M242" s="213"/>
      <c r="N242" s="200"/>
      <c r="O242" s="46"/>
      <c r="P242" s="46"/>
      <c r="Q242" s="46"/>
      <c r="R242" s="46"/>
      <c r="S242" s="46"/>
      <c r="T242" s="235"/>
      <c r="U242" s="235"/>
      <c r="V242" s="214"/>
      <c r="W242" s="34"/>
    </row>
    <row r="243" spans="1:23" x14ac:dyDescent="0.35">
      <c r="A243" s="46"/>
      <c r="B243" s="211"/>
      <c r="C243" s="211"/>
      <c r="D243" s="33"/>
      <c r="E243" s="33"/>
      <c r="F243" s="33"/>
      <c r="G243" s="33"/>
      <c r="H243" s="33"/>
      <c r="I243" s="212"/>
      <c r="J243" s="212"/>
      <c r="K243" s="46"/>
      <c r="L243" s="46"/>
      <c r="M243" s="213"/>
      <c r="N243" s="200"/>
      <c r="O243" s="46"/>
      <c r="P243" s="46"/>
      <c r="Q243" s="46"/>
      <c r="R243" s="46"/>
      <c r="S243" s="46"/>
      <c r="T243" s="235"/>
      <c r="U243" s="235"/>
      <c r="V243" s="214"/>
      <c r="W243" s="34"/>
    </row>
    <row r="244" spans="1:23" x14ac:dyDescent="0.35">
      <c r="A244" s="46"/>
      <c r="B244" s="211"/>
      <c r="C244" s="211"/>
      <c r="D244" s="33"/>
      <c r="E244" s="33"/>
      <c r="F244" s="33"/>
      <c r="G244" s="33"/>
      <c r="H244" s="33"/>
      <c r="I244" s="212"/>
      <c r="J244" s="212"/>
      <c r="K244" s="46"/>
      <c r="L244" s="46"/>
      <c r="M244" s="213"/>
      <c r="N244" s="200"/>
      <c r="O244" s="46"/>
      <c r="P244" s="46"/>
      <c r="Q244" s="46"/>
      <c r="R244" s="46"/>
      <c r="S244" s="46"/>
      <c r="T244" s="235"/>
      <c r="U244" s="235"/>
      <c r="V244" s="214"/>
      <c r="W244" s="34"/>
    </row>
    <row r="245" spans="1:23" x14ac:dyDescent="0.35">
      <c r="A245" s="46"/>
      <c r="B245" s="211"/>
      <c r="C245" s="211"/>
      <c r="D245" s="33"/>
      <c r="E245" s="33"/>
      <c r="F245" s="33"/>
      <c r="G245" s="33"/>
      <c r="H245" s="33"/>
      <c r="I245" s="212"/>
      <c r="J245" s="212"/>
      <c r="K245" s="46"/>
      <c r="L245" s="46"/>
      <c r="M245" s="213"/>
      <c r="N245" s="200"/>
      <c r="O245" s="46"/>
      <c r="P245" s="46"/>
      <c r="Q245" s="46"/>
      <c r="R245" s="46"/>
      <c r="S245" s="46"/>
      <c r="T245" s="235"/>
      <c r="U245" s="235"/>
      <c r="V245" s="214"/>
      <c r="W245" s="34"/>
    </row>
    <row r="246" spans="1:23" x14ac:dyDescent="0.35">
      <c r="A246" s="46"/>
      <c r="B246" s="211"/>
      <c r="C246" s="211"/>
      <c r="D246" s="33"/>
      <c r="E246" s="33"/>
      <c r="F246" s="33"/>
      <c r="G246" s="33"/>
      <c r="H246" s="33"/>
      <c r="I246" s="212"/>
      <c r="J246" s="212"/>
      <c r="K246" s="46"/>
      <c r="L246" s="46"/>
      <c r="M246" s="213"/>
      <c r="N246" s="200"/>
      <c r="O246" s="46"/>
      <c r="P246" s="46"/>
      <c r="Q246" s="46"/>
      <c r="R246" s="46"/>
      <c r="S246" s="46"/>
      <c r="T246" s="235"/>
      <c r="U246" s="235"/>
      <c r="V246" s="214"/>
      <c r="W246" s="34"/>
    </row>
    <row r="247" spans="1:23" x14ac:dyDescent="0.35">
      <c r="A247" s="46"/>
      <c r="B247" s="211"/>
      <c r="C247" s="211"/>
      <c r="D247" s="33"/>
      <c r="E247" s="33"/>
      <c r="F247" s="33"/>
      <c r="G247" s="33"/>
      <c r="H247" s="33"/>
      <c r="I247" s="212"/>
      <c r="J247" s="212"/>
      <c r="K247" s="46"/>
      <c r="L247" s="46"/>
      <c r="M247" s="213"/>
      <c r="N247" s="200"/>
      <c r="O247" s="46"/>
      <c r="P247" s="46"/>
      <c r="Q247" s="46"/>
      <c r="R247" s="46"/>
      <c r="S247" s="46"/>
      <c r="T247" s="235"/>
      <c r="U247" s="235"/>
      <c r="V247" s="214"/>
      <c r="W247" s="34"/>
    </row>
    <row r="248" spans="1:23" x14ac:dyDescent="0.35">
      <c r="A248" s="46"/>
      <c r="B248" s="211"/>
      <c r="C248" s="211"/>
      <c r="D248" s="33"/>
      <c r="E248" s="33"/>
      <c r="F248" s="33"/>
      <c r="G248" s="33"/>
      <c r="H248" s="33"/>
      <c r="I248" s="212"/>
      <c r="J248" s="212"/>
      <c r="K248" s="46"/>
      <c r="L248" s="46"/>
      <c r="M248" s="213"/>
      <c r="N248" s="200"/>
      <c r="O248" s="46"/>
      <c r="P248" s="46"/>
      <c r="Q248" s="46"/>
      <c r="R248" s="46"/>
      <c r="S248" s="46"/>
      <c r="T248" s="235"/>
      <c r="U248" s="235"/>
      <c r="V248" s="214"/>
      <c r="W248" s="34"/>
    </row>
    <row r="249" spans="1:23" x14ac:dyDescent="0.35">
      <c r="A249" s="46"/>
      <c r="B249" s="211"/>
      <c r="C249" s="211"/>
      <c r="D249" s="33"/>
      <c r="E249" s="33"/>
      <c r="F249" s="33"/>
      <c r="G249" s="33"/>
      <c r="H249" s="33"/>
      <c r="I249" s="212"/>
      <c r="J249" s="212"/>
      <c r="K249" s="46"/>
      <c r="L249" s="46"/>
      <c r="M249" s="213"/>
      <c r="N249" s="200"/>
      <c r="O249" s="46"/>
      <c r="P249" s="46"/>
      <c r="Q249" s="46"/>
      <c r="R249" s="46"/>
      <c r="S249" s="46"/>
      <c r="T249" s="235"/>
      <c r="U249" s="235"/>
      <c r="V249" s="214"/>
      <c r="W249" s="34"/>
    </row>
    <row r="250" spans="1:23" x14ac:dyDescent="0.35">
      <c r="A250" s="46"/>
      <c r="B250" s="211"/>
      <c r="C250" s="211"/>
      <c r="D250" s="33"/>
      <c r="E250" s="33"/>
      <c r="F250" s="33"/>
      <c r="G250" s="33"/>
      <c r="H250" s="33"/>
      <c r="I250" s="212"/>
      <c r="J250" s="212"/>
      <c r="K250" s="46"/>
      <c r="L250" s="46"/>
      <c r="M250" s="213"/>
      <c r="N250" s="200"/>
      <c r="O250" s="46"/>
      <c r="P250" s="46"/>
      <c r="Q250" s="46"/>
      <c r="R250" s="46"/>
      <c r="S250" s="46"/>
      <c r="T250" s="235"/>
      <c r="U250" s="235"/>
      <c r="V250" s="214"/>
      <c r="W250" s="34"/>
    </row>
    <row r="251" spans="1:23" x14ac:dyDescent="0.35">
      <c r="A251" s="46"/>
      <c r="B251" s="211"/>
      <c r="C251" s="211"/>
      <c r="D251" s="33"/>
      <c r="E251" s="33"/>
      <c r="F251" s="33"/>
      <c r="G251" s="33"/>
      <c r="H251" s="33"/>
      <c r="I251" s="212"/>
      <c r="J251" s="212"/>
      <c r="K251" s="46"/>
      <c r="L251" s="46"/>
      <c r="M251" s="213"/>
      <c r="N251" s="200"/>
      <c r="O251" s="46"/>
      <c r="P251" s="46"/>
      <c r="Q251" s="46"/>
      <c r="R251" s="46"/>
      <c r="S251" s="46"/>
      <c r="T251" s="235"/>
      <c r="U251" s="235"/>
      <c r="V251" s="214"/>
      <c r="W251" s="34"/>
    </row>
    <row r="252" spans="1:23" x14ac:dyDescent="0.35">
      <c r="A252" s="46"/>
      <c r="B252" s="211"/>
      <c r="C252" s="211"/>
      <c r="D252" s="33"/>
      <c r="E252" s="33"/>
      <c r="F252" s="33"/>
      <c r="G252" s="33"/>
      <c r="H252" s="33"/>
      <c r="I252" s="212"/>
      <c r="J252" s="212"/>
      <c r="K252" s="46"/>
      <c r="L252" s="46"/>
      <c r="M252" s="213"/>
      <c r="N252" s="200"/>
      <c r="O252" s="46"/>
      <c r="P252" s="46"/>
      <c r="Q252" s="46"/>
      <c r="R252" s="46"/>
      <c r="S252" s="46"/>
      <c r="T252" s="235"/>
      <c r="U252" s="235"/>
      <c r="V252" s="214"/>
      <c r="W252" s="34"/>
    </row>
    <row r="253" spans="1:23" x14ac:dyDescent="0.35">
      <c r="A253" s="46"/>
      <c r="B253" s="211"/>
      <c r="C253" s="211"/>
      <c r="D253" s="33"/>
      <c r="E253" s="33"/>
      <c r="F253" s="33"/>
      <c r="G253" s="33"/>
      <c r="H253" s="33"/>
      <c r="I253" s="212"/>
      <c r="J253" s="212"/>
      <c r="K253" s="46"/>
      <c r="L253" s="46"/>
      <c r="M253" s="213"/>
      <c r="N253" s="200"/>
      <c r="O253" s="46"/>
      <c r="P253" s="46"/>
      <c r="Q253" s="46"/>
      <c r="R253" s="46"/>
      <c r="S253" s="46"/>
      <c r="T253" s="235"/>
      <c r="U253" s="235"/>
      <c r="V253" s="214"/>
      <c r="W253" s="34"/>
    </row>
    <row r="254" spans="1:23" x14ac:dyDescent="0.35">
      <c r="A254" s="46"/>
      <c r="B254" s="211"/>
      <c r="C254" s="211"/>
      <c r="D254" s="33"/>
      <c r="E254" s="33"/>
      <c r="F254" s="33"/>
      <c r="G254" s="33"/>
      <c r="H254" s="33"/>
      <c r="I254" s="212"/>
      <c r="J254" s="212"/>
      <c r="K254" s="46"/>
      <c r="L254" s="46"/>
      <c r="M254" s="213"/>
      <c r="N254" s="200"/>
      <c r="O254" s="46"/>
      <c r="P254" s="46"/>
      <c r="Q254" s="46"/>
      <c r="R254" s="46"/>
      <c r="S254" s="46"/>
      <c r="T254" s="235"/>
      <c r="U254" s="235"/>
      <c r="V254" s="214"/>
      <c r="W254" s="34"/>
    </row>
    <row r="255" spans="1:23" x14ac:dyDescent="0.35">
      <c r="A255" s="46"/>
      <c r="B255" s="211"/>
      <c r="C255" s="211"/>
      <c r="D255" s="33"/>
      <c r="E255" s="33"/>
      <c r="F255" s="33"/>
      <c r="G255" s="33"/>
      <c r="H255" s="33"/>
      <c r="I255" s="212"/>
      <c r="J255" s="212"/>
      <c r="K255" s="46"/>
      <c r="L255" s="46"/>
      <c r="M255" s="213"/>
      <c r="N255" s="200"/>
      <c r="O255" s="46"/>
      <c r="P255" s="46"/>
      <c r="Q255" s="46"/>
      <c r="R255" s="46"/>
      <c r="S255" s="46"/>
      <c r="T255" s="235"/>
      <c r="U255" s="235"/>
      <c r="V255" s="214"/>
      <c r="W255" s="34"/>
    </row>
    <row r="256" spans="1:23" x14ac:dyDescent="0.35">
      <c r="A256" s="46"/>
      <c r="B256" s="211"/>
      <c r="C256" s="211"/>
      <c r="D256" s="33"/>
      <c r="E256" s="33"/>
      <c r="F256" s="33"/>
      <c r="G256" s="33"/>
      <c r="H256" s="33"/>
      <c r="I256" s="212"/>
      <c r="J256" s="212"/>
      <c r="K256" s="46"/>
      <c r="L256" s="46"/>
      <c r="M256" s="213"/>
      <c r="N256" s="200"/>
      <c r="O256" s="46"/>
      <c r="P256" s="46"/>
      <c r="Q256" s="46"/>
      <c r="R256" s="46"/>
      <c r="S256" s="46"/>
      <c r="T256" s="235"/>
      <c r="U256" s="235"/>
      <c r="V256" s="214"/>
      <c r="W256" s="34"/>
    </row>
    <row r="257" spans="1:23" x14ac:dyDescent="0.35">
      <c r="A257" s="46"/>
      <c r="B257" s="211"/>
      <c r="C257" s="211"/>
      <c r="D257" s="33"/>
      <c r="E257" s="33"/>
      <c r="F257" s="33"/>
      <c r="G257" s="33"/>
      <c r="H257" s="33"/>
      <c r="I257" s="212"/>
      <c r="J257" s="212"/>
      <c r="K257" s="46"/>
      <c r="L257" s="46"/>
      <c r="M257" s="213"/>
      <c r="N257" s="200"/>
      <c r="O257" s="46"/>
      <c r="P257" s="46"/>
      <c r="Q257" s="46"/>
      <c r="R257" s="46"/>
      <c r="S257" s="46"/>
      <c r="T257" s="235"/>
      <c r="U257" s="235"/>
      <c r="V257" s="214"/>
      <c r="W257" s="34"/>
    </row>
    <row r="258" spans="1:23" x14ac:dyDescent="0.35">
      <c r="A258" s="46"/>
      <c r="B258" s="211"/>
      <c r="C258" s="211"/>
      <c r="D258" s="33"/>
      <c r="E258" s="33"/>
      <c r="F258" s="33"/>
      <c r="G258" s="33"/>
      <c r="H258" s="33"/>
      <c r="I258" s="212"/>
      <c r="J258" s="212"/>
      <c r="K258" s="46"/>
      <c r="L258" s="46"/>
      <c r="M258" s="213"/>
      <c r="N258" s="200"/>
      <c r="O258" s="46"/>
      <c r="P258" s="46"/>
      <c r="Q258" s="46"/>
      <c r="R258" s="46"/>
      <c r="S258" s="46"/>
      <c r="T258" s="235"/>
      <c r="U258" s="235"/>
      <c r="V258" s="214"/>
      <c r="W258" s="34"/>
    </row>
    <row r="259" spans="1:23" x14ac:dyDescent="0.35">
      <c r="A259" s="46"/>
      <c r="B259" s="211"/>
      <c r="C259" s="211"/>
      <c r="D259" s="33"/>
      <c r="E259" s="33"/>
      <c r="F259" s="33"/>
      <c r="G259" s="33"/>
      <c r="H259" s="33"/>
      <c r="I259" s="212"/>
      <c r="J259" s="212"/>
      <c r="K259" s="46"/>
      <c r="L259" s="46"/>
      <c r="M259" s="213"/>
      <c r="N259" s="200"/>
      <c r="O259" s="46"/>
      <c r="P259" s="46"/>
      <c r="Q259" s="46"/>
      <c r="R259" s="46"/>
      <c r="S259" s="46"/>
      <c r="T259" s="235"/>
      <c r="U259" s="235"/>
      <c r="V259" s="214"/>
      <c r="W259" s="34"/>
    </row>
    <row r="260" spans="1:23" x14ac:dyDescent="0.35">
      <c r="A260" s="46"/>
      <c r="B260" s="211"/>
      <c r="C260" s="211"/>
      <c r="D260" s="33"/>
      <c r="E260" s="33"/>
      <c r="F260" s="33"/>
      <c r="G260" s="33"/>
      <c r="H260" s="33"/>
      <c r="I260" s="212"/>
      <c r="J260" s="212"/>
      <c r="K260" s="46"/>
      <c r="L260" s="46"/>
      <c r="M260" s="213"/>
      <c r="N260" s="200"/>
      <c r="O260" s="46"/>
      <c r="P260" s="46"/>
      <c r="Q260" s="46"/>
      <c r="R260" s="46"/>
      <c r="S260" s="46"/>
      <c r="T260" s="235"/>
      <c r="U260" s="235"/>
      <c r="V260" s="214"/>
      <c r="W260" s="34"/>
    </row>
    <row r="261" spans="1:23" x14ac:dyDescent="0.35">
      <c r="A261" s="46"/>
      <c r="B261" s="211"/>
      <c r="C261" s="211"/>
      <c r="D261" s="33"/>
      <c r="E261" s="33"/>
      <c r="F261" s="33"/>
      <c r="G261" s="33"/>
      <c r="H261" s="33"/>
      <c r="I261" s="212"/>
      <c r="J261" s="212"/>
      <c r="K261" s="46"/>
      <c r="L261" s="46"/>
      <c r="M261" s="213"/>
      <c r="N261" s="200"/>
      <c r="O261" s="46"/>
      <c r="P261" s="46"/>
      <c r="Q261" s="46"/>
      <c r="R261" s="46"/>
      <c r="S261" s="46"/>
      <c r="T261" s="235"/>
      <c r="U261" s="235"/>
      <c r="V261" s="214"/>
      <c r="W261" s="34"/>
    </row>
    <row r="262" spans="1:23" x14ac:dyDescent="0.35">
      <c r="A262" s="46"/>
      <c r="B262" s="211"/>
      <c r="C262" s="211"/>
      <c r="D262" s="33"/>
      <c r="E262" s="33"/>
      <c r="F262" s="33"/>
      <c r="G262" s="33"/>
      <c r="H262" s="33"/>
      <c r="I262" s="212"/>
      <c r="J262" s="212"/>
      <c r="K262" s="46"/>
      <c r="L262" s="46"/>
      <c r="M262" s="213"/>
      <c r="N262" s="200"/>
      <c r="O262" s="46"/>
      <c r="P262" s="46"/>
      <c r="Q262" s="46"/>
      <c r="R262" s="46"/>
      <c r="S262" s="46"/>
      <c r="T262" s="235"/>
      <c r="U262" s="235"/>
      <c r="V262" s="214"/>
      <c r="W262" s="34"/>
    </row>
    <row r="263" spans="1:23" x14ac:dyDescent="0.35">
      <c r="A263" s="46"/>
      <c r="B263" s="211"/>
      <c r="C263" s="211"/>
      <c r="D263" s="33"/>
      <c r="E263" s="33"/>
      <c r="F263" s="33"/>
      <c r="G263" s="33"/>
      <c r="H263" s="33"/>
      <c r="I263" s="212"/>
      <c r="J263" s="212"/>
      <c r="K263" s="46"/>
      <c r="L263" s="46"/>
      <c r="M263" s="213"/>
      <c r="N263" s="200"/>
      <c r="O263" s="46"/>
      <c r="P263" s="46"/>
      <c r="Q263" s="46"/>
      <c r="R263" s="46"/>
      <c r="S263" s="46"/>
      <c r="T263" s="235"/>
      <c r="U263" s="235"/>
      <c r="V263" s="214"/>
      <c r="W263" s="34"/>
    </row>
    <row r="264" spans="1:23" x14ac:dyDescent="0.35">
      <c r="A264" s="46"/>
      <c r="B264" s="211"/>
      <c r="C264" s="211"/>
      <c r="D264" s="33"/>
      <c r="E264" s="33"/>
      <c r="F264" s="33"/>
      <c r="G264" s="33"/>
      <c r="H264" s="33"/>
      <c r="I264" s="212"/>
      <c r="J264" s="212"/>
      <c r="K264" s="46"/>
      <c r="L264" s="46"/>
      <c r="M264" s="213"/>
      <c r="N264" s="200"/>
      <c r="O264" s="46"/>
      <c r="P264" s="46"/>
      <c r="Q264" s="46"/>
      <c r="R264" s="46"/>
      <c r="S264" s="46"/>
      <c r="T264" s="235"/>
      <c r="U264" s="235"/>
      <c r="V264" s="214"/>
      <c r="W264" s="34"/>
    </row>
    <row r="265" spans="1:23" x14ac:dyDescent="0.35">
      <c r="A265" s="46"/>
      <c r="B265" s="211"/>
      <c r="C265" s="211"/>
      <c r="D265" s="33"/>
      <c r="E265" s="33"/>
      <c r="F265" s="33"/>
      <c r="G265" s="33"/>
      <c r="H265" s="33"/>
      <c r="I265" s="212"/>
      <c r="J265" s="212"/>
      <c r="K265" s="46"/>
      <c r="L265" s="46"/>
      <c r="M265" s="213"/>
      <c r="N265" s="200"/>
      <c r="O265" s="46"/>
      <c r="P265" s="46"/>
      <c r="Q265" s="46"/>
      <c r="R265" s="46"/>
      <c r="S265" s="46"/>
      <c r="T265" s="235"/>
      <c r="U265" s="235"/>
      <c r="V265" s="214"/>
      <c r="W265" s="34"/>
    </row>
    <row r="266" spans="1:23" x14ac:dyDescent="0.35">
      <c r="A266" s="46"/>
      <c r="B266" s="211"/>
      <c r="C266" s="211"/>
      <c r="D266" s="33"/>
      <c r="E266" s="33"/>
      <c r="F266" s="33"/>
      <c r="G266" s="33"/>
      <c r="H266" s="33"/>
      <c r="I266" s="212"/>
      <c r="J266" s="212"/>
      <c r="K266" s="46"/>
      <c r="L266" s="46"/>
      <c r="M266" s="213"/>
      <c r="N266" s="200"/>
      <c r="O266" s="46"/>
      <c r="P266" s="46"/>
      <c r="Q266" s="46"/>
      <c r="R266" s="46"/>
      <c r="S266" s="46"/>
      <c r="T266" s="235"/>
      <c r="U266" s="235"/>
      <c r="V266" s="214"/>
      <c r="W266" s="34"/>
    </row>
    <row r="267" spans="1:23" x14ac:dyDescent="0.35">
      <c r="A267" s="46"/>
      <c r="B267" s="211"/>
      <c r="C267" s="211"/>
      <c r="D267" s="33"/>
      <c r="E267" s="33"/>
      <c r="F267" s="33"/>
      <c r="G267" s="33"/>
      <c r="H267" s="33"/>
      <c r="I267" s="212"/>
      <c r="J267" s="212"/>
      <c r="K267" s="46"/>
      <c r="L267" s="46"/>
      <c r="M267" s="213"/>
      <c r="N267" s="200"/>
      <c r="O267" s="46"/>
      <c r="P267" s="46"/>
      <c r="Q267" s="46"/>
      <c r="R267" s="46"/>
      <c r="S267" s="46"/>
      <c r="T267" s="235"/>
      <c r="U267" s="235"/>
      <c r="V267" s="214"/>
      <c r="W267" s="34"/>
    </row>
    <row r="268" spans="1:23" x14ac:dyDescent="0.35">
      <c r="A268" s="46"/>
      <c r="B268" s="211"/>
      <c r="C268" s="211"/>
      <c r="D268" s="33"/>
      <c r="E268" s="33"/>
      <c r="F268" s="33"/>
      <c r="G268" s="33"/>
      <c r="H268" s="33"/>
      <c r="I268" s="212"/>
      <c r="J268" s="212"/>
      <c r="K268" s="46"/>
      <c r="L268" s="46"/>
      <c r="M268" s="213"/>
      <c r="N268" s="200"/>
      <c r="O268" s="46"/>
      <c r="P268" s="46"/>
      <c r="Q268" s="46"/>
      <c r="R268" s="46"/>
      <c r="S268" s="46"/>
      <c r="T268" s="235"/>
      <c r="U268" s="235"/>
      <c r="V268" s="214"/>
      <c r="W268" s="34"/>
    </row>
    <row r="269" spans="1:23" x14ac:dyDescent="0.35">
      <c r="A269" s="46"/>
      <c r="B269" s="211"/>
      <c r="C269" s="211"/>
      <c r="D269" s="33"/>
      <c r="E269" s="33"/>
      <c r="F269" s="33"/>
      <c r="G269" s="33"/>
      <c r="H269" s="33"/>
      <c r="I269" s="212"/>
      <c r="J269" s="212"/>
      <c r="K269" s="46"/>
      <c r="L269" s="46"/>
      <c r="M269" s="213"/>
      <c r="N269" s="200"/>
      <c r="O269" s="46"/>
      <c r="P269" s="46"/>
      <c r="Q269" s="46"/>
      <c r="R269" s="46"/>
      <c r="S269" s="46"/>
      <c r="T269" s="235"/>
      <c r="U269" s="235"/>
      <c r="V269" s="214"/>
      <c r="W269" s="34"/>
    </row>
    <row r="270" spans="1:23" x14ac:dyDescent="0.35">
      <c r="A270" s="46"/>
      <c r="B270" s="211"/>
      <c r="C270" s="211"/>
      <c r="D270" s="33"/>
      <c r="E270" s="33"/>
      <c r="F270" s="33"/>
      <c r="G270" s="33"/>
      <c r="H270" s="33"/>
      <c r="I270" s="212"/>
      <c r="J270" s="212"/>
      <c r="K270" s="46"/>
      <c r="L270" s="46"/>
      <c r="M270" s="213"/>
      <c r="N270" s="200"/>
      <c r="O270" s="46"/>
      <c r="P270" s="46"/>
      <c r="Q270" s="46"/>
      <c r="R270" s="46"/>
      <c r="S270" s="46"/>
      <c r="T270" s="235"/>
      <c r="U270" s="235"/>
      <c r="V270" s="214"/>
      <c r="W270" s="34"/>
    </row>
    <row r="271" spans="1:23" x14ac:dyDescent="0.35">
      <c r="A271" s="46"/>
      <c r="B271" s="211"/>
      <c r="C271" s="211"/>
      <c r="D271" s="33"/>
      <c r="E271" s="33"/>
      <c r="F271" s="33"/>
      <c r="G271" s="33"/>
      <c r="H271" s="33"/>
      <c r="I271" s="212"/>
      <c r="J271" s="212"/>
      <c r="K271" s="46"/>
      <c r="L271" s="46"/>
      <c r="M271" s="213"/>
      <c r="N271" s="200"/>
      <c r="O271" s="46"/>
      <c r="P271" s="46"/>
      <c r="Q271" s="46"/>
      <c r="R271" s="46"/>
      <c r="S271" s="46"/>
      <c r="T271" s="235"/>
      <c r="U271" s="235"/>
      <c r="V271" s="214"/>
      <c r="W271" s="34"/>
    </row>
    <row r="272" spans="1:23" x14ac:dyDescent="0.35">
      <c r="A272" s="46"/>
      <c r="B272" s="211"/>
      <c r="C272" s="211"/>
      <c r="D272" s="33"/>
      <c r="E272" s="33"/>
      <c r="F272" s="33"/>
      <c r="G272" s="33"/>
      <c r="H272" s="33"/>
      <c r="I272" s="212"/>
      <c r="J272" s="212"/>
      <c r="K272" s="46"/>
      <c r="L272" s="46"/>
      <c r="M272" s="213"/>
      <c r="N272" s="200"/>
      <c r="O272" s="46"/>
      <c r="P272" s="46"/>
      <c r="Q272" s="46"/>
      <c r="R272" s="46"/>
      <c r="S272" s="46"/>
      <c r="T272" s="235"/>
      <c r="U272" s="235"/>
      <c r="V272" s="214"/>
      <c r="W272" s="34"/>
    </row>
    <row r="273" spans="1:23" x14ac:dyDescent="0.35">
      <c r="A273" s="46"/>
      <c r="B273" s="211"/>
      <c r="C273" s="211"/>
      <c r="D273" s="33"/>
      <c r="E273" s="33"/>
      <c r="F273" s="33"/>
      <c r="G273" s="33"/>
      <c r="H273" s="33"/>
      <c r="I273" s="212"/>
      <c r="J273" s="212"/>
      <c r="K273" s="46"/>
      <c r="L273" s="46"/>
      <c r="M273" s="213"/>
      <c r="N273" s="200"/>
      <c r="O273" s="46"/>
      <c r="P273" s="46"/>
      <c r="Q273" s="46"/>
      <c r="R273" s="46"/>
      <c r="S273" s="46"/>
      <c r="T273" s="235"/>
      <c r="U273" s="235"/>
      <c r="V273" s="214"/>
      <c r="W273" s="34"/>
    </row>
    <row r="274" spans="1:23" x14ac:dyDescent="0.35">
      <c r="A274" s="46"/>
      <c r="B274" s="211"/>
      <c r="C274" s="211"/>
      <c r="D274" s="33"/>
      <c r="E274" s="33"/>
      <c r="F274" s="33"/>
      <c r="G274" s="33"/>
      <c r="H274" s="33"/>
      <c r="I274" s="212"/>
      <c r="J274" s="212"/>
      <c r="K274" s="46"/>
      <c r="L274" s="46"/>
      <c r="M274" s="213"/>
      <c r="N274" s="200"/>
      <c r="O274" s="46"/>
      <c r="P274" s="46"/>
      <c r="Q274" s="46"/>
      <c r="R274" s="46"/>
      <c r="S274" s="46"/>
      <c r="T274" s="235"/>
      <c r="U274" s="235"/>
      <c r="V274" s="214"/>
      <c r="W274" s="34"/>
    </row>
    <row r="275" spans="1:23" x14ac:dyDescent="0.35">
      <c r="A275" s="46"/>
      <c r="B275" s="211"/>
      <c r="C275" s="211"/>
      <c r="D275" s="33"/>
      <c r="E275" s="33"/>
      <c r="F275" s="33"/>
      <c r="G275" s="33"/>
      <c r="H275" s="33"/>
      <c r="I275" s="212"/>
      <c r="J275" s="212"/>
      <c r="K275" s="46"/>
      <c r="L275" s="46"/>
      <c r="M275" s="213"/>
      <c r="N275" s="200"/>
      <c r="O275" s="46"/>
      <c r="P275" s="46"/>
      <c r="Q275" s="46"/>
      <c r="R275" s="46"/>
      <c r="S275" s="46"/>
      <c r="T275" s="235"/>
      <c r="U275" s="235"/>
      <c r="V275" s="214"/>
      <c r="W275" s="34"/>
    </row>
    <row r="276" spans="1:23" x14ac:dyDescent="0.35">
      <c r="A276" s="46"/>
      <c r="B276" s="211"/>
      <c r="C276" s="211"/>
      <c r="D276" s="33"/>
      <c r="E276" s="33"/>
      <c r="F276" s="33"/>
      <c r="G276" s="33"/>
      <c r="H276" s="33"/>
      <c r="I276" s="212"/>
      <c r="J276" s="212"/>
      <c r="K276" s="46"/>
      <c r="L276" s="46"/>
      <c r="M276" s="213"/>
      <c r="N276" s="200"/>
      <c r="O276" s="46"/>
      <c r="P276" s="46"/>
      <c r="Q276" s="46"/>
      <c r="R276" s="46"/>
      <c r="S276" s="46"/>
      <c r="T276" s="235"/>
      <c r="U276" s="235"/>
      <c r="V276" s="214"/>
      <c r="W276" s="34"/>
    </row>
    <row r="277" spans="1:23" x14ac:dyDescent="0.35">
      <c r="A277" s="46"/>
      <c r="B277" s="211"/>
      <c r="C277" s="211"/>
      <c r="D277" s="33"/>
      <c r="E277" s="33"/>
      <c r="F277" s="33"/>
      <c r="G277" s="33"/>
      <c r="H277" s="33"/>
      <c r="I277" s="212"/>
      <c r="J277" s="212"/>
      <c r="K277" s="46"/>
      <c r="L277" s="46"/>
      <c r="M277" s="213"/>
      <c r="N277" s="200"/>
      <c r="O277" s="46"/>
      <c r="P277" s="46"/>
      <c r="Q277" s="46"/>
      <c r="R277" s="46"/>
      <c r="S277" s="46"/>
      <c r="T277" s="235"/>
      <c r="U277" s="235"/>
      <c r="V277" s="214"/>
      <c r="W277" s="34"/>
    </row>
    <row r="278" spans="1:23" x14ac:dyDescent="0.35">
      <c r="A278" s="46"/>
      <c r="B278" s="211"/>
      <c r="C278" s="211"/>
      <c r="D278" s="33"/>
      <c r="E278" s="33"/>
      <c r="F278" s="33"/>
      <c r="G278" s="33"/>
      <c r="H278" s="33"/>
      <c r="I278" s="212"/>
      <c r="J278" s="212"/>
      <c r="K278" s="46"/>
      <c r="L278" s="46"/>
      <c r="M278" s="213"/>
      <c r="N278" s="200"/>
      <c r="O278" s="46"/>
      <c r="P278" s="46"/>
      <c r="Q278" s="46"/>
      <c r="R278" s="46"/>
      <c r="S278" s="46"/>
      <c r="T278" s="235"/>
      <c r="U278" s="235"/>
      <c r="V278" s="214"/>
      <c r="W278" s="34"/>
    </row>
    <row r="279" spans="1:23" x14ac:dyDescent="0.35">
      <c r="A279" s="46"/>
      <c r="B279" s="211"/>
      <c r="C279" s="211"/>
      <c r="D279" s="33"/>
      <c r="E279" s="33"/>
      <c r="F279" s="33"/>
      <c r="G279" s="33"/>
      <c r="H279" s="33"/>
      <c r="I279" s="212"/>
      <c r="J279" s="212"/>
      <c r="K279" s="46"/>
      <c r="L279" s="46"/>
      <c r="M279" s="213"/>
      <c r="N279" s="200"/>
      <c r="O279" s="46"/>
      <c r="P279" s="46"/>
      <c r="Q279" s="46"/>
      <c r="R279" s="46"/>
      <c r="S279" s="46"/>
      <c r="T279" s="235"/>
      <c r="U279" s="235"/>
      <c r="V279" s="214"/>
      <c r="W279" s="34"/>
    </row>
    <row r="280" spans="1:23" x14ac:dyDescent="0.35">
      <c r="A280" s="46"/>
      <c r="B280" s="211"/>
      <c r="C280" s="211"/>
      <c r="D280" s="33"/>
      <c r="E280" s="33"/>
      <c r="F280" s="33"/>
      <c r="G280" s="33"/>
      <c r="H280" s="33"/>
      <c r="I280" s="212"/>
      <c r="J280" s="212"/>
      <c r="K280" s="46"/>
      <c r="L280" s="46"/>
      <c r="M280" s="213"/>
      <c r="N280" s="200"/>
      <c r="O280" s="46"/>
      <c r="P280" s="46"/>
      <c r="Q280" s="46"/>
      <c r="R280" s="46"/>
      <c r="S280" s="46"/>
      <c r="T280" s="235"/>
      <c r="U280" s="235"/>
      <c r="V280" s="214"/>
      <c r="W280" s="34"/>
    </row>
    <row r="281" spans="1:23" x14ac:dyDescent="0.35">
      <c r="A281" s="46"/>
      <c r="B281" s="211"/>
      <c r="C281" s="211"/>
      <c r="D281" s="33"/>
      <c r="E281" s="33"/>
      <c r="F281" s="33"/>
      <c r="G281" s="33"/>
      <c r="H281" s="33"/>
      <c r="I281" s="212"/>
      <c r="J281" s="212"/>
      <c r="K281" s="46"/>
      <c r="L281" s="46"/>
      <c r="M281" s="213"/>
      <c r="N281" s="200"/>
      <c r="O281" s="46"/>
      <c r="P281" s="46"/>
      <c r="Q281" s="46"/>
      <c r="R281" s="46"/>
      <c r="S281" s="46"/>
      <c r="T281" s="235"/>
      <c r="U281" s="235"/>
      <c r="V281" s="214"/>
      <c r="W281" s="34"/>
    </row>
    <row r="282" spans="1:23" x14ac:dyDescent="0.35">
      <c r="A282" s="46"/>
      <c r="B282" s="211"/>
      <c r="C282" s="211"/>
      <c r="D282" s="33"/>
      <c r="E282" s="33"/>
      <c r="F282" s="33"/>
      <c r="G282" s="33"/>
      <c r="H282" s="33"/>
      <c r="I282" s="212"/>
      <c r="J282" s="212"/>
      <c r="K282" s="46"/>
      <c r="L282" s="46"/>
      <c r="M282" s="213"/>
      <c r="N282" s="200"/>
      <c r="O282" s="46"/>
      <c r="P282" s="46"/>
      <c r="Q282" s="46"/>
      <c r="R282" s="46"/>
      <c r="S282" s="46"/>
      <c r="T282" s="235"/>
      <c r="U282" s="235"/>
      <c r="V282" s="214"/>
      <c r="W282" s="34"/>
    </row>
    <row r="283" spans="1:23" x14ac:dyDescent="0.35">
      <c r="A283" s="46"/>
      <c r="B283" s="211"/>
      <c r="C283" s="211"/>
      <c r="D283" s="33"/>
      <c r="E283" s="33"/>
      <c r="F283" s="33"/>
      <c r="G283" s="33"/>
      <c r="H283" s="33"/>
      <c r="I283" s="212"/>
      <c r="J283" s="212"/>
      <c r="K283" s="46"/>
      <c r="L283" s="46"/>
      <c r="M283" s="213"/>
      <c r="N283" s="200"/>
      <c r="O283" s="46"/>
      <c r="P283" s="46"/>
      <c r="Q283" s="46"/>
      <c r="R283" s="46"/>
      <c r="S283" s="46"/>
      <c r="T283" s="235"/>
      <c r="U283" s="235"/>
      <c r="V283" s="214"/>
      <c r="W283" s="34"/>
    </row>
    <row r="284" spans="1:23" x14ac:dyDescent="0.35">
      <c r="A284" s="46"/>
      <c r="B284" s="211"/>
      <c r="C284" s="211"/>
      <c r="D284" s="33"/>
      <c r="E284" s="33"/>
      <c r="F284" s="33"/>
      <c r="G284" s="33"/>
      <c r="H284" s="33"/>
      <c r="I284" s="212"/>
      <c r="J284" s="212"/>
      <c r="K284" s="46"/>
      <c r="L284" s="46"/>
      <c r="M284" s="213"/>
      <c r="N284" s="200"/>
      <c r="O284" s="46"/>
      <c r="P284" s="46"/>
      <c r="Q284" s="46"/>
      <c r="R284" s="46"/>
      <c r="S284" s="46"/>
      <c r="T284" s="235"/>
      <c r="U284" s="235"/>
      <c r="V284" s="214"/>
      <c r="W284" s="34"/>
    </row>
    <row r="285" spans="1:23" x14ac:dyDescent="0.35">
      <c r="A285" s="46"/>
      <c r="B285" s="211"/>
      <c r="C285" s="211"/>
      <c r="D285" s="33"/>
      <c r="E285" s="33"/>
      <c r="F285" s="33"/>
      <c r="G285" s="33"/>
      <c r="H285" s="33"/>
      <c r="I285" s="212"/>
      <c r="J285" s="212"/>
      <c r="K285" s="46"/>
      <c r="L285" s="46"/>
      <c r="M285" s="213"/>
      <c r="N285" s="200"/>
      <c r="O285" s="46"/>
      <c r="P285" s="46"/>
      <c r="Q285" s="46"/>
      <c r="R285" s="46"/>
      <c r="S285" s="46"/>
      <c r="T285" s="235"/>
      <c r="U285" s="235"/>
      <c r="V285" s="214"/>
      <c r="W285" s="34"/>
    </row>
    <row r="286" spans="1:23" x14ac:dyDescent="0.35">
      <c r="A286" s="46"/>
      <c r="B286" s="211"/>
      <c r="C286" s="211"/>
      <c r="D286" s="33"/>
      <c r="E286" s="33"/>
      <c r="F286" s="33"/>
      <c r="G286" s="33"/>
      <c r="H286" s="33"/>
      <c r="I286" s="212"/>
      <c r="J286" s="212"/>
      <c r="K286" s="46"/>
      <c r="L286" s="46"/>
      <c r="M286" s="213"/>
      <c r="N286" s="200"/>
      <c r="O286" s="46"/>
      <c r="P286" s="46"/>
      <c r="Q286" s="46"/>
      <c r="R286" s="46"/>
      <c r="S286" s="46"/>
      <c r="T286" s="235"/>
      <c r="U286" s="235"/>
      <c r="V286" s="214"/>
      <c r="W286" s="34"/>
    </row>
    <row r="287" spans="1:23" x14ac:dyDescent="0.35">
      <c r="A287" s="46"/>
      <c r="B287" s="211"/>
      <c r="C287" s="211"/>
      <c r="D287" s="33"/>
      <c r="E287" s="33"/>
      <c r="F287" s="33"/>
      <c r="G287" s="33"/>
      <c r="H287" s="33"/>
      <c r="I287" s="212"/>
      <c r="J287" s="212"/>
      <c r="K287" s="46"/>
      <c r="L287" s="46"/>
      <c r="M287" s="213"/>
      <c r="N287" s="200"/>
      <c r="O287" s="46"/>
      <c r="P287" s="46"/>
      <c r="Q287" s="46"/>
      <c r="R287" s="46"/>
      <c r="S287" s="46"/>
      <c r="T287" s="235"/>
      <c r="U287" s="235"/>
      <c r="V287" s="214"/>
      <c r="W287" s="34"/>
    </row>
    <row r="288" spans="1:23" x14ac:dyDescent="0.35">
      <c r="A288" s="46"/>
      <c r="B288" s="211"/>
      <c r="C288" s="211"/>
      <c r="D288" s="33"/>
      <c r="E288" s="33"/>
      <c r="F288" s="33"/>
      <c r="G288" s="33"/>
      <c r="H288" s="33"/>
      <c r="I288" s="212"/>
      <c r="J288" s="212"/>
      <c r="K288" s="46"/>
      <c r="L288" s="46"/>
      <c r="M288" s="213"/>
      <c r="N288" s="200"/>
      <c r="O288" s="46"/>
      <c r="P288" s="46"/>
      <c r="Q288" s="46"/>
      <c r="R288" s="46"/>
      <c r="S288" s="46"/>
      <c r="T288" s="235"/>
      <c r="U288" s="235"/>
      <c r="V288" s="214"/>
      <c r="W288" s="34"/>
    </row>
    <row r="289" spans="1:23" x14ac:dyDescent="0.35">
      <c r="A289" s="46"/>
      <c r="B289" s="211"/>
      <c r="C289" s="211"/>
      <c r="D289" s="33"/>
      <c r="E289" s="33"/>
      <c r="F289" s="33"/>
      <c r="G289" s="33"/>
      <c r="H289" s="33"/>
      <c r="I289" s="212"/>
      <c r="J289" s="212"/>
      <c r="K289" s="46"/>
      <c r="L289" s="46"/>
      <c r="M289" s="213"/>
      <c r="N289" s="200"/>
      <c r="O289" s="46"/>
      <c r="P289" s="46"/>
      <c r="Q289" s="46"/>
      <c r="R289" s="46"/>
      <c r="S289" s="46"/>
      <c r="T289" s="235"/>
      <c r="U289" s="235"/>
      <c r="V289" s="214"/>
      <c r="W289" s="34"/>
    </row>
    <row r="290" spans="1:23" x14ac:dyDescent="0.35">
      <c r="A290" s="46"/>
      <c r="B290" s="211"/>
      <c r="C290" s="211"/>
      <c r="D290" s="33"/>
      <c r="E290" s="33"/>
      <c r="F290" s="33"/>
      <c r="G290" s="33"/>
      <c r="H290" s="33"/>
      <c r="I290" s="212"/>
      <c r="J290" s="212"/>
      <c r="K290" s="46"/>
      <c r="L290" s="46"/>
      <c r="M290" s="213"/>
      <c r="N290" s="200"/>
      <c r="O290" s="46"/>
      <c r="P290" s="46"/>
      <c r="Q290" s="46"/>
      <c r="R290" s="46"/>
      <c r="S290" s="46"/>
      <c r="T290" s="235"/>
      <c r="U290" s="235"/>
      <c r="V290" s="214"/>
      <c r="W290" s="34"/>
    </row>
    <row r="291" spans="1:23" x14ac:dyDescent="0.35">
      <c r="A291" s="46"/>
      <c r="B291" s="211"/>
      <c r="C291" s="211"/>
      <c r="D291" s="33"/>
      <c r="E291" s="33"/>
      <c r="F291" s="33"/>
      <c r="G291" s="33"/>
      <c r="H291" s="33"/>
      <c r="I291" s="212"/>
      <c r="J291" s="212"/>
      <c r="K291" s="46"/>
      <c r="L291" s="46"/>
      <c r="M291" s="213"/>
      <c r="N291" s="200"/>
      <c r="O291" s="46"/>
      <c r="P291" s="46"/>
      <c r="Q291" s="46"/>
      <c r="R291" s="46"/>
      <c r="S291" s="46"/>
      <c r="T291" s="235"/>
      <c r="U291" s="235"/>
      <c r="V291" s="214"/>
      <c r="W291" s="34"/>
    </row>
    <row r="292" spans="1:23" x14ac:dyDescent="0.35">
      <c r="A292" s="46"/>
      <c r="B292" s="211"/>
      <c r="C292" s="211"/>
      <c r="D292" s="33"/>
      <c r="E292" s="33"/>
      <c r="F292" s="33"/>
      <c r="G292" s="33"/>
      <c r="H292" s="33"/>
      <c r="I292" s="212"/>
      <c r="J292" s="212"/>
      <c r="K292" s="46"/>
      <c r="L292" s="46"/>
      <c r="M292" s="213"/>
      <c r="N292" s="200"/>
      <c r="O292" s="46"/>
      <c r="P292" s="46"/>
      <c r="Q292" s="46"/>
      <c r="R292" s="46"/>
      <c r="S292" s="46"/>
      <c r="T292" s="235"/>
      <c r="U292" s="235"/>
      <c r="V292" s="214"/>
      <c r="W292" s="34"/>
    </row>
    <row r="293" spans="1:23" x14ac:dyDescent="0.35">
      <c r="A293" s="46"/>
      <c r="B293" s="211"/>
      <c r="C293" s="211"/>
      <c r="D293" s="33"/>
      <c r="E293" s="33"/>
      <c r="F293" s="33"/>
      <c r="G293" s="33"/>
      <c r="H293" s="33"/>
      <c r="I293" s="212"/>
      <c r="J293" s="212"/>
      <c r="K293" s="46"/>
      <c r="L293" s="46"/>
      <c r="M293" s="213"/>
      <c r="N293" s="200"/>
      <c r="O293" s="46"/>
      <c r="P293" s="46"/>
      <c r="Q293" s="46"/>
      <c r="R293" s="46"/>
      <c r="S293" s="46"/>
      <c r="T293" s="235"/>
      <c r="U293" s="235"/>
      <c r="V293" s="214"/>
      <c r="W293" s="34"/>
    </row>
    <row r="294" spans="1:23" x14ac:dyDescent="0.35">
      <c r="A294" s="46"/>
      <c r="B294" s="211"/>
      <c r="C294" s="211"/>
      <c r="D294" s="33"/>
      <c r="E294" s="33"/>
      <c r="F294" s="33"/>
      <c r="G294" s="33"/>
      <c r="H294" s="33"/>
      <c r="I294" s="212"/>
      <c r="J294" s="212"/>
      <c r="K294" s="46"/>
      <c r="L294" s="46"/>
      <c r="M294" s="213"/>
      <c r="N294" s="200"/>
      <c r="O294" s="46"/>
      <c r="P294" s="46"/>
      <c r="Q294" s="46"/>
      <c r="R294" s="46"/>
      <c r="S294" s="46"/>
      <c r="T294" s="235"/>
      <c r="U294" s="235"/>
      <c r="V294" s="214"/>
      <c r="W294" s="34"/>
    </row>
    <row r="295" spans="1:23" x14ac:dyDescent="0.35">
      <c r="A295" s="46"/>
      <c r="B295" s="211"/>
      <c r="C295" s="211"/>
      <c r="D295" s="33"/>
      <c r="E295" s="33"/>
      <c r="F295" s="33"/>
      <c r="G295" s="33"/>
      <c r="H295" s="33"/>
      <c r="I295" s="212"/>
      <c r="J295" s="212"/>
      <c r="K295" s="46"/>
      <c r="L295" s="46"/>
      <c r="M295" s="213"/>
      <c r="N295" s="200"/>
      <c r="O295" s="46"/>
      <c r="P295" s="46"/>
      <c r="Q295" s="46"/>
      <c r="R295" s="46"/>
      <c r="S295" s="46"/>
      <c r="T295" s="235"/>
      <c r="U295" s="235"/>
      <c r="V295" s="214"/>
      <c r="W295" s="34"/>
    </row>
    <row r="296" spans="1:23" x14ac:dyDescent="0.35">
      <c r="A296" s="46"/>
      <c r="B296" s="211"/>
      <c r="C296" s="211"/>
      <c r="D296" s="33"/>
      <c r="E296" s="33"/>
      <c r="F296" s="33"/>
      <c r="G296" s="33"/>
      <c r="H296" s="33"/>
      <c r="I296" s="212"/>
      <c r="J296" s="212"/>
      <c r="K296" s="46"/>
      <c r="L296" s="46"/>
      <c r="M296" s="213"/>
      <c r="N296" s="200"/>
      <c r="O296" s="46"/>
      <c r="P296" s="46"/>
      <c r="Q296" s="46"/>
      <c r="R296" s="46"/>
      <c r="S296" s="46"/>
      <c r="T296" s="235"/>
      <c r="U296" s="235"/>
      <c r="V296" s="214"/>
      <c r="W296" s="34"/>
    </row>
    <row r="297" spans="1:23" x14ac:dyDescent="0.35">
      <c r="A297" s="46"/>
      <c r="B297" s="211"/>
      <c r="C297" s="211"/>
      <c r="D297" s="33"/>
      <c r="E297" s="33"/>
      <c r="F297" s="33"/>
      <c r="G297" s="33"/>
      <c r="H297" s="33"/>
      <c r="I297" s="212"/>
      <c r="J297" s="212"/>
      <c r="K297" s="46"/>
      <c r="L297" s="46"/>
      <c r="M297" s="213"/>
      <c r="N297" s="200"/>
      <c r="O297" s="46"/>
      <c r="P297" s="46"/>
      <c r="Q297" s="46"/>
      <c r="R297" s="46"/>
      <c r="S297" s="46"/>
      <c r="T297" s="235"/>
      <c r="U297" s="235"/>
      <c r="V297" s="214"/>
      <c r="W297" s="34"/>
    </row>
    <row r="298" spans="1:23" x14ac:dyDescent="0.35">
      <c r="A298" s="46"/>
      <c r="B298" s="211"/>
      <c r="C298" s="211"/>
      <c r="D298" s="33"/>
      <c r="E298" s="33"/>
      <c r="F298" s="33"/>
      <c r="G298" s="33"/>
      <c r="H298" s="33"/>
      <c r="I298" s="212"/>
      <c r="J298" s="212"/>
      <c r="K298" s="46"/>
      <c r="L298" s="46"/>
      <c r="M298" s="213"/>
      <c r="N298" s="200"/>
      <c r="O298" s="46"/>
      <c r="P298" s="46"/>
      <c r="Q298" s="46"/>
      <c r="R298" s="46"/>
      <c r="S298" s="46"/>
      <c r="T298" s="235"/>
      <c r="U298" s="235"/>
      <c r="V298" s="214"/>
      <c r="W298" s="34"/>
    </row>
    <row r="299" spans="1:23" x14ac:dyDescent="0.35">
      <c r="A299" s="46"/>
      <c r="B299" s="211"/>
      <c r="C299" s="211"/>
      <c r="D299" s="33"/>
      <c r="E299" s="33"/>
      <c r="F299" s="33"/>
      <c r="G299" s="33"/>
      <c r="H299" s="33"/>
      <c r="I299" s="212"/>
      <c r="J299" s="212"/>
      <c r="K299" s="46"/>
      <c r="L299" s="46"/>
      <c r="M299" s="213"/>
      <c r="N299" s="200"/>
      <c r="O299" s="46"/>
      <c r="P299" s="46"/>
      <c r="Q299" s="46"/>
      <c r="R299" s="46"/>
      <c r="S299" s="46"/>
      <c r="T299" s="235"/>
      <c r="U299" s="235"/>
      <c r="V299" s="214"/>
      <c r="W299" s="34"/>
    </row>
    <row r="300" spans="1:23" x14ac:dyDescent="0.35">
      <c r="A300" s="46"/>
      <c r="B300" s="211"/>
      <c r="C300" s="211"/>
      <c r="D300" s="33"/>
      <c r="E300" s="33"/>
      <c r="F300" s="33"/>
      <c r="G300" s="33"/>
      <c r="H300" s="33"/>
      <c r="I300" s="212"/>
      <c r="J300" s="212"/>
      <c r="K300" s="46"/>
      <c r="L300" s="46"/>
      <c r="M300" s="213"/>
      <c r="N300" s="200"/>
      <c r="O300" s="46"/>
      <c r="P300" s="46"/>
      <c r="Q300" s="46"/>
      <c r="R300" s="46"/>
      <c r="S300" s="46"/>
      <c r="T300" s="235"/>
      <c r="U300" s="235"/>
      <c r="V300" s="214"/>
      <c r="W300" s="34"/>
    </row>
    <row r="301" spans="1:23" x14ac:dyDescent="0.35">
      <c r="A301" s="46"/>
      <c r="B301" s="211"/>
      <c r="C301" s="211"/>
      <c r="D301" s="33"/>
      <c r="E301" s="33"/>
      <c r="F301" s="33"/>
      <c r="G301" s="33"/>
      <c r="H301" s="33"/>
      <c r="I301" s="212"/>
      <c r="J301" s="212"/>
      <c r="K301" s="46"/>
      <c r="L301" s="46"/>
      <c r="M301" s="213"/>
      <c r="N301" s="200"/>
      <c r="O301" s="46"/>
      <c r="P301" s="46"/>
      <c r="Q301" s="46"/>
      <c r="R301" s="46"/>
      <c r="S301" s="46"/>
      <c r="T301" s="235"/>
      <c r="U301" s="235"/>
      <c r="V301" s="214"/>
      <c r="W301" s="34"/>
    </row>
    <row r="302" spans="1:23" x14ac:dyDescent="0.35">
      <c r="A302" s="46"/>
      <c r="B302" s="211"/>
      <c r="C302" s="211"/>
      <c r="D302" s="33"/>
      <c r="E302" s="33"/>
      <c r="F302" s="33"/>
      <c r="G302" s="33"/>
      <c r="H302" s="33"/>
      <c r="I302" s="212"/>
      <c r="J302" s="212"/>
      <c r="K302" s="46"/>
      <c r="L302" s="46"/>
      <c r="M302" s="213"/>
      <c r="N302" s="200"/>
      <c r="O302" s="46"/>
      <c r="P302" s="46"/>
      <c r="Q302" s="46"/>
      <c r="R302" s="46"/>
      <c r="S302" s="46"/>
      <c r="T302" s="235"/>
      <c r="U302" s="235"/>
      <c r="V302" s="214"/>
      <c r="W302" s="34"/>
    </row>
    <row r="303" spans="1:23" x14ac:dyDescent="0.35">
      <c r="A303" s="46"/>
      <c r="B303" s="211"/>
      <c r="C303" s="211"/>
      <c r="D303" s="33"/>
      <c r="E303" s="33"/>
      <c r="F303" s="33"/>
      <c r="G303" s="33"/>
      <c r="H303" s="33"/>
      <c r="I303" s="212"/>
      <c r="J303" s="212"/>
      <c r="K303" s="46"/>
      <c r="L303" s="46"/>
      <c r="M303" s="213"/>
      <c r="N303" s="200"/>
      <c r="O303" s="46"/>
      <c r="P303" s="46"/>
      <c r="Q303" s="46"/>
      <c r="R303" s="46"/>
      <c r="S303" s="46"/>
      <c r="T303" s="235"/>
      <c r="U303" s="235"/>
      <c r="V303" s="214"/>
      <c r="W303" s="34"/>
    </row>
    <row r="304" spans="1:23" x14ac:dyDescent="0.35">
      <c r="A304" s="46"/>
      <c r="B304" s="211"/>
      <c r="C304" s="211"/>
      <c r="D304" s="33"/>
      <c r="E304" s="33"/>
      <c r="F304" s="33"/>
      <c r="G304" s="33"/>
      <c r="H304" s="33"/>
      <c r="I304" s="212"/>
      <c r="J304" s="212"/>
      <c r="K304" s="46"/>
      <c r="L304" s="46"/>
      <c r="M304" s="213"/>
      <c r="N304" s="200"/>
      <c r="O304" s="46"/>
      <c r="P304" s="46"/>
      <c r="Q304" s="46"/>
      <c r="R304" s="46"/>
      <c r="S304" s="46"/>
      <c r="T304" s="235"/>
      <c r="U304" s="235"/>
      <c r="V304" s="214"/>
      <c r="W304" s="34"/>
    </row>
    <row r="305" spans="1:23" x14ac:dyDescent="0.35">
      <c r="A305" s="46"/>
      <c r="B305" s="211"/>
      <c r="C305" s="211"/>
      <c r="D305" s="33"/>
      <c r="E305" s="33"/>
      <c r="F305" s="33"/>
      <c r="G305" s="33"/>
      <c r="H305" s="33"/>
      <c r="I305" s="212"/>
      <c r="J305" s="212"/>
      <c r="K305" s="46"/>
      <c r="L305" s="46"/>
      <c r="M305" s="213"/>
      <c r="N305" s="200"/>
      <c r="O305" s="46"/>
      <c r="P305" s="46"/>
      <c r="Q305" s="46"/>
      <c r="R305" s="46"/>
      <c r="S305" s="46"/>
      <c r="T305" s="235"/>
      <c r="U305" s="235"/>
      <c r="V305" s="214"/>
      <c r="W305" s="34"/>
    </row>
    <row r="306" spans="1:23" x14ac:dyDescent="0.35">
      <c r="A306" s="46"/>
      <c r="B306" s="211"/>
      <c r="C306" s="211"/>
      <c r="D306" s="33"/>
      <c r="E306" s="33"/>
      <c r="F306" s="33"/>
      <c r="G306" s="33"/>
      <c r="H306" s="33"/>
      <c r="I306" s="212"/>
      <c r="J306" s="212"/>
      <c r="K306" s="46"/>
      <c r="L306" s="46"/>
      <c r="M306" s="213"/>
      <c r="N306" s="200"/>
      <c r="O306" s="46"/>
      <c r="P306" s="46"/>
      <c r="Q306" s="46"/>
      <c r="R306" s="46"/>
      <c r="S306" s="46"/>
      <c r="T306" s="235"/>
      <c r="U306" s="235"/>
      <c r="V306" s="214"/>
      <c r="W306" s="34"/>
    </row>
    <row r="307" spans="1:23" x14ac:dyDescent="0.35">
      <c r="A307" s="46"/>
      <c r="B307" s="211"/>
      <c r="C307" s="211"/>
      <c r="D307" s="33"/>
      <c r="E307" s="33"/>
      <c r="F307" s="33"/>
      <c r="G307" s="33"/>
      <c r="H307" s="33"/>
      <c r="I307" s="212"/>
      <c r="J307" s="212"/>
      <c r="K307" s="46"/>
      <c r="L307" s="46"/>
      <c r="M307" s="213"/>
      <c r="N307" s="200"/>
      <c r="O307" s="46"/>
      <c r="P307" s="46"/>
      <c r="Q307" s="46"/>
      <c r="R307" s="46"/>
      <c r="S307" s="46"/>
      <c r="T307" s="235"/>
      <c r="U307" s="235"/>
      <c r="V307" s="214"/>
      <c r="W307" s="34"/>
    </row>
    <row r="308" spans="1:23" x14ac:dyDescent="0.35">
      <c r="A308" s="46"/>
      <c r="B308" s="211"/>
      <c r="C308" s="211"/>
      <c r="D308" s="33"/>
      <c r="E308" s="33"/>
      <c r="F308" s="33"/>
      <c r="G308" s="33"/>
      <c r="H308" s="33"/>
      <c r="I308" s="212"/>
      <c r="J308" s="212"/>
      <c r="K308" s="46"/>
      <c r="L308" s="46"/>
      <c r="M308" s="213"/>
      <c r="N308" s="200"/>
      <c r="O308" s="46"/>
      <c r="P308" s="46"/>
      <c r="Q308" s="46"/>
      <c r="R308" s="46"/>
      <c r="S308" s="46"/>
      <c r="T308" s="235"/>
      <c r="U308" s="235"/>
      <c r="V308" s="214"/>
      <c r="W308" s="34"/>
    </row>
    <row r="309" spans="1:23" x14ac:dyDescent="0.35">
      <c r="A309" s="46"/>
      <c r="B309" s="211"/>
      <c r="C309" s="211"/>
      <c r="D309" s="33"/>
      <c r="E309" s="33"/>
      <c r="F309" s="33"/>
      <c r="G309" s="33"/>
      <c r="H309" s="33"/>
      <c r="I309" s="212"/>
      <c r="J309" s="212"/>
      <c r="K309" s="46"/>
      <c r="L309" s="46"/>
      <c r="M309" s="213"/>
      <c r="N309" s="200"/>
      <c r="O309" s="46"/>
      <c r="P309" s="46"/>
      <c r="Q309" s="46"/>
      <c r="R309" s="46"/>
      <c r="S309" s="46"/>
      <c r="T309" s="235"/>
      <c r="U309" s="243"/>
      <c r="V309" s="214"/>
      <c r="W309" s="34"/>
    </row>
    <row r="310" spans="1:23" x14ac:dyDescent="0.35">
      <c r="A310" s="46"/>
      <c r="B310" s="211"/>
      <c r="C310" s="211"/>
      <c r="D310" s="33"/>
      <c r="E310" s="33"/>
      <c r="F310" s="33"/>
      <c r="G310" s="33"/>
      <c r="H310" s="33"/>
      <c r="I310" s="212"/>
      <c r="J310" s="212"/>
      <c r="K310" s="46"/>
      <c r="L310" s="46"/>
      <c r="M310" s="213"/>
      <c r="N310" s="200"/>
      <c r="O310" s="46"/>
      <c r="P310" s="46"/>
      <c r="Q310" s="46"/>
      <c r="R310" s="46"/>
      <c r="S310" s="46"/>
      <c r="T310" s="235"/>
      <c r="U310" s="243"/>
      <c r="V310" s="214"/>
      <c r="W310" s="34"/>
    </row>
    <row r="311" spans="1:23" x14ac:dyDescent="0.35">
      <c r="A311" s="46"/>
      <c r="B311" s="211"/>
      <c r="C311" s="211"/>
      <c r="D311" s="33"/>
      <c r="E311" s="33"/>
      <c r="F311" s="33"/>
      <c r="G311" s="33"/>
      <c r="H311" s="33"/>
      <c r="I311" s="212"/>
      <c r="J311" s="212"/>
      <c r="K311" s="46"/>
      <c r="L311" s="46"/>
      <c r="M311" s="213"/>
      <c r="N311" s="200"/>
      <c r="O311" s="46"/>
      <c r="P311" s="46"/>
      <c r="Q311" s="46"/>
      <c r="R311" s="46"/>
      <c r="S311" s="46"/>
      <c r="T311" s="235"/>
      <c r="U311" s="243"/>
      <c r="V311" s="214"/>
      <c r="W311" s="34"/>
    </row>
    <row r="312" spans="1:23" x14ac:dyDescent="0.35">
      <c r="A312" s="46"/>
      <c r="B312" s="211"/>
      <c r="C312" s="211"/>
      <c r="D312" s="33"/>
      <c r="E312" s="33"/>
      <c r="F312" s="33"/>
      <c r="G312" s="33"/>
      <c r="H312" s="33"/>
      <c r="I312" s="212"/>
      <c r="J312" s="212"/>
      <c r="K312" s="46"/>
      <c r="L312" s="46"/>
      <c r="M312" s="213"/>
      <c r="N312" s="200"/>
      <c r="O312" s="46"/>
      <c r="P312" s="46"/>
      <c r="Q312" s="46"/>
      <c r="R312" s="46"/>
      <c r="S312" s="46"/>
      <c r="T312" s="235"/>
      <c r="U312" s="243"/>
      <c r="V312" s="214"/>
      <c r="W312" s="34"/>
    </row>
    <row r="313" spans="1:23" x14ac:dyDescent="0.35">
      <c r="A313" s="46"/>
      <c r="B313" s="211"/>
      <c r="C313" s="211"/>
      <c r="D313" s="33"/>
      <c r="E313" s="33"/>
      <c r="F313" s="33"/>
      <c r="G313" s="33"/>
      <c r="H313" s="33"/>
      <c r="I313" s="212"/>
      <c r="J313" s="212"/>
      <c r="K313" s="46"/>
      <c r="L313" s="46"/>
      <c r="M313" s="213"/>
      <c r="N313" s="200"/>
      <c r="O313" s="46"/>
      <c r="P313" s="46"/>
      <c r="Q313" s="46"/>
      <c r="R313" s="46"/>
      <c r="S313" s="46"/>
      <c r="T313" s="235"/>
      <c r="U313" s="243"/>
      <c r="V313" s="214"/>
      <c r="W313" s="34"/>
    </row>
    <row r="314" spans="1:23" x14ac:dyDescent="0.35">
      <c r="A314" s="46"/>
      <c r="B314" s="211"/>
      <c r="C314" s="211"/>
      <c r="D314" s="33"/>
      <c r="E314" s="33"/>
      <c r="F314" s="33"/>
      <c r="G314" s="33"/>
      <c r="H314" s="33"/>
      <c r="I314" s="212"/>
      <c r="J314" s="212"/>
      <c r="K314" s="46"/>
      <c r="L314" s="46"/>
      <c r="M314" s="213"/>
      <c r="N314" s="200"/>
      <c r="O314" s="46"/>
      <c r="P314" s="46"/>
      <c r="Q314" s="46"/>
      <c r="R314" s="46"/>
      <c r="S314" s="46"/>
      <c r="T314" s="235"/>
      <c r="U314" s="243"/>
      <c r="V314" s="214"/>
      <c r="W314" s="34"/>
    </row>
    <row r="315" spans="1:23" x14ac:dyDescent="0.35">
      <c r="A315" s="46"/>
      <c r="B315" s="211"/>
      <c r="C315" s="211"/>
      <c r="D315" s="33"/>
      <c r="E315" s="33"/>
      <c r="F315" s="33"/>
      <c r="G315" s="33"/>
      <c r="H315" s="33"/>
      <c r="I315" s="212"/>
      <c r="J315" s="212"/>
      <c r="K315" s="46"/>
      <c r="L315" s="46"/>
      <c r="M315" s="213"/>
      <c r="N315" s="200"/>
      <c r="O315" s="46"/>
      <c r="P315" s="46"/>
      <c r="Q315" s="46"/>
      <c r="R315" s="46"/>
      <c r="S315" s="46"/>
      <c r="T315" s="235"/>
      <c r="U315" s="243"/>
      <c r="V315" s="214"/>
      <c r="W315" s="34"/>
    </row>
    <row r="316" spans="1:23" x14ac:dyDescent="0.35">
      <c r="A316" s="46"/>
      <c r="B316" s="211"/>
      <c r="C316" s="211"/>
      <c r="D316" s="33"/>
      <c r="E316" s="33"/>
      <c r="F316" s="33"/>
      <c r="G316" s="33"/>
      <c r="H316" s="33"/>
      <c r="I316" s="212"/>
      <c r="J316" s="212"/>
      <c r="K316" s="46"/>
      <c r="L316" s="46"/>
      <c r="M316" s="213"/>
      <c r="N316" s="200"/>
      <c r="O316" s="46"/>
      <c r="P316" s="46"/>
      <c r="Q316" s="46"/>
      <c r="R316" s="46"/>
      <c r="S316" s="46"/>
      <c r="T316" s="235"/>
      <c r="U316" s="243"/>
      <c r="V316" s="214"/>
      <c r="W316" s="34"/>
    </row>
    <row r="317" spans="1:23" x14ac:dyDescent="0.35">
      <c r="A317" s="46"/>
      <c r="B317" s="211"/>
      <c r="C317" s="211"/>
      <c r="D317" s="33"/>
      <c r="E317" s="33"/>
      <c r="F317" s="33"/>
      <c r="G317" s="33"/>
      <c r="H317" s="33"/>
      <c r="I317" s="212"/>
      <c r="J317" s="212"/>
      <c r="K317" s="46"/>
      <c r="L317" s="46"/>
      <c r="M317" s="213"/>
      <c r="N317" s="200"/>
      <c r="O317" s="46"/>
      <c r="P317" s="46"/>
      <c r="Q317" s="46"/>
      <c r="R317" s="46"/>
      <c r="S317" s="46"/>
      <c r="T317" s="235"/>
      <c r="U317" s="243"/>
      <c r="V317" s="214"/>
      <c r="W317" s="34"/>
    </row>
    <row r="318" spans="1:23" x14ac:dyDescent="0.35">
      <c r="A318" s="46"/>
      <c r="B318" s="211"/>
      <c r="C318" s="211"/>
      <c r="D318" s="33"/>
      <c r="E318" s="33"/>
      <c r="F318" s="33"/>
      <c r="G318" s="33"/>
      <c r="H318" s="33"/>
      <c r="I318" s="212"/>
      <c r="J318" s="212"/>
      <c r="K318" s="46"/>
      <c r="L318" s="46"/>
      <c r="M318" s="213"/>
      <c r="N318" s="200"/>
      <c r="O318" s="46"/>
      <c r="P318" s="46"/>
      <c r="Q318" s="46"/>
      <c r="R318" s="46"/>
      <c r="S318" s="46"/>
      <c r="T318" s="235"/>
      <c r="U318" s="243"/>
      <c r="V318" s="214"/>
      <c r="W318" s="34"/>
    </row>
    <row r="319" spans="1:23" x14ac:dyDescent="0.35">
      <c r="A319" s="46"/>
      <c r="B319" s="211"/>
      <c r="C319" s="211"/>
      <c r="D319" s="33"/>
      <c r="E319" s="33"/>
      <c r="F319" s="33"/>
      <c r="G319" s="33"/>
      <c r="H319" s="33"/>
      <c r="I319" s="212"/>
      <c r="J319" s="212"/>
      <c r="K319" s="46"/>
      <c r="L319" s="46"/>
      <c r="M319" s="213"/>
      <c r="N319" s="200"/>
      <c r="O319" s="46"/>
      <c r="P319" s="46"/>
      <c r="Q319" s="46"/>
      <c r="R319" s="46"/>
      <c r="S319" s="46"/>
      <c r="T319" s="235"/>
      <c r="U319" s="243"/>
      <c r="V319" s="214"/>
      <c r="W319" s="34"/>
    </row>
    <row r="320" spans="1:23" x14ac:dyDescent="0.35">
      <c r="A320" s="46"/>
      <c r="B320" s="211"/>
      <c r="C320" s="211"/>
      <c r="D320" s="33"/>
      <c r="E320" s="33"/>
      <c r="F320" s="33"/>
      <c r="G320" s="33"/>
      <c r="H320" s="33"/>
      <c r="I320" s="212"/>
      <c r="J320" s="212"/>
      <c r="K320" s="46"/>
      <c r="L320" s="46"/>
      <c r="M320" s="213"/>
      <c r="N320" s="200"/>
      <c r="O320" s="46"/>
      <c r="P320" s="46"/>
      <c r="Q320" s="46"/>
      <c r="R320" s="46"/>
      <c r="S320" s="46"/>
      <c r="T320" s="235"/>
      <c r="U320" s="243"/>
      <c r="V320" s="214"/>
      <c r="W320" s="34"/>
    </row>
    <row r="321" spans="1:23" x14ac:dyDescent="0.35">
      <c r="A321" s="46"/>
      <c r="B321" s="211"/>
      <c r="C321" s="211"/>
      <c r="D321" s="33"/>
      <c r="E321" s="33"/>
      <c r="F321" s="33"/>
      <c r="G321" s="33"/>
      <c r="H321" s="33"/>
      <c r="I321" s="212"/>
      <c r="J321" s="212"/>
      <c r="K321" s="46"/>
      <c r="L321" s="46"/>
      <c r="M321" s="213"/>
      <c r="N321" s="200"/>
      <c r="O321" s="46"/>
      <c r="P321" s="46"/>
      <c r="Q321" s="46"/>
      <c r="R321" s="46"/>
      <c r="S321" s="46"/>
      <c r="T321" s="235"/>
      <c r="U321" s="243"/>
      <c r="V321" s="214"/>
      <c r="W321" s="34"/>
    </row>
    <row r="322" spans="1:23" x14ac:dyDescent="0.35">
      <c r="A322" s="46"/>
      <c r="B322" s="211"/>
      <c r="C322" s="211"/>
      <c r="D322" s="33"/>
      <c r="E322" s="33"/>
      <c r="F322" s="33"/>
      <c r="G322" s="33"/>
      <c r="H322" s="33"/>
      <c r="I322" s="212"/>
      <c r="J322" s="212"/>
      <c r="K322" s="46"/>
      <c r="L322" s="46"/>
      <c r="M322" s="213"/>
      <c r="N322" s="200"/>
      <c r="O322" s="46"/>
      <c r="P322" s="46"/>
      <c r="Q322" s="46"/>
      <c r="R322" s="46"/>
      <c r="S322" s="46"/>
      <c r="T322" s="235"/>
      <c r="U322" s="243"/>
      <c r="V322" s="214"/>
      <c r="W322" s="34"/>
    </row>
    <row r="323" spans="1:23" x14ac:dyDescent="0.35">
      <c r="A323" s="46"/>
      <c r="B323" s="211"/>
      <c r="C323" s="211"/>
      <c r="D323" s="33"/>
      <c r="E323" s="33"/>
      <c r="F323" s="33"/>
      <c r="G323" s="33"/>
      <c r="H323" s="33"/>
      <c r="I323" s="212"/>
      <c r="J323" s="212"/>
      <c r="K323" s="46"/>
      <c r="L323" s="46"/>
      <c r="M323" s="213"/>
      <c r="N323" s="200"/>
      <c r="O323" s="46"/>
      <c r="P323" s="46"/>
      <c r="Q323" s="46"/>
      <c r="R323" s="46"/>
      <c r="S323" s="46"/>
      <c r="T323" s="235"/>
      <c r="U323" s="243"/>
      <c r="V323" s="214"/>
      <c r="W323" s="34"/>
    </row>
    <row r="324" spans="1:23" x14ac:dyDescent="0.35">
      <c r="A324" s="46"/>
      <c r="B324" s="211"/>
      <c r="C324" s="211"/>
      <c r="D324" s="33"/>
      <c r="E324" s="33"/>
      <c r="F324" s="33"/>
      <c r="G324" s="33"/>
      <c r="H324" s="33"/>
      <c r="I324" s="212"/>
      <c r="J324" s="212"/>
      <c r="K324" s="46"/>
      <c r="L324" s="46"/>
      <c r="M324" s="213"/>
      <c r="N324" s="200"/>
      <c r="O324" s="46"/>
      <c r="P324" s="46"/>
      <c r="Q324" s="46"/>
      <c r="R324" s="46"/>
      <c r="S324" s="46"/>
      <c r="T324" s="235"/>
      <c r="U324" s="243"/>
      <c r="V324" s="214"/>
      <c r="W324" s="34"/>
    </row>
    <row r="325" spans="1:23" x14ac:dyDescent="0.35">
      <c r="A325" s="46"/>
      <c r="B325" s="211"/>
      <c r="C325" s="211"/>
      <c r="D325" s="33"/>
      <c r="E325" s="33"/>
      <c r="F325" s="33"/>
      <c r="G325" s="33"/>
      <c r="H325" s="33"/>
      <c r="I325" s="212"/>
      <c r="J325" s="212"/>
      <c r="K325" s="46"/>
      <c r="L325" s="46"/>
      <c r="M325" s="213"/>
      <c r="N325" s="200"/>
      <c r="O325" s="46"/>
      <c r="P325" s="46"/>
      <c r="Q325" s="46"/>
      <c r="R325" s="46"/>
      <c r="S325" s="46"/>
      <c r="T325" s="235"/>
      <c r="U325" s="243"/>
      <c r="V325" s="214"/>
      <c r="W325" s="34"/>
    </row>
    <row r="326" spans="1:23" x14ac:dyDescent="0.35">
      <c r="A326" s="46"/>
      <c r="B326" s="211"/>
      <c r="C326" s="211"/>
      <c r="D326" s="33"/>
      <c r="E326" s="33"/>
      <c r="F326" s="33"/>
      <c r="G326" s="33"/>
      <c r="H326" s="33"/>
      <c r="I326" s="212"/>
      <c r="J326" s="212"/>
      <c r="K326" s="46"/>
      <c r="L326" s="46"/>
      <c r="M326" s="213"/>
      <c r="N326" s="200"/>
      <c r="O326" s="46"/>
      <c r="P326" s="46"/>
      <c r="Q326" s="46"/>
      <c r="R326" s="46"/>
      <c r="S326" s="46"/>
      <c r="T326" s="235"/>
      <c r="U326" s="243"/>
      <c r="V326" s="214"/>
      <c r="W326" s="34"/>
    </row>
    <row r="327" spans="1:23" x14ac:dyDescent="0.35">
      <c r="A327" s="46"/>
      <c r="B327" s="211"/>
      <c r="C327" s="211"/>
      <c r="D327" s="33"/>
      <c r="E327" s="33"/>
      <c r="F327" s="33"/>
      <c r="G327" s="33"/>
      <c r="H327" s="33"/>
      <c r="I327" s="212"/>
      <c r="J327" s="212"/>
      <c r="K327" s="46"/>
      <c r="L327" s="46"/>
      <c r="M327" s="213"/>
      <c r="N327" s="200"/>
      <c r="O327" s="46"/>
      <c r="P327" s="46"/>
      <c r="Q327" s="46"/>
      <c r="R327" s="46"/>
      <c r="S327" s="46"/>
      <c r="T327" s="235"/>
      <c r="U327" s="243"/>
      <c r="V327" s="214"/>
      <c r="W327" s="34"/>
    </row>
    <row r="328" spans="1:23" x14ac:dyDescent="0.35">
      <c r="A328" s="46"/>
      <c r="B328" s="211"/>
      <c r="C328" s="211"/>
      <c r="D328" s="33"/>
      <c r="E328" s="33"/>
      <c r="F328" s="33"/>
      <c r="G328" s="33"/>
      <c r="H328" s="33"/>
      <c r="I328" s="212"/>
      <c r="J328" s="212"/>
      <c r="K328" s="46"/>
      <c r="L328" s="46"/>
      <c r="M328" s="213"/>
      <c r="N328" s="200"/>
      <c r="O328" s="46"/>
      <c r="P328" s="46"/>
      <c r="Q328" s="46"/>
      <c r="R328" s="46"/>
      <c r="S328" s="46"/>
      <c r="T328" s="235"/>
      <c r="U328" s="243"/>
      <c r="V328" s="214"/>
      <c r="W328" s="34"/>
    </row>
    <row r="329" spans="1:23" x14ac:dyDescent="0.35">
      <c r="A329" s="46"/>
      <c r="B329" s="211"/>
      <c r="C329" s="211"/>
      <c r="D329" s="33"/>
      <c r="E329" s="33"/>
      <c r="F329" s="33"/>
      <c r="G329" s="33"/>
      <c r="H329" s="33"/>
      <c r="I329" s="212"/>
      <c r="J329" s="212"/>
      <c r="K329" s="46"/>
      <c r="L329" s="46"/>
      <c r="M329" s="213"/>
      <c r="N329" s="200"/>
      <c r="O329" s="46"/>
      <c r="P329" s="46"/>
      <c r="Q329" s="46"/>
      <c r="R329" s="46"/>
      <c r="S329" s="46"/>
      <c r="T329" s="235"/>
      <c r="U329" s="243"/>
      <c r="V329" s="214"/>
      <c r="W329" s="34"/>
    </row>
    <row r="330" spans="1:23" x14ac:dyDescent="0.35">
      <c r="A330" s="46"/>
      <c r="B330" s="211"/>
      <c r="C330" s="211"/>
      <c r="D330" s="33"/>
      <c r="E330" s="33"/>
      <c r="F330" s="33"/>
      <c r="G330" s="33"/>
      <c r="H330" s="33"/>
      <c r="I330" s="212"/>
      <c r="J330" s="212"/>
      <c r="K330" s="46"/>
      <c r="L330" s="46"/>
      <c r="M330" s="213"/>
      <c r="N330" s="200"/>
      <c r="O330" s="46"/>
      <c r="P330" s="46"/>
      <c r="Q330" s="46"/>
      <c r="R330" s="46"/>
      <c r="S330" s="46"/>
      <c r="T330" s="235"/>
      <c r="U330" s="243"/>
      <c r="V330" s="214"/>
      <c r="W330" s="34"/>
    </row>
    <row r="331" spans="1:23" x14ac:dyDescent="0.35">
      <c r="A331" s="46"/>
      <c r="B331" s="211"/>
      <c r="C331" s="211"/>
      <c r="D331" s="33"/>
      <c r="E331" s="33"/>
      <c r="F331" s="33"/>
      <c r="G331" s="33"/>
      <c r="H331" s="33"/>
      <c r="I331" s="212"/>
      <c r="J331" s="212"/>
      <c r="K331" s="46"/>
      <c r="L331" s="46"/>
      <c r="M331" s="213"/>
      <c r="N331" s="200"/>
      <c r="O331" s="46"/>
      <c r="P331" s="46"/>
      <c r="Q331" s="46"/>
      <c r="R331" s="46"/>
      <c r="S331" s="46"/>
      <c r="T331" s="235"/>
      <c r="U331" s="243"/>
      <c r="V331" s="214"/>
      <c r="W331" s="34"/>
    </row>
    <row r="332" spans="1:23" x14ac:dyDescent="0.35">
      <c r="A332" s="46"/>
      <c r="B332" s="211"/>
      <c r="C332" s="211"/>
      <c r="D332" s="33"/>
      <c r="E332" s="33"/>
      <c r="F332" s="33"/>
      <c r="G332" s="33"/>
      <c r="H332" s="33"/>
      <c r="I332" s="212"/>
      <c r="J332" s="212"/>
      <c r="K332" s="46"/>
      <c r="L332" s="46"/>
      <c r="M332" s="213"/>
      <c r="N332" s="200"/>
      <c r="O332" s="46"/>
      <c r="P332" s="46"/>
      <c r="Q332" s="46"/>
      <c r="R332" s="46"/>
      <c r="S332" s="46"/>
      <c r="T332" s="235"/>
      <c r="U332" s="243"/>
      <c r="V332" s="214"/>
      <c r="W332" s="34"/>
    </row>
    <row r="333" spans="1:23" x14ac:dyDescent="0.35">
      <c r="A333" s="46"/>
      <c r="B333" s="211"/>
      <c r="C333" s="211"/>
      <c r="D333" s="33"/>
      <c r="E333" s="33"/>
      <c r="F333" s="33"/>
      <c r="G333" s="33"/>
      <c r="H333" s="33"/>
      <c r="I333" s="212"/>
      <c r="J333" s="212"/>
      <c r="K333" s="46"/>
      <c r="L333" s="46"/>
      <c r="M333" s="213"/>
      <c r="N333" s="200"/>
      <c r="O333" s="46"/>
      <c r="P333" s="46"/>
      <c r="Q333" s="46"/>
      <c r="R333" s="46"/>
      <c r="S333" s="46"/>
      <c r="T333" s="235"/>
      <c r="U333" s="243"/>
      <c r="V333" s="214"/>
      <c r="W333" s="34"/>
    </row>
    <row r="334" spans="1:23" x14ac:dyDescent="0.35">
      <c r="A334" s="46"/>
      <c r="B334" s="211"/>
      <c r="C334" s="211"/>
      <c r="D334" s="33"/>
      <c r="E334" s="33"/>
      <c r="F334" s="33"/>
      <c r="G334" s="33"/>
      <c r="H334" s="33"/>
      <c r="I334" s="212"/>
      <c r="J334" s="212"/>
      <c r="K334" s="46"/>
      <c r="L334" s="46"/>
      <c r="M334" s="213"/>
      <c r="N334" s="200"/>
      <c r="O334" s="46"/>
      <c r="P334" s="46"/>
      <c r="Q334" s="46"/>
      <c r="R334" s="46"/>
      <c r="S334" s="46"/>
      <c r="T334" s="235"/>
      <c r="U334" s="243"/>
      <c r="V334" s="214"/>
      <c r="W334" s="34"/>
    </row>
    <row r="335" spans="1:23" x14ac:dyDescent="0.35">
      <c r="A335" s="46"/>
      <c r="B335" s="211"/>
      <c r="C335" s="211"/>
      <c r="D335" s="33"/>
      <c r="E335" s="33"/>
      <c r="F335" s="33"/>
      <c r="G335" s="33"/>
      <c r="H335" s="33"/>
      <c r="I335" s="212"/>
      <c r="J335" s="212"/>
      <c r="K335" s="46"/>
      <c r="L335" s="46"/>
      <c r="M335" s="213"/>
      <c r="N335" s="200"/>
      <c r="O335" s="46"/>
      <c r="P335" s="46"/>
      <c r="Q335" s="46"/>
      <c r="R335" s="46"/>
      <c r="S335" s="46"/>
      <c r="T335" s="235"/>
      <c r="U335" s="243"/>
      <c r="V335" s="214"/>
      <c r="W335" s="34"/>
    </row>
    <row r="336" spans="1:23" x14ac:dyDescent="0.35">
      <c r="A336" s="46"/>
      <c r="B336" s="211"/>
      <c r="C336" s="211"/>
      <c r="D336" s="33"/>
      <c r="E336" s="33"/>
      <c r="F336" s="33"/>
      <c r="G336" s="33"/>
      <c r="H336" s="33"/>
      <c r="I336" s="212"/>
      <c r="J336" s="212"/>
      <c r="K336" s="46"/>
      <c r="L336" s="46"/>
      <c r="M336" s="213"/>
      <c r="N336" s="200"/>
      <c r="O336" s="46"/>
      <c r="P336" s="46"/>
      <c r="Q336" s="46"/>
      <c r="R336" s="46"/>
      <c r="S336" s="46"/>
      <c r="T336" s="235"/>
      <c r="U336" s="243"/>
      <c r="V336" s="214"/>
      <c r="W336" s="34"/>
    </row>
    <row r="337" spans="1:23" x14ac:dyDescent="0.35">
      <c r="A337" s="46"/>
      <c r="B337" s="211"/>
      <c r="C337" s="211"/>
      <c r="D337" s="33"/>
      <c r="E337" s="33"/>
      <c r="F337" s="33"/>
      <c r="G337" s="33"/>
      <c r="H337" s="33"/>
      <c r="I337" s="212"/>
      <c r="J337" s="212"/>
      <c r="K337" s="46"/>
      <c r="L337" s="46"/>
      <c r="M337" s="213"/>
      <c r="N337" s="200"/>
      <c r="O337" s="46"/>
      <c r="P337" s="46"/>
      <c r="Q337" s="46"/>
      <c r="R337" s="46"/>
      <c r="S337" s="46"/>
      <c r="T337" s="235"/>
      <c r="U337" s="243"/>
      <c r="V337" s="214"/>
      <c r="W337" s="34"/>
    </row>
    <row r="338" spans="1:23" x14ac:dyDescent="0.35">
      <c r="A338" s="46"/>
      <c r="B338" s="211"/>
      <c r="C338" s="211"/>
      <c r="D338" s="33"/>
      <c r="E338" s="33"/>
      <c r="F338" s="33"/>
      <c r="G338" s="33"/>
      <c r="H338" s="33"/>
      <c r="I338" s="212"/>
      <c r="J338" s="212"/>
      <c r="K338" s="46"/>
      <c r="L338" s="46"/>
      <c r="M338" s="213"/>
      <c r="N338" s="200"/>
      <c r="O338" s="46"/>
      <c r="P338" s="46"/>
      <c r="Q338" s="46"/>
      <c r="R338" s="46"/>
      <c r="S338" s="46"/>
      <c r="T338" s="235"/>
      <c r="U338" s="243"/>
      <c r="V338" s="214"/>
      <c r="W338" s="34"/>
    </row>
    <row r="339" spans="1:23" x14ac:dyDescent="0.35">
      <c r="A339" s="46"/>
      <c r="B339" s="211"/>
      <c r="C339" s="211"/>
      <c r="D339" s="33"/>
      <c r="E339" s="33"/>
      <c r="F339" s="33"/>
      <c r="G339" s="33"/>
      <c r="H339" s="33"/>
      <c r="I339" s="212"/>
      <c r="J339" s="212"/>
      <c r="K339" s="46"/>
      <c r="L339" s="46"/>
      <c r="M339" s="213"/>
      <c r="N339" s="200"/>
      <c r="O339" s="46"/>
      <c r="P339" s="46"/>
      <c r="Q339" s="46"/>
      <c r="R339" s="46"/>
      <c r="S339" s="46"/>
      <c r="T339" s="235"/>
      <c r="U339" s="243"/>
      <c r="V339" s="214"/>
      <c r="W339" s="34"/>
    </row>
    <row r="340" spans="1:23" x14ac:dyDescent="0.35">
      <c r="A340" s="46"/>
      <c r="B340" s="211"/>
      <c r="C340" s="211"/>
      <c r="D340" s="33"/>
      <c r="E340" s="33"/>
      <c r="F340" s="33"/>
      <c r="G340" s="33"/>
      <c r="H340" s="33"/>
      <c r="I340" s="212"/>
      <c r="J340" s="212"/>
      <c r="K340" s="46"/>
      <c r="L340" s="46"/>
      <c r="M340" s="213"/>
      <c r="N340" s="200"/>
      <c r="O340" s="46"/>
      <c r="P340" s="46"/>
      <c r="Q340" s="46"/>
      <c r="R340" s="46"/>
      <c r="S340" s="46"/>
      <c r="T340" s="235"/>
      <c r="U340" s="243"/>
      <c r="V340" s="214"/>
      <c r="W340" s="34"/>
    </row>
    <row r="341" spans="1:23" x14ac:dyDescent="0.35">
      <c r="A341" s="46"/>
      <c r="B341" s="211"/>
      <c r="C341" s="211"/>
      <c r="D341" s="33"/>
      <c r="E341" s="33"/>
      <c r="F341" s="33"/>
      <c r="G341" s="33"/>
      <c r="H341" s="33"/>
      <c r="I341" s="212"/>
      <c r="J341" s="212"/>
      <c r="K341" s="46"/>
      <c r="L341" s="46"/>
      <c r="M341" s="213"/>
      <c r="N341" s="200"/>
      <c r="O341" s="46"/>
      <c r="P341" s="46"/>
      <c r="Q341" s="46"/>
      <c r="R341" s="46"/>
      <c r="S341" s="46"/>
      <c r="T341" s="235"/>
      <c r="U341" s="243"/>
      <c r="V341" s="214"/>
      <c r="W341" s="34"/>
    </row>
    <row r="342" spans="1:23" x14ac:dyDescent="0.35">
      <c r="A342" s="46"/>
      <c r="B342" s="211"/>
      <c r="C342" s="211"/>
      <c r="D342" s="33"/>
      <c r="E342" s="33"/>
      <c r="F342" s="33"/>
      <c r="G342" s="33"/>
      <c r="H342" s="33"/>
      <c r="I342" s="212"/>
      <c r="J342" s="212"/>
      <c r="K342" s="46"/>
      <c r="L342" s="46"/>
      <c r="M342" s="213"/>
      <c r="N342" s="200"/>
      <c r="O342" s="46"/>
      <c r="P342" s="46"/>
      <c r="Q342" s="46"/>
      <c r="R342" s="46"/>
      <c r="S342" s="46"/>
      <c r="T342" s="235"/>
      <c r="U342" s="243"/>
      <c r="V342" s="214"/>
      <c r="W342" s="34"/>
    </row>
    <row r="343" spans="1:23" x14ac:dyDescent="0.35">
      <c r="A343" s="46"/>
      <c r="B343" s="211"/>
      <c r="C343" s="211"/>
      <c r="D343" s="33"/>
      <c r="E343" s="33"/>
      <c r="F343" s="33"/>
      <c r="G343" s="33"/>
      <c r="H343" s="33"/>
      <c r="I343" s="212"/>
      <c r="J343" s="212"/>
      <c r="K343" s="46"/>
      <c r="L343" s="46"/>
      <c r="M343" s="213"/>
      <c r="N343" s="200"/>
      <c r="O343" s="46"/>
      <c r="P343" s="46"/>
      <c r="Q343" s="46"/>
      <c r="R343" s="46"/>
      <c r="S343" s="46"/>
      <c r="T343" s="235"/>
      <c r="U343" s="243"/>
      <c r="V343" s="214"/>
      <c r="W343" s="34"/>
    </row>
    <row r="344" spans="1:23" x14ac:dyDescent="0.35">
      <c r="A344" s="46"/>
      <c r="B344" s="211"/>
      <c r="C344" s="211"/>
      <c r="D344" s="33"/>
      <c r="E344" s="33"/>
      <c r="F344" s="33"/>
      <c r="G344" s="33"/>
      <c r="H344" s="33"/>
      <c r="I344" s="212"/>
      <c r="J344" s="212"/>
      <c r="K344" s="46"/>
      <c r="L344" s="46"/>
      <c r="M344" s="213"/>
      <c r="N344" s="200"/>
      <c r="O344" s="46"/>
      <c r="P344" s="46"/>
      <c r="Q344" s="46"/>
      <c r="R344" s="46"/>
      <c r="S344" s="46"/>
      <c r="T344" s="235"/>
      <c r="U344" s="243"/>
      <c r="V344" s="214"/>
      <c r="W344" s="34"/>
    </row>
    <row r="345" spans="1:23" x14ac:dyDescent="0.35">
      <c r="A345" s="46"/>
      <c r="B345" s="211"/>
      <c r="C345" s="211"/>
      <c r="D345" s="33"/>
      <c r="E345" s="33"/>
      <c r="F345" s="33"/>
      <c r="G345" s="33"/>
      <c r="H345" s="33"/>
      <c r="I345" s="212"/>
      <c r="J345" s="212"/>
      <c r="K345" s="46"/>
      <c r="L345" s="46"/>
      <c r="M345" s="213"/>
      <c r="N345" s="200"/>
      <c r="O345" s="46"/>
      <c r="P345" s="46"/>
      <c r="Q345" s="46"/>
      <c r="R345" s="46"/>
      <c r="S345" s="46"/>
      <c r="T345" s="235"/>
      <c r="U345" s="243"/>
      <c r="V345" s="214"/>
      <c r="W345" s="34"/>
    </row>
    <row r="346" spans="1:23" x14ac:dyDescent="0.35">
      <c r="A346" s="46"/>
      <c r="B346" s="211"/>
      <c r="C346" s="211"/>
      <c r="D346" s="33"/>
      <c r="E346" s="33"/>
      <c r="F346" s="33"/>
      <c r="G346" s="33"/>
      <c r="H346" s="33"/>
      <c r="I346" s="212"/>
      <c r="J346" s="212"/>
      <c r="K346" s="46"/>
      <c r="L346" s="46"/>
      <c r="M346" s="213"/>
      <c r="N346" s="200"/>
      <c r="O346" s="46"/>
      <c r="P346" s="46"/>
      <c r="Q346" s="46"/>
      <c r="R346" s="46"/>
      <c r="S346" s="46"/>
      <c r="T346" s="235"/>
      <c r="U346" s="243"/>
      <c r="V346" s="214"/>
      <c r="W346" s="34"/>
    </row>
    <row r="347" spans="1:23" x14ac:dyDescent="0.35">
      <c r="A347" s="46"/>
      <c r="B347" s="211"/>
      <c r="C347" s="211"/>
      <c r="D347" s="33"/>
      <c r="E347" s="33"/>
      <c r="F347" s="33"/>
      <c r="G347" s="33"/>
      <c r="H347" s="33"/>
      <c r="I347" s="212"/>
      <c r="J347" s="212"/>
      <c r="K347" s="46"/>
      <c r="L347" s="46"/>
      <c r="M347" s="213"/>
      <c r="N347" s="200"/>
      <c r="O347" s="46"/>
      <c r="P347" s="46"/>
      <c r="Q347" s="46"/>
      <c r="R347" s="46"/>
      <c r="S347" s="46"/>
      <c r="T347" s="235"/>
      <c r="U347" s="243"/>
      <c r="V347" s="214"/>
      <c r="W347" s="34"/>
    </row>
    <row r="348" spans="1:23" x14ac:dyDescent="0.35">
      <c r="A348" s="46"/>
      <c r="B348" s="211"/>
      <c r="C348" s="211"/>
      <c r="D348" s="33"/>
      <c r="E348" s="33"/>
      <c r="F348" s="33"/>
      <c r="G348" s="33"/>
      <c r="H348" s="33"/>
      <c r="I348" s="212"/>
      <c r="J348" s="212"/>
      <c r="K348" s="46"/>
      <c r="L348" s="46"/>
      <c r="M348" s="213"/>
      <c r="N348" s="200"/>
      <c r="O348" s="46"/>
      <c r="P348" s="46"/>
      <c r="Q348" s="46"/>
      <c r="R348" s="46"/>
      <c r="S348" s="46"/>
      <c r="T348" s="235"/>
      <c r="U348" s="243"/>
      <c r="V348" s="214"/>
      <c r="W348" s="34"/>
    </row>
    <row r="349" spans="1:23" x14ac:dyDescent="0.35">
      <c r="A349" s="46"/>
      <c r="B349" s="211"/>
      <c r="C349" s="211"/>
      <c r="D349" s="33"/>
      <c r="E349" s="33"/>
      <c r="F349" s="33"/>
      <c r="G349" s="33"/>
      <c r="H349" s="33"/>
      <c r="I349" s="212"/>
      <c r="J349" s="212"/>
      <c r="K349" s="46"/>
      <c r="L349" s="46"/>
      <c r="M349" s="213"/>
      <c r="N349" s="200"/>
      <c r="O349" s="46"/>
      <c r="P349" s="46"/>
      <c r="Q349" s="46"/>
      <c r="R349" s="46"/>
      <c r="S349" s="46"/>
      <c r="T349" s="235"/>
      <c r="U349" s="243"/>
      <c r="V349" s="214"/>
      <c r="W349" s="34"/>
    </row>
    <row r="350" spans="1:23" x14ac:dyDescent="0.35">
      <c r="A350" s="46"/>
      <c r="B350" s="211"/>
      <c r="C350" s="211"/>
      <c r="D350" s="33"/>
      <c r="E350" s="33"/>
      <c r="F350" s="33"/>
      <c r="G350" s="33"/>
      <c r="H350" s="33"/>
      <c r="I350" s="212"/>
      <c r="J350" s="212"/>
      <c r="K350" s="46"/>
      <c r="L350" s="46"/>
      <c r="M350" s="213"/>
      <c r="N350" s="200"/>
      <c r="O350" s="46"/>
      <c r="P350" s="46"/>
      <c r="Q350" s="46"/>
      <c r="R350" s="46"/>
      <c r="S350" s="46"/>
      <c r="T350" s="235"/>
      <c r="U350" s="243"/>
      <c r="V350" s="214"/>
      <c r="W350" s="34"/>
    </row>
    <row r="351" spans="1:23" x14ac:dyDescent="0.35">
      <c r="A351" s="46"/>
      <c r="B351" s="211"/>
      <c r="C351" s="211"/>
      <c r="D351" s="33"/>
      <c r="E351" s="33"/>
      <c r="F351" s="33"/>
      <c r="G351" s="33"/>
      <c r="H351" s="33"/>
      <c r="I351" s="212"/>
      <c r="J351" s="212"/>
      <c r="K351" s="46"/>
      <c r="L351" s="46"/>
      <c r="M351" s="213"/>
      <c r="N351" s="200"/>
      <c r="O351" s="46"/>
      <c r="P351" s="46"/>
      <c r="Q351" s="46"/>
      <c r="R351" s="46"/>
      <c r="S351" s="46"/>
      <c r="T351" s="235"/>
      <c r="U351" s="243"/>
      <c r="V351" s="214"/>
      <c r="W351" s="34"/>
    </row>
    <row r="352" spans="1:23" x14ac:dyDescent="0.35">
      <c r="A352" s="46"/>
      <c r="B352" s="211"/>
      <c r="C352" s="211"/>
      <c r="D352" s="33"/>
      <c r="E352" s="33"/>
      <c r="F352" s="33"/>
      <c r="G352" s="33"/>
      <c r="H352" s="33"/>
      <c r="I352" s="212"/>
      <c r="J352" s="212"/>
      <c r="K352" s="46"/>
      <c r="L352" s="46"/>
      <c r="M352" s="213"/>
      <c r="N352" s="200"/>
      <c r="O352" s="46"/>
      <c r="P352" s="46"/>
      <c r="Q352" s="46"/>
      <c r="R352" s="46"/>
      <c r="S352" s="46"/>
      <c r="T352" s="235"/>
      <c r="U352" s="243"/>
      <c r="V352" s="214"/>
      <c r="W352" s="34"/>
    </row>
    <row r="353" spans="1:23" x14ac:dyDescent="0.35">
      <c r="A353" s="46"/>
      <c r="B353" s="211"/>
      <c r="C353" s="211"/>
      <c r="D353" s="33"/>
      <c r="E353" s="33"/>
      <c r="F353" s="33"/>
      <c r="G353" s="33"/>
      <c r="H353" s="33"/>
      <c r="I353" s="212"/>
      <c r="J353" s="212"/>
      <c r="K353" s="46"/>
      <c r="L353" s="46"/>
      <c r="M353" s="213"/>
      <c r="N353" s="200"/>
      <c r="O353" s="46"/>
      <c r="P353" s="46"/>
      <c r="Q353" s="46"/>
      <c r="R353" s="46"/>
      <c r="S353" s="46"/>
      <c r="T353" s="235"/>
      <c r="U353" s="243"/>
      <c r="V353" s="214"/>
      <c r="W353" s="34"/>
    </row>
    <row r="354" spans="1:23" x14ac:dyDescent="0.35">
      <c r="A354" s="46"/>
      <c r="B354" s="211"/>
      <c r="C354" s="211"/>
      <c r="D354" s="33"/>
      <c r="E354" s="33"/>
      <c r="F354" s="33"/>
      <c r="G354" s="33"/>
      <c r="H354" s="33"/>
      <c r="I354" s="212"/>
      <c r="J354" s="212"/>
      <c r="K354" s="46"/>
      <c r="L354" s="46"/>
      <c r="M354" s="213"/>
      <c r="N354" s="200"/>
      <c r="O354" s="46"/>
      <c r="P354" s="46"/>
      <c r="Q354" s="46"/>
      <c r="R354" s="46"/>
      <c r="S354" s="46"/>
      <c r="T354" s="235"/>
      <c r="U354" s="243"/>
      <c r="V354" s="214"/>
      <c r="W354" s="34"/>
    </row>
    <row r="355" spans="1:23" x14ac:dyDescent="0.35">
      <c r="A355" s="46"/>
      <c r="B355" s="211"/>
      <c r="C355" s="211"/>
      <c r="D355" s="33"/>
      <c r="E355" s="33"/>
      <c r="F355" s="33"/>
      <c r="G355" s="33"/>
      <c r="H355" s="33"/>
      <c r="I355" s="212"/>
      <c r="J355" s="212"/>
      <c r="K355" s="46"/>
      <c r="L355" s="46"/>
      <c r="M355" s="213"/>
      <c r="N355" s="200"/>
      <c r="O355" s="46"/>
      <c r="P355" s="46"/>
      <c r="Q355" s="46"/>
      <c r="R355" s="46"/>
      <c r="S355" s="46"/>
      <c r="T355" s="235"/>
      <c r="U355" s="243"/>
      <c r="V355" s="214"/>
      <c r="W355" s="34"/>
    </row>
    <row r="356" spans="1:23" x14ac:dyDescent="0.35">
      <c r="A356" s="46"/>
      <c r="B356" s="211"/>
      <c r="C356" s="211"/>
      <c r="D356" s="33"/>
      <c r="E356" s="33"/>
      <c r="F356" s="33"/>
      <c r="G356" s="33"/>
      <c r="H356" s="33"/>
      <c r="I356" s="212"/>
      <c r="J356" s="212"/>
      <c r="K356" s="46"/>
      <c r="L356" s="46"/>
      <c r="M356" s="213"/>
      <c r="N356" s="200"/>
      <c r="O356" s="46"/>
      <c r="P356" s="46"/>
      <c r="Q356" s="46"/>
      <c r="R356" s="46"/>
      <c r="S356" s="46"/>
      <c r="T356" s="235"/>
      <c r="U356" s="243"/>
      <c r="V356" s="214"/>
      <c r="W356" s="34"/>
    </row>
    <row r="357" spans="1:23" x14ac:dyDescent="0.35">
      <c r="A357" s="46"/>
      <c r="B357" s="211"/>
      <c r="C357" s="211"/>
      <c r="D357" s="33"/>
      <c r="E357" s="33"/>
      <c r="F357" s="33"/>
      <c r="G357" s="33"/>
      <c r="H357" s="33"/>
      <c r="I357" s="212"/>
      <c r="J357" s="212"/>
      <c r="K357" s="46"/>
      <c r="L357" s="46"/>
      <c r="M357" s="213"/>
      <c r="N357" s="200"/>
      <c r="O357" s="46"/>
      <c r="P357" s="46"/>
      <c r="Q357" s="46"/>
      <c r="R357" s="46"/>
      <c r="S357" s="46"/>
      <c r="T357" s="235"/>
      <c r="U357" s="243"/>
      <c r="V357" s="214"/>
      <c r="W357" s="34"/>
    </row>
    <row r="358" spans="1:23" x14ac:dyDescent="0.35">
      <c r="A358" s="46"/>
      <c r="B358" s="211"/>
      <c r="C358" s="211"/>
      <c r="D358" s="33"/>
      <c r="E358" s="33"/>
      <c r="F358" s="33"/>
      <c r="G358" s="33"/>
      <c r="H358" s="33"/>
      <c r="I358" s="212"/>
      <c r="J358" s="212"/>
      <c r="K358" s="46"/>
      <c r="L358" s="46"/>
      <c r="M358" s="213"/>
      <c r="N358" s="200"/>
      <c r="O358" s="46"/>
      <c r="P358" s="46"/>
      <c r="Q358" s="46"/>
      <c r="R358" s="46"/>
      <c r="S358" s="46"/>
      <c r="T358" s="235"/>
      <c r="U358" s="243"/>
      <c r="V358" s="214"/>
      <c r="W358" s="34"/>
    </row>
    <row r="359" spans="1:23" x14ac:dyDescent="0.35">
      <c r="A359" s="46"/>
      <c r="B359" s="211"/>
      <c r="C359" s="211"/>
      <c r="D359" s="33"/>
      <c r="E359" s="33"/>
      <c r="F359" s="33"/>
      <c r="G359" s="33"/>
      <c r="H359" s="33"/>
      <c r="I359" s="212"/>
      <c r="J359" s="212"/>
      <c r="K359" s="46"/>
      <c r="L359" s="46"/>
      <c r="M359" s="213"/>
      <c r="N359" s="200"/>
      <c r="O359" s="46"/>
      <c r="P359" s="46"/>
      <c r="Q359" s="46"/>
      <c r="R359" s="46"/>
      <c r="S359" s="46"/>
      <c r="T359" s="235"/>
      <c r="U359" s="243"/>
      <c r="V359" s="214"/>
      <c r="W359" s="34"/>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25">
    <mergeCell ref="A2:W2"/>
    <mergeCell ref="A1:W1"/>
    <mergeCell ref="O27:O29"/>
    <mergeCell ref="O14:O21"/>
    <mergeCell ref="R14:R21"/>
    <mergeCell ref="R22:R26"/>
    <mergeCell ref="Q22:Q26"/>
    <mergeCell ref="P22:P26"/>
    <mergeCell ref="O22:O26"/>
    <mergeCell ref="Q14:Q21"/>
    <mergeCell ref="P14:P21"/>
    <mergeCell ref="R27:R29"/>
    <mergeCell ref="Q27:Q29"/>
    <mergeCell ref="P27:P29"/>
    <mergeCell ref="V4:W4"/>
    <mergeCell ref="R6:R13"/>
    <mergeCell ref="O6:O13"/>
    <mergeCell ref="P6:P13"/>
    <mergeCell ref="Q6:Q13"/>
    <mergeCell ref="S4:U4"/>
    <mergeCell ref="A3:T3"/>
    <mergeCell ref="A4:E4"/>
    <mergeCell ref="F4:L4"/>
    <mergeCell ref="M4:N4"/>
    <mergeCell ref="O4:Q4"/>
  </mergeCells>
  <conditionalFormatting sqref="O6:R6 O14:R14 O22:R22 O27:R27 O30:R1048576">
    <cfRule type="containsText" dxfId="132" priority="4" operator="containsText" text="No">
      <formula>NOT(ISERROR(SEARCH("No",O6)))</formula>
    </cfRule>
    <cfRule type="containsText" dxfId="131" priority="5" operator="containsText" text="Yes">
      <formula>NOT(ISERROR(SEARCH("Yes",O6)))</formula>
    </cfRule>
  </conditionalFormatting>
  <conditionalFormatting sqref="S6:S1048576">
    <cfRule type="containsText" dxfId="130" priority="1" operator="containsText" text="Rejected">
      <formula>NOT(ISERROR(SEARCH("Rejected",S6)))</formula>
    </cfRule>
    <cfRule type="containsText" dxfId="129" priority="2" operator="containsText" text="Revisions Needed">
      <formula>NOT(ISERROR(SEARCH("Revisions Needed",S6)))</formula>
    </cfRule>
    <cfRule type="containsText" dxfId="128" priority="3" operator="containsText" text="Approved">
      <formula>NOT(ISERROR(SEARCH("Approved",S6)))</formula>
    </cfRule>
  </conditionalFormatting>
  <dataValidations count="4">
    <dataValidation type="list" allowBlank="1" showInputMessage="1" showErrorMessage="1" sqref="O6 O14:Q14 O22:Q22 O27:Q27 O30:Q1048576" xr:uid="{D4B265BB-DF31-4954-9F7C-F2BCCCEBC27F}">
      <formula1>"No, Yes"</formula1>
    </dataValidation>
    <dataValidation type="list" allowBlank="1" showInputMessage="1" showErrorMessage="1" sqref="C6:C1048576" xr:uid="{4874B527-2EB2-4BF0-9C13-5CB783C890A3}">
      <formula1>"Monthly, Yearly"</formula1>
    </dataValidation>
    <dataValidation type="list" allowBlank="1" showInputMessage="1" showErrorMessage="1" sqref="P6:Q13" xr:uid="{8EFA8491-2E71-40AD-84BE-02FDAB1C3FEA}">
      <formula1>"Yes, No"</formula1>
    </dataValidation>
    <dataValidation type="list" allowBlank="1" sqref="S6:S1048576" xr:uid="{447F3E05-E404-40AE-A470-5D982A0A53B4}">
      <formula1>"Approved,Revisions Needed, Rejected"</formula1>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D660-A873-4F9C-97DE-FD086BD6D069}">
  <sheetPr>
    <tabColor theme="3" tint="0.59999389629810485"/>
  </sheetPr>
  <dimension ref="A1:S358"/>
  <sheetViews>
    <sheetView showGridLines="0" topLeftCell="A4" zoomScale="77" zoomScaleNormal="77" workbookViewId="0">
      <selection activeCell="M6" sqref="M6"/>
    </sheetView>
  </sheetViews>
  <sheetFormatPr defaultColWidth="8.54296875" defaultRowHeight="14.5" x14ac:dyDescent="0.35"/>
  <cols>
    <col min="1" max="1" width="9" style="2" customWidth="1"/>
    <col min="2" max="3" width="12" style="14" customWidth="1"/>
    <col min="4" max="4" width="18.81640625" style="2" customWidth="1"/>
    <col min="5" max="5" width="20.453125" style="2" customWidth="1"/>
    <col min="6" max="6" width="14.26953125" style="2" customWidth="1"/>
    <col min="7" max="7" width="13.1796875" style="2" hidden="1" customWidth="1"/>
    <col min="8" max="8" width="11.1796875" style="2" customWidth="1"/>
    <col min="9" max="9" width="11.81640625" style="29" customWidth="1"/>
    <col min="10" max="10" width="11.453125" style="29" customWidth="1"/>
    <col min="11" max="11" width="15.54296875" style="2" customWidth="1"/>
    <col min="12" max="12" width="13.1796875" style="2" hidden="1" customWidth="1"/>
    <col min="13" max="13" width="36" style="1" customWidth="1"/>
    <col min="14" max="14" width="46.1796875" style="3" customWidth="1"/>
    <col min="15" max="15" width="14.453125" style="2" customWidth="1"/>
    <col min="16" max="16" width="76.54296875" style="109" customWidth="1"/>
    <col min="17" max="17" width="53.7265625" style="236" customWidth="1"/>
    <col min="18" max="18" width="16.26953125" style="159" customWidth="1"/>
    <col min="19" max="19" width="76.54296875" style="115" customWidth="1"/>
    <col min="20" max="16384" width="8.54296875" style="1"/>
  </cols>
  <sheetData>
    <row r="1" spans="1:19" ht="37.5" customHeight="1" x14ac:dyDescent="0.35">
      <c r="A1" s="555" t="s">
        <v>0</v>
      </c>
      <c r="B1" s="555"/>
      <c r="C1" s="555"/>
      <c r="D1" s="555"/>
      <c r="E1" s="555"/>
      <c r="F1" s="555"/>
      <c r="G1" s="555"/>
      <c r="H1" s="555"/>
      <c r="I1" s="555"/>
      <c r="J1" s="555"/>
      <c r="K1" s="555"/>
      <c r="L1" s="555"/>
      <c r="M1" s="555"/>
      <c r="N1" s="555"/>
      <c r="O1" s="555"/>
      <c r="P1" s="555"/>
      <c r="Q1" s="81"/>
      <c r="R1" s="81"/>
      <c r="S1" s="111"/>
    </row>
    <row r="2" spans="1:19" ht="19.5" customHeight="1" thickBot="1" x14ac:dyDescent="0.4">
      <c r="A2" s="550" t="s">
        <v>2</v>
      </c>
      <c r="B2" s="550"/>
      <c r="C2" s="550"/>
      <c r="D2" s="550"/>
      <c r="E2" s="550"/>
      <c r="F2" s="550"/>
      <c r="G2" s="550"/>
      <c r="H2" s="550"/>
      <c r="I2" s="550"/>
      <c r="J2" s="550"/>
      <c r="K2" s="550"/>
      <c r="L2" s="550"/>
      <c r="M2" s="550"/>
      <c r="N2" s="550"/>
      <c r="O2" s="550"/>
      <c r="P2" s="550"/>
      <c r="Q2" s="82"/>
      <c r="R2" s="82"/>
      <c r="S2" s="112"/>
    </row>
    <row r="3" spans="1:19" s="4" customFormat="1" ht="27.75" customHeight="1" thickTop="1" thickBot="1" x14ac:dyDescent="0.45">
      <c r="A3" s="516" t="s">
        <v>3</v>
      </c>
      <c r="B3" s="516"/>
      <c r="C3" s="516"/>
      <c r="D3" s="516"/>
      <c r="E3" s="516"/>
      <c r="F3" s="547" t="s">
        <v>4</v>
      </c>
      <c r="G3" s="548"/>
      <c r="H3" s="548"/>
      <c r="I3" s="548"/>
      <c r="J3" s="548"/>
      <c r="K3" s="548"/>
      <c r="L3" s="549"/>
      <c r="M3" s="516" t="s">
        <v>5</v>
      </c>
      <c r="N3" s="516"/>
      <c r="O3" s="547" t="s">
        <v>7</v>
      </c>
      <c r="P3" s="548"/>
      <c r="Q3" s="549"/>
      <c r="R3" s="553" t="s">
        <v>396</v>
      </c>
      <c r="S3" s="554"/>
    </row>
    <row r="4" spans="1:19" ht="71.5" customHeight="1" thickTop="1" thickBot="1" x14ac:dyDescent="0.4">
      <c r="A4" s="10" t="s">
        <v>9</v>
      </c>
      <c r="B4" s="10" t="s">
        <v>10</v>
      </c>
      <c r="C4" s="10" t="s">
        <v>11</v>
      </c>
      <c r="D4" s="10" t="s">
        <v>12</v>
      </c>
      <c r="E4" s="10" t="s">
        <v>13</v>
      </c>
      <c r="F4" s="10" t="s">
        <v>14</v>
      </c>
      <c r="G4" s="10" t="s">
        <v>228</v>
      </c>
      <c r="H4" s="10" t="s">
        <v>15</v>
      </c>
      <c r="I4" s="10" t="s">
        <v>16</v>
      </c>
      <c r="J4" s="10" t="s">
        <v>17</v>
      </c>
      <c r="K4" s="10" t="s">
        <v>18</v>
      </c>
      <c r="L4" s="10" t="s">
        <v>19</v>
      </c>
      <c r="M4" s="10" t="s">
        <v>20</v>
      </c>
      <c r="N4" s="10" t="s">
        <v>21</v>
      </c>
      <c r="O4" s="23" t="s">
        <v>470</v>
      </c>
      <c r="P4" s="18" t="s">
        <v>27</v>
      </c>
      <c r="Q4" s="18" t="s">
        <v>28</v>
      </c>
      <c r="R4" s="229" t="s">
        <v>29</v>
      </c>
      <c r="S4" s="85" t="s">
        <v>30</v>
      </c>
    </row>
    <row r="5" spans="1:19" s="5" customFormat="1" ht="154.5" customHeight="1" thickTop="1" x14ac:dyDescent="0.35">
      <c r="A5" s="6">
        <v>1</v>
      </c>
      <c r="B5" s="110" t="s">
        <v>361</v>
      </c>
      <c r="C5" s="144" t="s">
        <v>67</v>
      </c>
      <c r="D5" s="100" t="s">
        <v>471</v>
      </c>
      <c r="E5" s="103" t="s">
        <v>472</v>
      </c>
      <c r="F5" s="6" t="s">
        <v>49</v>
      </c>
      <c r="G5" s="6"/>
      <c r="H5" s="6" t="s">
        <v>71</v>
      </c>
      <c r="I5" s="24" t="s">
        <v>414</v>
      </c>
      <c r="J5" s="25"/>
      <c r="K5" s="6" t="s">
        <v>74</v>
      </c>
      <c r="L5" s="6"/>
      <c r="M5" s="7" t="s">
        <v>473</v>
      </c>
      <c r="N5" s="9" t="s">
        <v>474</v>
      </c>
      <c r="O5" s="6" t="s">
        <v>201</v>
      </c>
      <c r="P5" s="184" t="s">
        <v>475</v>
      </c>
      <c r="Q5" s="174"/>
      <c r="R5" s="179" t="s">
        <v>325</v>
      </c>
      <c r="S5" s="187"/>
    </row>
    <row r="6" spans="1:19" s="5" customFormat="1" ht="250.5" customHeight="1" x14ac:dyDescent="0.35">
      <c r="A6" s="8">
        <v>3</v>
      </c>
      <c r="B6" s="13" t="s">
        <v>361</v>
      </c>
      <c r="C6" s="144" t="s">
        <v>67</v>
      </c>
      <c r="D6" s="104" t="s">
        <v>476</v>
      </c>
      <c r="E6" s="103" t="s">
        <v>477</v>
      </c>
      <c r="F6" s="8" t="s">
        <v>478</v>
      </c>
      <c r="G6" s="8"/>
      <c r="H6" s="8" t="s">
        <v>71</v>
      </c>
      <c r="I6" s="26" t="s">
        <v>479</v>
      </c>
      <c r="J6" s="26"/>
      <c r="K6" s="8" t="s">
        <v>74</v>
      </c>
      <c r="L6" s="8"/>
      <c r="M6" s="9" t="s">
        <v>480</v>
      </c>
      <c r="N6" s="9" t="s">
        <v>481</v>
      </c>
      <c r="O6" s="8" t="s">
        <v>201</v>
      </c>
      <c r="P6" s="185" t="s">
        <v>482</v>
      </c>
      <c r="Q6" s="174"/>
      <c r="R6" s="174" t="s">
        <v>325</v>
      </c>
      <c r="S6" s="187" t="s">
        <v>483</v>
      </c>
    </row>
    <row r="7" spans="1:19" s="5" customFormat="1" ht="139" customHeight="1" x14ac:dyDescent="0.35">
      <c r="A7" s="8">
        <v>7</v>
      </c>
      <c r="B7" s="13" t="s">
        <v>361</v>
      </c>
      <c r="C7" s="144" t="s">
        <v>67</v>
      </c>
      <c r="D7" s="104" t="s">
        <v>476</v>
      </c>
      <c r="E7" s="103" t="s">
        <v>484</v>
      </c>
      <c r="F7" s="8" t="s">
        <v>478</v>
      </c>
      <c r="G7" s="8"/>
      <c r="H7" s="8" t="s">
        <v>88</v>
      </c>
      <c r="I7" s="26" t="s">
        <v>479</v>
      </c>
      <c r="J7" s="25"/>
      <c r="K7" s="8" t="s">
        <v>74</v>
      </c>
      <c r="L7" s="8"/>
      <c r="M7" s="9" t="s">
        <v>480</v>
      </c>
      <c r="N7" s="9" t="s">
        <v>481</v>
      </c>
      <c r="O7" s="8" t="s">
        <v>201</v>
      </c>
      <c r="P7" s="186" t="s">
        <v>485</v>
      </c>
      <c r="Q7" s="174"/>
      <c r="R7" s="174" t="s">
        <v>325</v>
      </c>
      <c r="S7" s="267" t="s">
        <v>486</v>
      </c>
    </row>
    <row r="8" spans="1:19" s="5" customFormat="1" ht="162" customHeight="1" x14ac:dyDescent="0.35">
      <c r="A8" s="8">
        <v>8</v>
      </c>
      <c r="B8" s="13" t="s">
        <v>361</v>
      </c>
      <c r="C8" s="144" t="s">
        <v>67</v>
      </c>
      <c r="D8" s="104" t="s">
        <v>476</v>
      </c>
      <c r="E8" s="103" t="s">
        <v>487</v>
      </c>
      <c r="F8" s="8" t="s">
        <v>478</v>
      </c>
      <c r="G8" s="8"/>
      <c r="H8" s="8" t="s">
        <v>88</v>
      </c>
      <c r="I8" s="26" t="s">
        <v>104</v>
      </c>
      <c r="J8" s="25"/>
      <c r="K8" s="8" t="s">
        <v>74</v>
      </c>
      <c r="L8" s="8"/>
      <c r="M8" s="9" t="s">
        <v>480</v>
      </c>
      <c r="N8" s="9" t="s">
        <v>481</v>
      </c>
      <c r="O8" s="8" t="s">
        <v>201</v>
      </c>
      <c r="P8" s="186" t="s">
        <v>488</v>
      </c>
      <c r="Q8" s="174"/>
      <c r="R8" s="174" t="s">
        <v>325</v>
      </c>
      <c r="S8" s="187" t="s">
        <v>489</v>
      </c>
    </row>
    <row r="9" spans="1:19" s="5" customFormat="1" ht="129.65" customHeight="1" x14ac:dyDescent="0.35">
      <c r="A9" s="8"/>
      <c r="B9" s="13"/>
      <c r="C9" s="144"/>
      <c r="D9" s="102"/>
      <c r="E9" s="8"/>
      <c r="F9" s="8"/>
      <c r="G9" s="8"/>
      <c r="H9" s="8"/>
      <c r="I9" s="26"/>
      <c r="J9" s="26"/>
      <c r="K9" s="8"/>
      <c r="L9" s="8"/>
      <c r="M9" s="9"/>
      <c r="N9" s="9"/>
      <c r="O9" s="8"/>
      <c r="P9" s="180"/>
      <c r="Q9" s="174"/>
      <c r="R9" s="174"/>
      <c r="S9" s="182"/>
    </row>
    <row r="10" spans="1:19" s="5" customFormat="1" ht="120.65" customHeight="1" x14ac:dyDescent="0.35">
      <c r="A10" s="8"/>
      <c r="B10" s="13"/>
      <c r="C10" s="144"/>
      <c r="D10" s="8"/>
      <c r="E10" s="8"/>
      <c r="F10" s="8"/>
      <c r="G10" s="8"/>
      <c r="H10" s="8"/>
      <c r="I10" s="26"/>
      <c r="J10" s="26"/>
      <c r="K10" s="8"/>
      <c r="L10" s="8"/>
      <c r="M10" s="9"/>
      <c r="N10" s="9"/>
      <c r="O10" s="8"/>
      <c r="P10" s="180"/>
      <c r="Q10" s="174"/>
      <c r="R10" s="174"/>
      <c r="S10" s="182"/>
    </row>
    <row r="11" spans="1:19" s="5" customFormat="1" ht="115.5" customHeight="1" x14ac:dyDescent="0.35">
      <c r="A11" s="8"/>
      <c r="B11" s="13"/>
      <c r="C11" s="144"/>
      <c r="D11" s="8"/>
      <c r="E11" s="8"/>
      <c r="F11" s="8"/>
      <c r="G11" s="8"/>
      <c r="H11" s="8"/>
      <c r="I11" s="26"/>
      <c r="J11" s="26"/>
      <c r="K11" s="8"/>
      <c r="L11" s="8"/>
      <c r="M11" s="9"/>
      <c r="N11" s="9"/>
      <c r="O11" s="8"/>
      <c r="P11" s="180"/>
      <c r="Q11" s="265"/>
      <c r="R11" s="174"/>
      <c r="S11" s="182"/>
    </row>
    <row r="12" spans="1:19" s="3" customFormat="1" ht="79.5" customHeight="1" x14ac:dyDescent="0.35">
      <c r="A12" s="8"/>
      <c r="B12" s="12"/>
      <c r="C12" s="144"/>
      <c r="D12" s="8"/>
      <c r="E12" s="8"/>
      <c r="F12" s="8"/>
      <c r="G12" s="8"/>
      <c r="H12" s="8"/>
      <c r="I12" s="26"/>
      <c r="J12" s="26"/>
      <c r="K12" s="8"/>
      <c r="L12" s="8"/>
      <c r="M12" s="9"/>
      <c r="N12" s="9"/>
      <c r="O12" s="8"/>
      <c r="P12" s="180"/>
      <c r="Q12" s="265"/>
      <c r="R12" s="174"/>
      <c r="S12" s="182"/>
    </row>
    <row r="13" spans="1:19" s="3" customFormat="1" ht="223.5" customHeight="1" x14ac:dyDescent="0.35">
      <c r="A13" s="8"/>
      <c r="B13" s="13"/>
      <c r="C13" s="144"/>
      <c r="D13" s="8"/>
      <c r="E13" s="8"/>
      <c r="F13" s="8"/>
      <c r="G13" s="8"/>
      <c r="H13" s="8"/>
      <c r="I13" s="26"/>
      <c r="J13" s="26"/>
      <c r="K13" s="8"/>
      <c r="L13" s="8"/>
      <c r="M13" s="9"/>
      <c r="N13" s="9"/>
      <c r="O13" s="8"/>
      <c r="P13" s="180"/>
      <c r="Q13" s="174"/>
      <c r="R13" s="174"/>
      <c r="S13" s="182"/>
    </row>
    <row r="14" spans="1:19" s="3" customFormat="1" ht="79.5" customHeight="1" x14ac:dyDescent="0.35">
      <c r="A14" s="8"/>
      <c r="B14" s="12"/>
      <c r="C14" s="144"/>
      <c r="D14" s="8"/>
      <c r="E14" s="8"/>
      <c r="F14" s="8"/>
      <c r="G14" s="8"/>
      <c r="H14" s="8"/>
      <c r="I14" s="26"/>
      <c r="J14" s="27"/>
      <c r="K14" s="8"/>
      <c r="L14" s="8"/>
      <c r="M14" s="9"/>
      <c r="N14" s="9"/>
      <c r="O14" s="8"/>
      <c r="P14" s="180"/>
      <c r="Q14" s="174"/>
      <c r="R14" s="174"/>
      <c r="S14" s="182"/>
    </row>
    <row r="15" spans="1:19" s="3" customFormat="1" ht="79.5" customHeight="1" x14ac:dyDescent="0.35">
      <c r="A15" s="8"/>
      <c r="B15" s="12"/>
      <c r="C15" s="144"/>
      <c r="D15" s="8"/>
      <c r="E15" s="8"/>
      <c r="F15" s="8"/>
      <c r="G15" s="8"/>
      <c r="H15" s="8"/>
      <c r="I15" s="26"/>
      <c r="J15" s="26"/>
      <c r="K15" s="8"/>
      <c r="L15" s="8"/>
      <c r="M15" s="9"/>
      <c r="N15" s="9"/>
      <c r="O15" s="8"/>
      <c r="P15" s="180"/>
      <c r="Q15" s="174"/>
      <c r="R15" s="174"/>
      <c r="S15" s="182"/>
    </row>
    <row r="16" spans="1:19" s="3" customFormat="1" ht="79.5" customHeight="1" x14ac:dyDescent="0.35">
      <c r="A16" s="8"/>
      <c r="B16" s="12"/>
      <c r="C16" s="144"/>
      <c r="D16" s="8"/>
      <c r="E16" s="8"/>
      <c r="F16" s="8"/>
      <c r="G16" s="8"/>
      <c r="H16" s="8"/>
      <c r="I16" s="26"/>
      <c r="J16" s="26"/>
      <c r="K16" s="8"/>
      <c r="L16" s="8"/>
      <c r="M16" s="9"/>
      <c r="N16" s="9"/>
      <c r="O16" s="8"/>
      <c r="P16" s="180"/>
      <c r="Q16" s="174"/>
      <c r="R16" s="174"/>
      <c r="S16" s="182"/>
    </row>
    <row r="17" spans="1:19" s="3" customFormat="1" ht="79.5" customHeight="1" x14ac:dyDescent="0.35">
      <c r="A17" s="8"/>
      <c r="B17" s="12"/>
      <c r="C17" s="144"/>
      <c r="D17" s="8"/>
      <c r="E17" s="8"/>
      <c r="F17" s="8"/>
      <c r="G17" s="8"/>
      <c r="H17" s="8"/>
      <c r="I17" s="26"/>
      <c r="J17" s="26"/>
      <c r="K17" s="8"/>
      <c r="L17" s="8"/>
      <c r="M17" s="9"/>
      <c r="N17" s="9"/>
      <c r="O17" s="8"/>
      <c r="P17" s="180"/>
      <c r="Q17" s="174"/>
      <c r="R17" s="174"/>
      <c r="S17" s="182"/>
    </row>
    <row r="18" spans="1:19" s="3" customFormat="1" ht="79.5" customHeight="1" x14ac:dyDescent="0.35">
      <c r="A18" s="8"/>
      <c r="B18" s="12"/>
      <c r="C18" s="144"/>
      <c r="D18" s="8"/>
      <c r="E18" s="8"/>
      <c r="F18" s="8"/>
      <c r="G18" s="8"/>
      <c r="H18" s="8"/>
      <c r="I18" s="26"/>
      <c r="J18" s="26"/>
      <c r="K18" s="8"/>
      <c r="L18" s="8"/>
      <c r="M18" s="9"/>
      <c r="N18" s="9"/>
      <c r="O18" s="8"/>
      <c r="P18" s="180"/>
      <c r="Q18" s="174"/>
      <c r="R18" s="174"/>
      <c r="S18" s="182"/>
    </row>
    <row r="19" spans="1:19" s="3" customFormat="1" ht="79.5" customHeight="1" x14ac:dyDescent="0.35">
      <c r="A19" s="8"/>
      <c r="B19" s="12"/>
      <c r="C19" s="144"/>
      <c r="D19" s="8"/>
      <c r="E19" s="8"/>
      <c r="F19" s="8"/>
      <c r="G19" s="8"/>
      <c r="H19" s="8"/>
      <c r="I19" s="26"/>
      <c r="J19" s="26"/>
      <c r="K19" s="8"/>
      <c r="L19" s="8"/>
      <c r="M19" s="9"/>
      <c r="N19" s="9"/>
      <c r="O19" s="8"/>
      <c r="P19" s="180"/>
      <c r="Q19" s="174"/>
      <c r="R19" s="174"/>
      <c r="S19" s="182"/>
    </row>
    <row r="20" spans="1:19" s="3" customFormat="1" ht="79.5" customHeight="1" x14ac:dyDescent="0.35">
      <c r="A20" s="8"/>
      <c r="B20" s="12"/>
      <c r="C20" s="144"/>
      <c r="D20" s="8"/>
      <c r="E20" s="8"/>
      <c r="F20" s="8"/>
      <c r="G20" s="8"/>
      <c r="H20" s="8"/>
      <c r="I20" s="26"/>
      <c r="J20" s="26"/>
      <c r="K20" s="8"/>
      <c r="L20" s="8"/>
      <c r="M20" s="9"/>
      <c r="N20" s="9"/>
      <c r="O20" s="8"/>
      <c r="P20" s="180"/>
      <c r="Q20" s="174"/>
      <c r="R20" s="174"/>
      <c r="S20" s="182"/>
    </row>
    <row r="21" spans="1:19" ht="79.5" customHeight="1" x14ac:dyDescent="0.4">
      <c r="A21" s="19"/>
      <c r="B21" s="20"/>
      <c r="C21" s="144"/>
      <c r="D21" s="19"/>
      <c r="E21" s="19"/>
      <c r="F21" s="19"/>
      <c r="G21" s="19"/>
      <c r="H21" s="19"/>
      <c r="I21" s="28"/>
      <c r="J21" s="28"/>
      <c r="K21" s="19"/>
      <c r="L21" s="19"/>
      <c r="M21" s="21"/>
      <c r="N21" s="9"/>
      <c r="O21" s="19"/>
      <c r="P21" s="181"/>
      <c r="Q21" s="174"/>
      <c r="R21" s="174"/>
      <c r="S21" s="182"/>
    </row>
    <row r="22" spans="1:19" ht="16" x14ac:dyDescent="0.35">
      <c r="Q22" s="174"/>
    </row>
    <row r="23" spans="1:19" ht="16" x14ac:dyDescent="0.35">
      <c r="Q23" s="174"/>
    </row>
    <row r="24" spans="1:19" ht="16" x14ac:dyDescent="0.35">
      <c r="Q24" s="174"/>
    </row>
    <row r="25" spans="1:19" ht="16" x14ac:dyDescent="0.35">
      <c r="Q25" s="174"/>
    </row>
    <row r="26" spans="1:19" ht="16" x14ac:dyDescent="0.35">
      <c r="Q26" s="174"/>
    </row>
    <row r="27" spans="1:19" x14ac:dyDescent="0.35">
      <c r="Q27" s="235"/>
    </row>
    <row r="28" spans="1:19" x14ac:dyDescent="0.35">
      <c r="Q28" s="235"/>
    </row>
    <row r="29" spans="1:19" x14ac:dyDescent="0.35">
      <c r="Q29" s="235"/>
    </row>
    <row r="30" spans="1:19" x14ac:dyDescent="0.35">
      <c r="Q30" s="235"/>
    </row>
    <row r="31" spans="1:19" x14ac:dyDescent="0.35">
      <c r="Q31" s="235"/>
    </row>
    <row r="32" spans="1:19" x14ac:dyDescent="0.35">
      <c r="Q32" s="235"/>
    </row>
    <row r="33" spans="17:17" x14ac:dyDescent="0.35">
      <c r="Q33" s="235"/>
    </row>
    <row r="34" spans="17:17" x14ac:dyDescent="0.35">
      <c r="Q34" s="235"/>
    </row>
    <row r="35" spans="17:17" x14ac:dyDescent="0.35">
      <c r="Q35" s="235"/>
    </row>
    <row r="36" spans="17:17" x14ac:dyDescent="0.35">
      <c r="Q36" s="235"/>
    </row>
    <row r="37" spans="17:17" x14ac:dyDescent="0.35">
      <c r="Q37" s="235"/>
    </row>
    <row r="38" spans="17:17" x14ac:dyDescent="0.35">
      <c r="Q38" s="235"/>
    </row>
    <row r="39" spans="17:17" x14ac:dyDescent="0.35">
      <c r="Q39" s="235"/>
    </row>
    <row r="40" spans="17:17" x14ac:dyDescent="0.35">
      <c r="Q40" s="235"/>
    </row>
    <row r="41" spans="17:17" x14ac:dyDescent="0.35">
      <c r="Q41" s="235"/>
    </row>
    <row r="42" spans="17:17" x14ac:dyDescent="0.35">
      <c r="Q42" s="235"/>
    </row>
    <row r="43" spans="17:17" x14ac:dyDescent="0.35">
      <c r="Q43" s="235"/>
    </row>
    <row r="44" spans="17:17" x14ac:dyDescent="0.35">
      <c r="Q44" s="235"/>
    </row>
    <row r="45" spans="17:17" x14ac:dyDescent="0.35">
      <c r="Q45" s="235"/>
    </row>
    <row r="46" spans="17:17" x14ac:dyDescent="0.35">
      <c r="Q46" s="235"/>
    </row>
    <row r="47" spans="17:17" x14ac:dyDescent="0.35">
      <c r="Q47" s="235"/>
    </row>
    <row r="48" spans="17:17" x14ac:dyDescent="0.35">
      <c r="Q48" s="235"/>
    </row>
    <row r="49" spans="17:17" x14ac:dyDescent="0.35">
      <c r="Q49" s="235"/>
    </row>
    <row r="50" spans="17:17" x14ac:dyDescent="0.35">
      <c r="Q50" s="235"/>
    </row>
    <row r="51" spans="17:17" x14ac:dyDescent="0.35">
      <c r="Q51" s="235"/>
    </row>
    <row r="52" spans="17:17" x14ac:dyDescent="0.35">
      <c r="Q52" s="235"/>
    </row>
    <row r="53" spans="17:17" x14ac:dyDescent="0.35">
      <c r="Q53" s="235"/>
    </row>
    <row r="54" spans="17:17" x14ac:dyDescent="0.35">
      <c r="Q54" s="235"/>
    </row>
    <row r="55" spans="17:17" x14ac:dyDescent="0.35">
      <c r="Q55" s="235"/>
    </row>
    <row r="56" spans="17:17" x14ac:dyDescent="0.35">
      <c r="Q56" s="235"/>
    </row>
    <row r="57" spans="17:17" x14ac:dyDescent="0.35">
      <c r="Q57" s="235"/>
    </row>
    <row r="58" spans="17:17" x14ac:dyDescent="0.35">
      <c r="Q58" s="235"/>
    </row>
    <row r="59" spans="17:17" x14ac:dyDescent="0.35">
      <c r="Q59" s="235"/>
    </row>
    <row r="60" spans="17:17" x14ac:dyDescent="0.35">
      <c r="Q60" s="235"/>
    </row>
    <row r="61" spans="17:17" x14ac:dyDescent="0.35">
      <c r="Q61" s="235"/>
    </row>
    <row r="62" spans="17:17" x14ac:dyDescent="0.35">
      <c r="Q62" s="235"/>
    </row>
    <row r="63" spans="17:17" x14ac:dyDescent="0.35">
      <c r="Q63" s="235"/>
    </row>
    <row r="64" spans="17:17" x14ac:dyDescent="0.35">
      <c r="Q64" s="235"/>
    </row>
    <row r="65" spans="17:17" x14ac:dyDescent="0.35">
      <c r="Q65" s="235"/>
    </row>
    <row r="66" spans="17:17" x14ac:dyDescent="0.35">
      <c r="Q66" s="235"/>
    </row>
    <row r="67" spans="17:17" x14ac:dyDescent="0.35">
      <c r="Q67" s="235"/>
    </row>
    <row r="68" spans="17:17" x14ac:dyDescent="0.35">
      <c r="Q68" s="235"/>
    </row>
    <row r="69" spans="17:17" x14ac:dyDescent="0.35">
      <c r="Q69" s="235"/>
    </row>
    <row r="70" spans="17:17" x14ac:dyDescent="0.35">
      <c r="Q70" s="235"/>
    </row>
    <row r="71" spans="17:17" x14ac:dyDescent="0.35">
      <c r="Q71" s="235"/>
    </row>
    <row r="72" spans="17:17" x14ac:dyDescent="0.35">
      <c r="Q72" s="235"/>
    </row>
    <row r="73" spans="17:17" x14ac:dyDescent="0.35">
      <c r="Q73" s="235"/>
    </row>
    <row r="74" spans="17:17" x14ac:dyDescent="0.35">
      <c r="Q74" s="235"/>
    </row>
    <row r="75" spans="17:17" x14ac:dyDescent="0.35">
      <c r="Q75" s="235"/>
    </row>
    <row r="76" spans="17:17" x14ac:dyDescent="0.35">
      <c r="Q76" s="235"/>
    </row>
    <row r="77" spans="17:17" x14ac:dyDescent="0.35">
      <c r="Q77" s="235"/>
    </row>
    <row r="78" spans="17:17" x14ac:dyDescent="0.35">
      <c r="Q78" s="235"/>
    </row>
    <row r="79" spans="17:17" x14ac:dyDescent="0.35">
      <c r="Q79" s="235"/>
    </row>
    <row r="80" spans="17:17" x14ac:dyDescent="0.35">
      <c r="Q80" s="235"/>
    </row>
    <row r="81" spans="17:17" x14ac:dyDescent="0.35">
      <c r="Q81" s="235"/>
    </row>
    <row r="82" spans="17:17" x14ac:dyDescent="0.35">
      <c r="Q82" s="235"/>
    </row>
    <row r="83" spans="17:17" x14ac:dyDescent="0.35">
      <c r="Q83" s="235"/>
    </row>
    <row r="84" spans="17:17" x14ac:dyDescent="0.35">
      <c r="Q84" s="235"/>
    </row>
    <row r="85" spans="17:17" x14ac:dyDescent="0.35">
      <c r="Q85" s="235"/>
    </row>
    <row r="86" spans="17:17" x14ac:dyDescent="0.35">
      <c r="Q86" s="235"/>
    </row>
    <row r="87" spans="17:17" x14ac:dyDescent="0.35">
      <c r="Q87" s="235"/>
    </row>
    <row r="88" spans="17:17" x14ac:dyDescent="0.35">
      <c r="Q88" s="235"/>
    </row>
    <row r="89" spans="17:17" x14ac:dyDescent="0.35">
      <c r="Q89" s="235"/>
    </row>
    <row r="90" spans="17:17" x14ac:dyDescent="0.35">
      <c r="Q90" s="235"/>
    </row>
    <row r="91" spans="17:17" x14ac:dyDescent="0.35">
      <c r="Q91" s="235"/>
    </row>
    <row r="92" spans="17:17" x14ac:dyDescent="0.35">
      <c r="Q92" s="235"/>
    </row>
    <row r="93" spans="17:17" x14ac:dyDescent="0.35">
      <c r="Q93" s="235"/>
    </row>
    <row r="94" spans="17:17" x14ac:dyDescent="0.35">
      <c r="Q94" s="235"/>
    </row>
    <row r="95" spans="17:17" x14ac:dyDescent="0.35">
      <c r="Q95" s="235"/>
    </row>
    <row r="96" spans="17:17" x14ac:dyDescent="0.35">
      <c r="Q96" s="235"/>
    </row>
    <row r="97" spans="17:17" x14ac:dyDescent="0.35">
      <c r="Q97" s="235"/>
    </row>
    <row r="98" spans="17:17" x14ac:dyDescent="0.35">
      <c r="Q98" s="235"/>
    </row>
    <row r="99" spans="17:17" x14ac:dyDescent="0.35">
      <c r="Q99" s="235"/>
    </row>
    <row r="100" spans="17:17" x14ac:dyDescent="0.35">
      <c r="Q100" s="235"/>
    </row>
    <row r="101" spans="17:17" x14ac:dyDescent="0.35">
      <c r="Q101" s="235"/>
    </row>
    <row r="102" spans="17:17" x14ac:dyDescent="0.35">
      <c r="Q102" s="235"/>
    </row>
    <row r="103" spans="17:17" x14ac:dyDescent="0.35">
      <c r="Q103" s="235"/>
    </row>
    <row r="104" spans="17:17" x14ac:dyDescent="0.35">
      <c r="Q104" s="235"/>
    </row>
    <row r="105" spans="17:17" x14ac:dyDescent="0.35">
      <c r="Q105" s="235"/>
    </row>
    <row r="106" spans="17:17" x14ac:dyDescent="0.35">
      <c r="Q106" s="235"/>
    </row>
    <row r="107" spans="17:17" x14ac:dyDescent="0.35">
      <c r="Q107" s="235"/>
    </row>
    <row r="108" spans="17:17" x14ac:dyDescent="0.35">
      <c r="Q108" s="235"/>
    </row>
    <row r="109" spans="17:17" x14ac:dyDescent="0.35">
      <c r="Q109" s="235"/>
    </row>
    <row r="110" spans="17:17" x14ac:dyDescent="0.35">
      <c r="Q110" s="235"/>
    </row>
    <row r="111" spans="17:17" x14ac:dyDescent="0.35">
      <c r="Q111" s="235"/>
    </row>
    <row r="112" spans="17:17" x14ac:dyDescent="0.35">
      <c r="Q112" s="235"/>
    </row>
    <row r="113" spans="17:17" x14ac:dyDescent="0.35">
      <c r="Q113" s="235"/>
    </row>
    <row r="114" spans="17:17" x14ac:dyDescent="0.35">
      <c r="Q114" s="235"/>
    </row>
    <row r="115" spans="17:17" x14ac:dyDescent="0.35">
      <c r="Q115" s="235"/>
    </row>
    <row r="116" spans="17:17" x14ac:dyDescent="0.35">
      <c r="Q116" s="235"/>
    </row>
    <row r="117" spans="17:17" x14ac:dyDescent="0.35">
      <c r="Q117" s="235"/>
    </row>
    <row r="118" spans="17:17" x14ac:dyDescent="0.35">
      <c r="Q118" s="235"/>
    </row>
    <row r="119" spans="17:17" x14ac:dyDescent="0.35">
      <c r="Q119" s="235"/>
    </row>
    <row r="120" spans="17:17" x14ac:dyDescent="0.35">
      <c r="Q120" s="235"/>
    </row>
    <row r="121" spans="17:17" x14ac:dyDescent="0.35">
      <c r="Q121" s="235"/>
    </row>
    <row r="122" spans="17:17" x14ac:dyDescent="0.35">
      <c r="Q122" s="235"/>
    </row>
    <row r="123" spans="17:17" x14ac:dyDescent="0.35">
      <c r="Q123" s="235"/>
    </row>
    <row r="124" spans="17:17" x14ac:dyDescent="0.35">
      <c r="Q124" s="235"/>
    </row>
    <row r="125" spans="17:17" x14ac:dyDescent="0.35">
      <c r="Q125" s="235"/>
    </row>
    <row r="126" spans="17:17" x14ac:dyDescent="0.35">
      <c r="Q126" s="235"/>
    </row>
    <row r="127" spans="17:17" x14ac:dyDescent="0.35">
      <c r="Q127" s="235"/>
    </row>
    <row r="128" spans="17:17" x14ac:dyDescent="0.35">
      <c r="Q128" s="235"/>
    </row>
    <row r="129" spans="17:17" x14ac:dyDescent="0.35">
      <c r="Q129" s="235"/>
    </row>
    <row r="130" spans="17:17" x14ac:dyDescent="0.35">
      <c r="Q130" s="235"/>
    </row>
    <row r="131" spans="17:17" x14ac:dyDescent="0.35">
      <c r="Q131" s="235"/>
    </row>
    <row r="132" spans="17:17" x14ac:dyDescent="0.35">
      <c r="Q132" s="235"/>
    </row>
    <row r="133" spans="17:17" x14ac:dyDescent="0.35">
      <c r="Q133" s="235"/>
    </row>
    <row r="134" spans="17:17" x14ac:dyDescent="0.35">
      <c r="Q134" s="235"/>
    </row>
    <row r="135" spans="17:17" x14ac:dyDescent="0.35">
      <c r="Q135" s="235"/>
    </row>
    <row r="136" spans="17:17" x14ac:dyDescent="0.35">
      <c r="Q136" s="235"/>
    </row>
    <row r="137" spans="17:17" x14ac:dyDescent="0.35">
      <c r="Q137" s="235"/>
    </row>
    <row r="138" spans="17:17" x14ac:dyDescent="0.35">
      <c r="Q138" s="235"/>
    </row>
    <row r="139" spans="17:17" x14ac:dyDescent="0.35">
      <c r="Q139" s="235"/>
    </row>
    <row r="140" spans="17:17" x14ac:dyDescent="0.35">
      <c r="Q140" s="235"/>
    </row>
    <row r="141" spans="17:17" x14ac:dyDescent="0.35">
      <c r="Q141" s="235"/>
    </row>
    <row r="142" spans="17:17" x14ac:dyDescent="0.35">
      <c r="Q142" s="235"/>
    </row>
    <row r="143" spans="17:17" x14ac:dyDescent="0.35">
      <c r="Q143" s="235"/>
    </row>
    <row r="144" spans="17:17" x14ac:dyDescent="0.35">
      <c r="Q144" s="235"/>
    </row>
    <row r="145" spans="17:17" x14ac:dyDescent="0.35">
      <c r="Q145" s="235"/>
    </row>
    <row r="146" spans="17:17" x14ac:dyDescent="0.35">
      <c r="Q146" s="235"/>
    </row>
    <row r="147" spans="17:17" x14ac:dyDescent="0.35">
      <c r="Q147" s="235"/>
    </row>
    <row r="148" spans="17:17" x14ac:dyDescent="0.35">
      <c r="Q148" s="235"/>
    </row>
    <row r="149" spans="17:17" x14ac:dyDescent="0.35">
      <c r="Q149" s="235"/>
    </row>
    <row r="150" spans="17:17" x14ac:dyDescent="0.35">
      <c r="Q150" s="235"/>
    </row>
    <row r="151" spans="17:17" x14ac:dyDescent="0.35">
      <c r="Q151" s="235"/>
    </row>
    <row r="152" spans="17:17" x14ac:dyDescent="0.35">
      <c r="Q152" s="235"/>
    </row>
    <row r="153" spans="17:17" x14ac:dyDescent="0.35">
      <c r="Q153" s="235"/>
    </row>
    <row r="154" spans="17:17" x14ac:dyDescent="0.35">
      <c r="Q154" s="235"/>
    </row>
    <row r="155" spans="17:17" x14ac:dyDescent="0.35">
      <c r="Q155" s="235"/>
    </row>
    <row r="156" spans="17:17" x14ac:dyDescent="0.35">
      <c r="Q156" s="235"/>
    </row>
    <row r="157" spans="17:17" x14ac:dyDescent="0.35">
      <c r="Q157" s="235"/>
    </row>
    <row r="158" spans="17:17" x14ac:dyDescent="0.35">
      <c r="Q158" s="235"/>
    </row>
    <row r="159" spans="17:17" x14ac:dyDescent="0.35">
      <c r="Q159" s="235"/>
    </row>
    <row r="160" spans="17:17" x14ac:dyDescent="0.35">
      <c r="Q160" s="235"/>
    </row>
    <row r="161" spans="17:17" x14ac:dyDescent="0.35">
      <c r="Q161" s="235"/>
    </row>
    <row r="162" spans="17:17" x14ac:dyDescent="0.35">
      <c r="Q162" s="235"/>
    </row>
    <row r="163" spans="17:17" x14ac:dyDescent="0.35">
      <c r="Q163" s="235"/>
    </row>
    <row r="164" spans="17:17" x14ac:dyDescent="0.35">
      <c r="Q164" s="235"/>
    </row>
    <row r="165" spans="17:17" x14ac:dyDescent="0.35">
      <c r="Q165" s="235"/>
    </row>
    <row r="166" spans="17:17" x14ac:dyDescent="0.35">
      <c r="Q166" s="235"/>
    </row>
    <row r="167" spans="17:17" x14ac:dyDescent="0.35">
      <c r="Q167" s="235"/>
    </row>
    <row r="168" spans="17:17" x14ac:dyDescent="0.35">
      <c r="Q168" s="235"/>
    </row>
    <row r="169" spans="17:17" x14ac:dyDescent="0.35">
      <c r="Q169" s="235"/>
    </row>
    <row r="170" spans="17:17" x14ac:dyDescent="0.35">
      <c r="Q170" s="235"/>
    </row>
    <row r="171" spans="17:17" x14ac:dyDescent="0.35">
      <c r="Q171" s="235"/>
    </row>
    <row r="172" spans="17:17" x14ac:dyDescent="0.35">
      <c r="Q172" s="235"/>
    </row>
    <row r="173" spans="17:17" x14ac:dyDescent="0.35">
      <c r="Q173" s="235"/>
    </row>
    <row r="174" spans="17:17" x14ac:dyDescent="0.35">
      <c r="Q174" s="235"/>
    </row>
    <row r="175" spans="17:17" x14ac:dyDescent="0.35">
      <c r="Q175" s="235"/>
    </row>
    <row r="176" spans="17:17" x14ac:dyDescent="0.35">
      <c r="Q176" s="235"/>
    </row>
    <row r="177" spans="17:17" x14ac:dyDescent="0.35">
      <c r="Q177" s="235"/>
    </row>
    <row r="178" spans="17:17" x14ac:dyDescent="0.35">
      <c r="Q178" s="235"/>
    </row>
    <row r="179" spans="17:17" x14ac:dyDescent="0.35">
      <c r="Q179" s="235"/>
    </row>
    <row r="180" spans="17:17" x14ac:dyDescent="0.35">
      <c r="Q180" s="235"/>
    </row>
    <row r="181" spans="17:17" x14ac:dyDescent="0.35">
      <c r="Q181" s="235"/>
    </row>
    <row r="182" spans="17:17" x14ac:dyDescent="0.35">
      <c r="Q182" s="235"/>
    </row>
    <row r="183" spans="17:17" x14ac:dyDescent="0.35">
      <c r="Q183" s="235"/>
    </row>
    <row r="184" spans="17:17" x14ac:dyDescent="0.35">
      <c r="Q184" s="235"/>
    </row>
    <row r="185" spans="17:17" x14ac:dyDescent="0.35">
      <c r="Q185" s="235"/>
    </row>
    <row r="186" spans="17:17" x14ac:dyDescent="0.35">
      <c r="Q186" s="235"/>
    </row>
    <row r="187" spans="17:17" x14ac:dyDescent="0.35">
      <c r="Q187" s="235"/>
    </row>
    <row r="188" spans="17:17" x14ac:dyDescent="0.35">
      <c r="Q188" s="235"/>
    </row>
    <row r="189" spans="17:17" x14ac:dyDescent="0.35">
      <c r="Q189" s="235"/>
    </row>
    <row r="190" spans="17:17" x14ac:dyDescent="0.35">
      <c r="Q190" s="235"/>
    </row>
    <row r="191" spans="17:17" x14ac:dyDescent="0.35">
      <c r="Q191" s="235"/>
    </row>
    <row r="192" spans="17:17" x14ac:dyDescent="0.35">
      <c r="Q192" s="235"/>
    </row>
    <row r="193" spans="17:17" x14ac:dyDescent="0.35">
      <c r="Q193" s="235"/>
    </row>
    <row r="194" spans="17:17" x14ac:dyDescent="0.35">
      <c r="Q194" s="235"/>
    </row>
    <row r="195" spans="17:17" x14ac:dyDescent="0.35">
      <c r="Q195" s="235"/>
    </row>
    <row r="196" spans="17:17" x14ac:dyDescent="0.35">
      <c r="Q196" s="235"/>
    </row>
    <row r="197" spans="17:17" x14ac:dyDescent="0.35">
      <c r="Q197" s="235"/>
    </row>
    <row r="198" spans="17:17" x14ac:dyDescent="0.35">
      <c r="Q198" s="235"/>
    </row>
    <row r="199" spans="17:17" x14ac:dyDescent="0.35">
      <c r="Q199" s="235"/>
    </row>
    <row r="200" spans="17:17" x14ac:dyDescent="0.35">
      <c r="Q200" s="235"/>
    </row>
    <row r="201" spans="17:17" x14ac:dyDescent="0.35">
      <c r="Q201" s="235"/>
    </row>
    <row r="202" spans="17:17" x14ac:dyDescent="0.35">
      <c r="Q202" s="235"/>
    </row>
    <row r="203" spans="17:17" x14ac:dyDescent="0.35">
      <c r="Q203" s="235"/>
    </row>
    <row r="204" spans="17:17" x14ac:dyDescent="0.35">
      <c r="Q204" s="235"/>
    </row>
    <row r="205" spans="17:17" x14ac:dyDescent="0.35">
      <c r="Q205" s="235"/>
    </row>
    <row r="206" spans="17:17" x14ac:dyDescent="0.35">
      <c r="Q206" s="235"/>
    </row>
    <row r="207" spans="17:17" x14ac:dyDescent="0.35">
      <c r="Q207" s="235"/>
    </row>
    <row r="208" spans="17:17" x14ac:dyDescent="0.35">
      <c r="Q208" s="235"/>
    </row>
    <row r="209" spans="17:17" x14ac:dyDescent="0.35">
      <c r="Q209" s="235"/>
    </row>
    <row r="210" spans="17:17" x14ac:dyDescent="0.35">
      <c r="Q210" s="235"/>
    </row>
    <row r="211" spans="17:17" x14ac:dyDescent="0.35">
      <c r="Q211" s="235"/>
    </row>
    <row r="212" spans="17:17" x14ac:dyDescent="0.35">
      <c r="Q212" s="235"/>
    </row>
    <row r="213" spans="17:17" x14ac:dyDescent="0.35">
      <c r="Q213" s="235"/>
    </row>
    <row r="214" spans="17:17" x14ac:dyDescent="0.35">
      <c r="Q214" s="235"/>
    </row>
    <row r="215" spans="17:17" x14ac:dyDescent="0.35">
      <c r="Q215" s="235"/>
    </row>
    <row r="216" spans="17:17" x14ac:dyDescent="0.35">
      <c r="Q216" s="235"/>
    </row>
    <row r="217" spans="17:17" x14ac:dyDescent="0.35">
      <c r="Q217" s="235"/>
    </row>
    <row r="218" spans="17:17" x14ac:dyDescent="0.35">
      <c r="Q218" s="235"/>
    </row>
    <row r="219" spans="17:17" x14ac:dyDescent="0.35">
      <c r="Q219" s="235"/>
    </row>
    <row r="220" spans="17:17" x14ac:dyDescent="0.35">
      <c r="Q220" s="235"/>
    </row>
    <row r="221" spans="17:17" x14ac:dyDescent="0.35">
      <c r="Q221" s="235"/>
    </row>
    <row r="222" spans="17:17" x14ac:dyDescent="0.35">
      <c r="Q222" s="235"/>
    </row>
    <row r="223" spans="17:17" x14ac:dyDescent="0.35">
      <c r="Q223" s="235"/>
    </row>
    <row r="224" spans="17:17" x14ac:dyDescent="0.35">
      <c r="Q224" s="235"/>
    </row>
    <row r="225" spans="17:17" x14ac:dyDescent="0.35">
      <c r="Q225" s="235"/>
    </row>
    <row r="226" spans="17:17" x14ac:dyDescent="0.35">
      <c r="Q226" s="235"/>
    </row>
    <row r="227" spans="17:17" x14ac:dyDescent="0.35">
      <c r="Q227" s="235"/>
    </row>
    <row r="228" spans="17:17" x14ac:dyDescent="0.35">
      <c r="Q228" s="235"/>
    </row>
    <row r="229" spans="17:17" x14ac:dyDescent="0.35">
      <c r="Q229" s="235"/>
    </row>
    <row r="230" spans="17:17" x14ac:dyDescent="0.35">
      <c r="Q230" s="235"/>
    </row>
    <row r="231" spans="17:17" x14ac:dyDescent="0.35">
      <c r="Q231" s="235"/>
    </row>
    <row r="232" spans="17:17" x14ac:dyDescent="0.35">
      <c r="Q232" s="235"/>
    </row>
    <row r="233" spans="17:17" x14ac:dyDescent="0.35">
      <c r="Q233" s="235"/>
    </row>
    <row r="234" spans="17:17" x14ac:dyDescent="0.35">
      <c r="Q234" s="235"/>
    </row>
    <row r="235" spans="17:17" x14ac:dyDescent="0.35">
      <c r="Q235" s="235"/>
    </row>
    <row r="236" spans="17:17" x14ac:dyDescent="0.35">
      <c r="Q236" s="235"/>
    </row>
    <row r="237" spans="17:17" x14ac:dyDescent="0.35">
      <c r="Q237" s="235"/>
    </row>
    <row r="238" spans="17:17" x14ac:dyDescent="0.35">
      <c r="Q238" s="235"/>
    </row>
    <row r="239" spans="17:17" x14ac:dyDescent="0.35">
      <c r="Q239" s="235"/>
    </row>
    <row r="240" spans="17:17" x14ac:dyDescent="0.35">
      <c r="Q240" s="235"/>
    </row>
    <row r="241" spans="17:17" x14ac:dyDescent="0.35">
      <c r="Q241" s="235"/>
    </row>
    <row r="242" spans="17:17" x14ac:dyDescent="0.35">
      <c r="Q242" s="235"/>
    </row>
    <row r="243" spans="17:17" x14ac:dyDescent="0.35">
      <c r="Q243" s="235"/>
    </row>
    <row r="244" spans="17:17" x14ac:dyDescent="0.35">
      <c r="Q244" s="235"/>
    </row>
    <row r="245" spans="17:17" x14ac:dyDescent="0.35">
      <c r="Q245" s="235"/>
    </row>
    <row r="246" spans="17:17" x14ac:dyDescent="0.35">
      <c r="Q246" s="235"/>
    </row>
    <row r="247" spans="17:17" x14ac:dyDescent="0.35">
      <c r="Q247" s="235"/>
    </row>
    <row r="248" spans="17:17" x14ac:dyDescent="0.35">
      <c r="Q248" s="235"/>
    </row>
    <row r="249" spans="17:17" x14ac:dyDescent="0.35">
      <c r="Q249" s="235"/>
    </row>
    <row r="250" spans="17:17" x14ac:dyDescent="0.35">
      <c r="Q250" s="235"/>
    </row>
    <row r="251" spans="17:17" x14ac:dyDescent="0.35">
      <c r="Q251" s="235"/>
    </row>
    <row r="252" spans="17:17" x14ac:dyDescent="0.35">
      <c r="Q252" s="235"/>
    </row>
    <row r="253" spans="17:17" x14ac:dyDescent="0.35">
      <c r="Q253" s="235"/>
    </row>
    <row r="254" spans="17:17" x14ac:dyDescent="0.35">
      <c r="Q254" s="235"/>
    </row>
    <row r="255" spans="17:17" x14ac:dyDescent="0.35">
      <c r="Q255" s="235"/>
    </row>
    <row r="256" spans="17:17" x14ac:dyDescent="0.35">
      <c r="Q256" s="235"/>
    </row>
    <row r="257" spans="17:17" x14ac:dyDescent="0.35">
      <c r="Q257" s="235"/>
    </row>
    <row r="258" spans="17:17" x14ac:dyDescent="0.35">
      <c r="Q258" s="235"/>
    </row>
    <row r="259" spans="17:17" x14ac:dyDescent="0.35">
      <c r="Q259" s="235"/>
    </row>
    <row r="260" spans="17:17" x14ac:dyDescent="0.35">
      <c r="Q260" s="235"/>
    </row>
    <row r="261" spans="17:17" x14ac:dyDescent="0.35">
      <c r="Q261" s="235"/>
    </row>
    <row r="262" spans="17:17" x14ac:dyDescent="0.35">
      <c r="Q262" s="235"/>
    </row>
    <row r="263" spans="17:17" x14ac:dyDescent="0.35">
      <c r="Q263" s="235"/>
    </row>
    <row r="264" spans="17:17" x14ac:dyDescent="0.35">
      <c r="Q264" s="235"/>
    </row>
    <row r="265" spans="17:17" x14ac:dyDescent="0.35">
      <c r="Q265" s="235"/>
    </row>
    <row r="266" spans="17:17" x14ac:dyDescent="0.35">
      <c r="Q266" s="235"/>
    </row>
    <row r="267" spans="17:17" x14ac:dyDescent="0.35">
      <c r="Q267" s="235"/>
    </row>
    <row r="268" spans="17:17" x14ac:dyDescent="0.35">
      <c r="Q268" s="235"/>
    </row>
    <row r="269" spans="17:17" x14ac:dyDescent="0.35">
      <c r="Q269" s="235"/>
    </row>
    <row r="270" spans="17:17" x14ac:dyDescent="0.35">
      <c r="Q270" s="235"/>
    </row>
    <row r="271" spans="17:17" x14ac:dyDescent="0.35">
      <c r="Q271" s="235"/>
    </row>
    <row r="272" spans="17:17" x14ac:dyDescent="0.35">
      <c r="Q272" s="235"/>
    </row>
    <row r="273" spans="17:17" x14ac:dyDescent="0.35">
      <c r="Q273" s="235"/>
    </row>
    <row r="274" spans="17:17" x14ac:dyDescent="0.35">
      <c r="Q274" s="235"/>
    </row>
    <row r="275" spans="17:17" x14ac:dyDescent="0.35">
      <c r="Q275" s="235"/>
    </row>
    <row r="276" spans="17:17" x14ac:dyDescent="0.35">
      <c r="Q276" s="235"/>
    </row>
    <row r="277" spans="17:17" x14ac:dyDescent="0.35">
      <c r="Q277" s="235"/>
    </row>
    <row r="278" spans="17:17" x14ac:dyDescent="0.35">
      <c r="Q278" s="235"/>
    </row>
    <row r="279" spans="17:17" x14ac:dyDescent="0.35">
      <c r="Q279" s="235"/>
    </row>
    <row r="280" spans="17:17" x14ac:dyDescent="0.35">
      <c r="Q280" s="235"/>
    </row>
    <row r="281" spans="17:17" x14ac:dyDescent="0.35">
      <c r="Q281" s="235"/>
    </row>
    <row r="282" spans="17:17" x14ac:dyDescent="0.35">
      <c r="Q282" s="235"/>
    </row>
    <row r="283" spans="17:17" x14ac:dyDescent="0.35">
      <c r="Q283" s="235"/>
    </row>
    <row r="284" spans="17:17" x14ac:dyDescent="0.35">
      <c r="Q284" s="235"/>
    </row>
    <row r="285" spans="17:17" x14ac:dyDescent="0.35">
      <c r="Q285" s="235"/>
    </row>
    <row r="286" spans="17:17" x14ac:dyDescent="0.35">
      <c r="Q286" s="235"/>
    </row>
    <row r="287" spans="17:17" x14ac:dyDescent="0.35">
      <c r="Q287" s="235"/>
    </row>
    <row r="288" spans="17:17" x14ac:dyDescent="0.35">
      <c r="Q288" s="235"/>
    </row>
    <row r="289" spans="17:17" x14ac:dyDescent="0.35">
      <c r="Q289" s="235"/>
    </row>
    <row r="290" spans="17:17" x14ac:dyDescent="0.35">
      <c r="Q290" s="235"/>
    </row>
    <row r="291" spans="17:17" x14ac:dyDescent="0.35">
      <c r="Q291" s="235"/>
    </row>
    <row r="292" spans="17:17" x14ac:dyDescent="0.35">
      <c r="Q292" s="235"/>
    </row>
    <row r="293" spans="17:17" x14ac:dyDescent="0.35">
      <c r="Q293" s="235"/>
    </row>
    <row r="294" spans="17:17" x14ac:dyDescent="0.35">
      <c r="Q294" s="235"/>
    </row>
    <row r="295" spans="17:17" x14ac:dyDescent="0.35">
      <c r="Q295" s="235"/>
    </row>
    <row r="296" spans="17:17" x14ac:dyDescent="0.35">
      <c r="Q296" s="235"/>
    </row>
    <row r="297" spans="17:17" x14ac:dyDescent="0.35">
      <c r="Q297" s="235"/>
    </row>
    <row r="298" spans="17:17" x14ac:dyDescent="0.35">
      <c r="Q298" s="235"/>
    </row>
    <row r="299" spans="17:17" x14ac:dyDescent="0.35">
      <c r="Q299" s="235"/>
    </row>
    <row r="300" spans="17:17" x14ac:dyDescent="0.35">
      <c r="Q300" s="235"/>
    </row>
    <row r="301" spans="17:17" x14ac:dyDescent="0.35">
      <c r="Q301" s="235"/>
    </row>
    <row r="302" spans="17:17" x14ac:dyDescent="0.35">
      <c r="Q302" s="235"/>
    </row>
    <row r="303" spans="17:17" x14ac:dyDescent="0.35">
      <c r="Q303" s="235"/>
    </row>
    <row r="304" spans="17:17" x14ac:dyDescent="0.35">
      <c r="Q304" s="235"/>
    </row>
    <row r="305" spans="17:17" x14ac:dyDescent="0.35">
      <c r="Q305" s="235"/>
    </row>
    <row r="306" spans="17:17" x14ac:dyDescent="0.35">
      <c r="Q306" s="235"/>
    </row>
    <row r="307" spans="17:17" x14ac:dyDescent="0.35">
      <c r="Q307" s="235"/>
    </row>
    <row r="308" spans="17:17" x14ac:dyDescent="0.35">
      <c r="Q308" s="243"/>
    </row>
    <row r="309" spans="17:17" x14ac:dyDescent="0.35">
      <c r="Q309" s="243"/>
    </row>
    <row r="310" spans="17:17" x14ac:dyDescent="0.35">
      <c r="Q310" s="243"/>
    </row>
    <row r="311" spans="17:17" x14ac:dyDescent="0.35">
      <c r="Q311" s="243"/>
    </row>
    <row r="312" spans="17:17" x14ac:dyDescent="0.35">
      <c r="Q312" s="243"/>
    </row>
    <row r="313" spans="17:17" x14ac:dyDescent="0.35">
      <c r="Q313" s="243"/>
    </row>
    <row r="314" spans="17:17" x14ac:dyDescent="0.35">
      <c r="Q314" s="243"/>
    </row>
    <row r="315" spans="17:17" x14ac:dyDescent="0.35">
      <c r="Q315" s="243"/>
    </row>
    <row r="316" spans="17:17" x14ac:dyDescent="0.35">
      <c r="Q316" s="243"/>
    </row>
    <row r="317" spans="17:17" x14ac:dyDescent="0.35">
      <c r="Q317" s="243"/>
    </row>
    <row r="318" spans="17:17" x14ac:dyDescent="0.35">
      <c r="Q318" s="243"/>
    </row>
    <row r="319" spans="17:17" x14ac:dyDescent="0.35">
      <c r="Q319" s="243"/>
    </row>
    <row r="320" spans="17:17" x14ac:dyDescent="0.35">
      <c r="Q320" s="243"/>
    </row>
    <row r="321" spans="17:17" x14ac:dyDescent="0.35">
      <c r="Q321" s="243"/>
    </row>
    <row r="322" spans="17:17" x14ac:dyDescent="0.35">
      <c r="Q322" s="243"/>
    </row>
    <row r="323" spans="17:17" x14ac:dyDescent="0.35">
      <c r="Q323" s="243"/>
    </row>
    <row r="324" spans="17:17" x14ac:dyDescent="0.35">
      <c r="Q324" s="243"/>
    </row>
    <row r="325" spans="17:17" x14ac:dyDescent="0.35">
      <c r="Q325" s="243"/>
    </row>
    <row r="326" spans="17:17" x14ac:dyDescent="0.35">
      <c r="Q326" s="243"/>
    </row>
    <row r="327" spans="17:17" x14ac:dyDescent="0.35">
      <c r="Q327" s="243"/>
    </row>
    <row r="328" spans="17:17" x14ac:dyDescent="0.35">
      <c r="Q328" s="243"/>
    </row>
    <row r="329" spans="17:17" x14ac:dyDescent="0.35">
      <c r="Q329" s="243"/>
    </row>
    <row r="330" spans="17:17" x14ac:dyDescent="0.35">
      <c r="Q330" s="243"/>
    </row>
    <row r="331" spans="17:17" x14ac:dyDescent="0.35">
      <c r="Q331" s="243"/>
    </row>
    <row r="332" spans="17:17" x14ac:dyDescent="0.35">
      <c r="Q332" s="243"/>
    </row>
    <row r="333" spans="17:17" x14ac:dyDescent="0.35">
      <c r="Q333" s="243"/>
    </row>
    <row r="334" spans="17:17" x14ac:dyDescent="0.35">
      <c r="Q334" s="243"/>
    </row>
    <row r="335" spans="17:17" x14ac:dyDescent="0.35">
      <c r="Q335" s="243"/>
    </row>
    <row r="336" spans="17:17" x14ac:dyDescent="0.35">
      <c r="Q336" s="243"/>
    </row>
    <row r="337" spans="17:17" x14ac:dyDescent="0.35">
      <c r="Q337" s="243"/>
    </row>
    <row r="338" spans="17:17" x14ac:dyDescent="0.35">
      <c r="Q338" s="243"/>
    </row>
    <row r="339" spans="17:17" x14ac:dyDescent="0.35">
      <c r="Q339" s="243"/>
    </row>
    <row r="340" spans="17:17" x14ac:dyDescent="0.35">
      <c r="Q340" s="243"/>
    </row>
    <row r="341" spans="17:17" x14ac:dyDescent="0.35">
      <c r="Q341" s="243"/>
    </row>
    <row r="342" spans="17:17" x14ac:dyDescent="0.35">
      <c r="Q342" s="243"/>
    </row>
    <row r="343" spans="17:17" x14ac:dyDescent="0.35">
      <c r="Q343" s="243"/>
    </row>
    <row r="344" spans="17:17" x14ac:dyDescent="0.35">
      <c r="Q344" s="243"/>
    </row>
    <row r="345" spans="17:17" x14ac:dyDescent="0.35">
      <c r="Q345" s="243"/>
    </row>
    <row r="346" spans="17:17" x14ac:dyDescent="0.35">
      <c r="Q346" s="243"/>
    </row>
    <row r="347" spans="17:17" x14ac:dyDescent="0.35">
      <c r="Q347" s="243"/>
    </row>
    <row r="348" spans="17:17" x14ac:dyDescent="0.35">
      <c r="Q348" s="243"/>
    </row>
    <row r="349" spans="17:17" x14ac:dyDescent="0.35">
      <c r="Q349" s="243"/>
    </row>
    <row r="350" spans="17:17" x14ac:dyDescent="0.35">
      <c r="Q350" s="243"/>
    </row>
    <row r="351" spans="17:17" x14ac:dyDescent="0.35">
      <c r="Q351" s="243"/>
    </row>
    <row r="352" spans="17:17" x14ac:dyDescent="0.35">
      <c r="Q352" s="243"/>
    </row>
    <row r="353" spans="17:17" x14ac:dyDescent="0.35">
      <c r="Q353" s="243"/>
    </row>
    <row r="354" spans="17:17" x14ac:dyDescent="0.35">
      <c r="Q354" s="243"/>
    </row>
    <row r="355" spans="17:17" x14ac:dyDescent="0.35">
      <c r="Q355" s="243"/>
    </row>
    <row r="356" spans="17:17" x14ac:dyDescent="0.35">
      <c r="Q356" s="243"/>
    </row>
    <row r="357" spans="17:17" x14ac:dyDescent="0.35">
      <c r="Q357" s="243"/>
    </row>
    <row r="358" spans="17:17" x14ac:dyDescent="0.35">
      <c r="Q358" s="243"/>
    </row>
  </sheetData>
  <autoFilter ref="A1:P13"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mergeCells count="7">
    <mergeCell ref="R3:S3"/>
    <mergeCell ref="A1:P1"/>
    <mergeCell ref="A2:P2"/>
    <mergeCell ref="A3:E3"/>
    <mergeCell ref="F3:L3"/>
    <mergeCell ref="M3:N3"/>
    <mergeCell ref="O3:Q3"/>
  </mergeCells>
  <conditionalFormatting sqref="O5:O1048576">
    <cfRule type="containsText" dxfId="127" priority="1" operator="containsText" text="Rejected">
      <formula>NOT(ISERROR(SEARCH("Rejected",O5)))</formula>
    </cfRule>
    <cfRule type="containsText" dxfId="126" priority="2" operator="containsText" text="Revisions Needed">
      <formula>NOT(ISERROR(SEARCH("Revisions Needed",O5)))</formula>
    </cfRule>
    <cfRule type="containsText" dxfId="125" priority="3" operator="containsText" text="Approved">
      <formula>NOT(ISERROR(SEARCH("Approved",O5)))</formula>
    </cfRule>
  </conditionalFormatting>
  <dataValidations count="2">
    <dataValidation type="list" allowBlank="1" sqref="O5:O1048576" xr:uid="{62040ABF-5DC2-4EE5-B14D-7314CFF14BAD}">
      <formula1>"Approved,Revisions Needed, Rejected"</formula1>
    </dataValidation>
    <dataValidation type="list" allowBlank="1" showInputMessage="1" showErrorMessage="1" sqref="C5:C1048576" xr:uid="{71F0F5CC-39D6-4B91-97EC-BB76A0039F87}">
      <formula1>"Monthly, Yearly"</formula1>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9621-4565-4971-87D3-40844D2A72EE}">
  <sheetPr>
    <tabColor theme="6"/>
  </sheetPr>
  <dimension ref="A1:AK66"/>
  <sheetViews>
    <sheetView showGridLines="0" zoomScale="55" zoomScaleNormal="55" workbookViewId="0">
      <selection activeCell="L58" sqref="L58"/>
    </sheetView>
  </sheetViews>
  <sheetFormatPr defaultColWidth="8.54296875" defaultRowHeight="16" x14ac:dyDescent="0.35"/>
  <cols>
    <col min="1" max="1" width="9" style="2" customWidth="1"/>
    <col min="2" max="3" width="12" style="14" customWidth="1"/>
    <col min="4" max="4" width="20.453125" style="2" customWidth="1"/>
    <col min="5" max="5" width="21.453125" style="2" customWidth="1"/>
    <col min="6" max="6" width="13.54296875" style="2" customWidth="1"/>
    <col min="7" max="7" width="12.453125" style="2" customWidth="1"/>
    <col min="8" max="8" width="12.81640625" style="29" customWidth="1"/>
    <col min="9" max="9" width="13.1796875" style="29" customWidth="1"/>
    <col min="10" max="10" width="15.54296875" style="2" customWidth="1"/>
    <col min="11" max="11" width="10.81640625" style="2" customWidth="1"/>
    <col min="12" max="12" width="36" style="1" customWidth="1"/>
    <col min="13" max="13" width="46.1796875" style="298" customWidth="1"/>
    <col min="14" max="14" width="12.81640625" style="76" customWidth="1"/>
    <col min="15" max="15" width="10.81640625" style="76" customWidth="1"/>
    <col min="16" max="16" width="13.1796875" style="76" customWidth="1"/>
    <col min="17" max="17" width="47.54296875" style="297" customWidth="1"/>
    <col min="18" max="18" width="20.54296875" style="76" customWidth="1"/>
    <col min="19" max="19" width="54.81640625" style="17" customWidth="1"/>
    <col min="20" max="20" width="43.7265625" style="236" customWidth="1"/>
    <col min="21" max="21" width="16.26953125" style="159" customWidth="1"/>
    <col min="22" max="22" width="76.54296875" style="17" customWidth="1"/>
    <col min="23" max="23" width="8.54296875" style="1"/>
    <col min="24" max="37" width="0" style="1" hidden="1" customWidth="1"/>
    <col min="38" max="16384" width="8.54296875" style="1"/>
  </cols>
  <sheetData>
    <row r="1" spans="1:37"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1"/>
    </row>
    <row r="2" spans="1:37" ht="37.5" customHeight="1" thickTop="1" thickBot="1" x14ac:dyDescent="0.4">
      <c r="A2" s="509" t="s">
        <v>1</v>
      </c>
      <c r="B2" s="510"/>
      <c r="C2" s="510"/>
      <c r="D2" s="510"/>
      <c r="E2" s="510"/>
      <c r="F2" s="510"/>
      <c r="G2" s="510"/>
      <c r="H2" s="510"/>
      <c r="I2" s="510"/>
      <c r="J2" s="510"/>
      <c r="K2" s="510"/>
      <c r="L2" s="510"/>
      <c r="M2" s="510"/>
      <c r="N2" s="510"/>
      <c r="O2" s="510"/>
      <c r="P2" s="510"/>
      <c r="Q2" s="510"/>
      <c r="R2" s="510"/>
      <c r="S2" s="510"/>
      <c r="T2" s="510"/>
      <c r="U2" s="510"/>
      <c r="V2" s="511"/>
    </row>
    <row r="3" spans="1:37"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row>
    <row r="4" spans="1:37" s="4" customFormat="1" ht="27.75" customHeight="1" thickTop="1" thickBot="1" x14ac:dyDescent="0.45">
      <c r="A4" s="513" t="s">
        <v>3</v>
      </c>
      <c r="B4" s="514"/>
      <c r="C4" s="514"/>
      <c r="D4" s="514"/>
      <c r="E4" s="514"/>
      <c r="F4" s="513" t="s">
        <v>4</v>
      </c>
      <c r="G4" s="514"/>
      <c r="H4" s="514"/>
      <c r="I4" s="514"/>
      <c r="J4" s="514"/>
      <c r="K4" s="515"/>
      <c r="L4" s="516" t="s">
        <v>5</v>
      </c>
      <c r="M4" s="516"/>
      <c r="N4" s="513" t="s">
        <v>6</v>
      </c>
      <c r="O4" s="514"/>
      <c r="P4" s="514"/>
      <c r="Q4" s="515"/>
      <c r="R4" s="513" t="s">
        <v>7</v>
      </c>
      <c r="S4" s="514"/>
      <c r="T4" s="515"/>
      <c r="U4" s="513" t="s">
        <v>8</v>
      </c>
      <c r="V4" s="515"/>
    </row>
    <row r="5" spans="1:37" ht="71.5" customHeight="1" thickTop="1" thickBot="1" x14ac:dyDescent="0.4">
      <c r="A5" s="10" t="s">
        <v>9</v>
      </c>
      <c r="B5" s="10" t="s">
        <v>10</v>
      </c>
      <c r="C5" s="10" t="s">
        <v>11</v>
      </c>
      <c r="D5" s="10" t="s">
        <v>12</v>
      </c>
      <c r="E5" s="10" t="s">
        <v>13</v>
      </c>
      <c r="F5" s="10" t="s">
        <v>14</v>
      </c>
      <c r="G5" s="10" t="s">
        <v>15</v>
      </c>
      <c r="H5" s="10" t="s">
        <v>16</v>
      </c>
      <c r="I5" s="10" t="s">
        <v>17</v>
      </c>
      <c r="J5" s="10" t="s">
        <v>18</v>
      </c>
      <c r="K5" s="10" t="s">
        <v>19</v>
      </c>
      <c r="L5" s="10" t="s">
        <v>20</v>
      </c>
      <c r="M5" s="10" t="s">
        <v>21</v>
      </c>
      <c r="N5" s="10" t="s">
        <v>22</v>
      </c>
      <c r="O5" s="10" t="s">
        <v>23</v>
      </c>
      <c r="P5" s="10" t="s">
        <v>24</v>
      </c>
      <c r="Q5" s="254" t="s">
        <v>25</v>
      </c>
      <c r="R5" s="468" t="s">
        <v>26</v>
      </c>
      <c r="S5" s="18" t="s">
        <v>27</v>
      </c>
      <c r="T5" s="18" t="s">
        <v>28</v>
      </c>
      <c r="U5" s="18" t="s">
        <v>29</v>
      </c>
      <c r="V5" s="433" t="s">
        <v>30</v>
      </c>
      <c r="X5" s="450" t="s">
        <v>31</v>
      </c>
      <c r="Y5" s="450" t="s">
        <v>32</v>
      </c>
      <c r="Z5" s="450" t="s">
        <v>33</v>
      </c>
      <c r="AA5" s="450" t="s">
        <v>34</v>
      </c>
      <c r="AB5" s="450" t="s">
        <v>35</v>
      </c>
      <c r="AC5" s="450" t="s">
        <v>36</v>
      </c>
      <c r="AD5" s="450" t="s">
        <v>37</v>
      </c>
      <c r="AE5" s="450" t="s">
        <v>38</v>
      </c>
      <c r="AF5" s="450" t="s">
        <v>39</v>
      </c>
      <c r="AG5" s="450" t="s">
        <v>40</v>
      </c>
      <c r="AH5" s="450" t="s">
        <v>41</v>
      </c>
      <c r="AI5" s="450" t="s">
        <v>42</v>
      </c>
      <c r="AJ5" s="450" t="s">
        <v>43</v>
      </c>
      <c r="AK5" s="450" t="s">
        <v>44</v>
      </c>
    </row>
    <row r="6" spans="1:37" s="5" customFormat="1" ht="328" customHeight="1" thickTop="1" x14ac:dyDescent="0.35">
      <c r="A6" s="117">
        <v>1</v>
      </c>
      <c r="B6" s="244" t="s">
        <v>45</v>
      </c>
      <c r="C6" s="432" t="s">
        <v>46</v>
      </c>
      <c r="D6" s="426" t="s">
        <v>47</v>
      </c>
      <c r="E6" s="150" t="s">
        <v>48</v>
      </c>
      <c r="F6" s="130" t="s">
        <v>49</v>
      </c>
      <c r="G6" s="117" t="s">
        <v>50</v>
      </c>
      <c r="H6" s="25" t="s">
        <v>51</v>
      </c>
      <c r="I6" s="441" t="s">
        <v>52</v>
      </c>
      <c r="J6" s="117" t="s">
        <v>53</v>
      </c>
      <c r="K6" s="426">
        <v>2</v>
      </c>
      <c r="L6" s="142" t="s">
        <v>54</v>
      </c>
      <c r="M6" s="458" t="str">
        <f>AB6&amp;CHAR(10)&amp;"Est. Savings: "&amp;IF(AK6&lt;&gt;"",TEXT(AK6,"0.00")&amp;" QAR",IF(AND(ISNUMBER(SEARCH(" QAR",H6)),ISNUMBER(SEARCH(" QAR",I6))),TEXT(ROUND(VALUE(SUBSTITUTE(H6," QAR",""))-VALUE(SUBSTITUTE(I6," QAR","")),2),"0.00")&amp;" QAR",IF(AND(X6&lt;&gt;"",Y6&lt;&gt;""),TEXT(ROUND((X6/100)*Y6,2),"0.00")&amp;" QAR",IF(AND(Z6&lt;&gt;"",AA6&lt;&gt;""),TEXT(ROUND(Z6*AA6,2),"0.00")&amp;" QAR",IF(X6&lt;&gt;"",IFERROR(TEXT(ROUND((X6/100)*VALUE(SUBSTITUTE(H6," QAR","")),2),"0.00")&amp;" QAR","NA"),"NA")))))</f>
        <v>Order any Sharing Boat and enjoy 1 Appetiser + 2 Drinks on the house.
Est. Savings: 77.00 QAR</v>
      </c>
      <c r="N6" s="120" t="s">
        <v>55</v>
      </c>
      <c r="O6" s="120" t="s">
        <v>55</v>
      </c>
      <c r="P6" s="132" t="s">
        <v>55</v>
      </c>
      <c r="Q6" s="505" t="s">
        <v>52</v>
      </c>
      <c r="R6" s="470" t="s">
        <v>56</v>
      </c>
      <c r="S6" s="467"/>
      <c r="T6" s="179"/>
      <c r="U6" s="179" t="s">
        <v>57</v>
      </c>
      <c r="V6" s="176"/>
      <c r="AB6" s="201" t="s">
        <v>58</v>
      </c>
      <c r="AK6" s="474">
        <v>77</v>
      </c>
    </row>
    <row r="7" spans="1:37" s="5" customFormat="1" ht="281.5" customHeight="1" x14ac:dyDescent="0.35">
      <c r="A7" s="117">
        <v>2</v>
      </c>
      <c r="B7" s="244" t="s">
        <v>45</v>
      </c>
      <c r="C7" s="432" t="s">
        <v>46</v>
      </c>
      <c r="D7" s="426" t="s">
        <v>47</v>
      </c>
      <c r="E7" s="150" t="s">
        <v>59</v>
      </c>
      <c r="F7" s="130" t="s">
        <v>49</v>
      </c>
      <c r="G7" s="117" t="s">
        <v>50</v>
      </c>
      <c r="H7" s="25" t="s">
        <v>51</v>
      </c>
      <c r="I7" s="441" t="s">
        <v>52</v>
      </c>
      <c r="J7" s="117" t="s">
        <v>53</v>
      </c>
      <c r="K7" s="426">
        <v>2</v>
      </c>
      <c r="L7" s="142" t="s">
        <v>54</v>
      </c>
      <c r="M7" s="458" t="str">
        <f>AB7&amp;CHAR(10)&amp;"Est. Savings: "&amp;IF(AK7&lt;&gt;"",TEXT(AK7,"0.00")&amp;" QAR",IF(AND(ISNUMBER(SEARCH(" QAR",H7)),ISNUMBER(SEARCH(" QAR",I7))),TEXT(ROUND(VALUE(SUBSTITUTE(H7," QAR",""))-VALUE(SUBSTITUTE(I7," QAR","")),2),"0.00")&amp;" QAR",IF(AND(X7&lt;&gt;"",Y7&lt;&gt;""),TEXT(ROUND((X7/100)*Y7,2),"0.00")&amp;" QAR",IF(AND(Z7&lt;&gt;"",AA7&lt;&gt;""),TEXT(ROUND(Z7*AA7,2),"0.00")&amp;" QAR",IF(X7&lt;&gt;"",IFERROR(TEXT(ROUND((X7/100)*VALUE(SUBSTITUTE(H7," QAR","")),2),"0.00")&amp;" QAR","NA"),"NA")))))</f>
        <v>Mix &amp; match any 8 pieces of sushi to get 1 Appetizer free.
Est. Savings: 33.00 QAR</v>
      </c>
      <c r="N7" s="120" t="s">
        <v>55</v>
      </c>
      <c r="O7" s="120" t="s">
        <v>55</v>
      </c>
      <c r="P7" s="132" t="s">
        <v>55</v>
      </c>
      <c r="Q7" s="506"/>
      <c r="R7" s="471" t="s">
        <v>56</v>
      </c>
      <c r="S7" s="102"/>
      <c r="T7" s="174"/>
      <c r="U7" s="179" t="s">
        <v>57</v>
      </c>
      <c r="V7" s="126"/>
      <c r="Z7"/>
      <c r="AA7"/>
      <c r="AB7" s="201" t="s">
        <v>60</v>
      </c>
      <c r="AK7" s="474">
        <v>33</v>
      </c>
    </row>
    <row r="8" spans="1:37" s="5" customFormat="1" ht="281.5" customHeight="1" x14ac:dyDescent="0.35">
      <c r="A8" s="117">
        <v>3</v>
      </c>
      <c r="B8" s="244" t="s">
        <v>45</v>
      </c>
      <c r="C8" s="432" t="s">
        <v>46</v>
      </c>
      <c r="D8" s="426" t="s">
        <v>47</v>
      </c>
      <c r="E8" s="150" t="s">
        <v>61</v>
      </c>
      <c r="F8" s="130" t="s">
        <v>49</v>
      </c>
      <c r="G8" s="117" t="s">
        <v>50</v>
      </c>
      <c r="H8" s="25" t="s">
        <v>62</v>
      </c>
      <c r="I8" s="441" t="s">
        <v>52</v>
      </c>
      <c r="J8" s="117" t="s">
        <v>53</v>
      </c>
      <c r="K8" s="426">
        <v>2</v>
      </c>
      <c r="L8" s="142" t="s">
        <v>54</v>
      </c>
      <c r="M8" s="458" t="str">
        <f>AB8&amp;CHAR(10)&amp;"Est. Savings: "&amp;IF(AK8&lt;&gt;"",TEXT(AK8,"0.00")&amp;" QAR",IF(AND(ISNUMBER(SEARCH(" QAR",H8)),ISNUMBER(SEARCH(" QAR",I8))),TEXT(ROUND(VALUE(SUBSTITUTE(H8," QAR",""))-VALUE(SUBSTITUTE(I8," QAR","")),2),"0.00")&amp;" QAR",IF(AND(X8&lt;&gt;"",Y8&lt;&gt;""),TEXT(ROUND((X8/100)*Y8,2),"0.00")&amp;" QAR",IF(AND(Z8&lt;&gt;"",AA8&lt;&gt;""),TEXT(ROUND(Z8*AA8,2),"0.00")&amp;" QAR",IF(X8&lt;&gt;"",IFERROR(TEXT(ROUND((X8/100)*VALUE(SUBSTITUTE(H8," QAR","")),2),"0.00")&amp;" QAR","NA"),"NA")))))</f>
        <v>Buy any 8 pieces of sushi and get 1 Drink free.
Est. Savings: 22.00 QAR</v>
      </c>
      <c r="N8" s="120" t="s">
        <v>55</v>
      </c>
      <c r="O8" s="120" t="s">
        <v>55</v>
      </c>
      <c r="P8" s="132" t="s">
        <v>55</v>
      </c>
      <c r="Q8" s="506"/>
      <c r="R8" s="471" t="s">
        <v>56</v>
      </c>
      <c r="S8" s="434"/>
      <c r="T8" s="174"/>
      <c r="U8" s="179" t="s">
        <v>57</v>
      </c>
      <c r="V8" s="34"/>
      <c r="W8" s="3"/>
      <c r="X8" s="3"/>
      <c r="Y8" s="3"/>
      <c r="Z8" s="3"/>
      <c r="AA8" s="3"/>
      <c r="AB8" s="3" t="s">
        <v>63</v>
      </c>
      <c r="AK8" s="474">
        <v>22</v>
      </c>
    </row>
    <row r="9" spans="1:37" s="5" customFormat="1" ht="281.5" customHeight="1" x14ac:dyDescent="0.35">
      <c r="A9" s="475">
        <v>4</v>
      </c>
      <c r="B9" s="476" t="s">
        <v>45</v>
      </c>
      <c r="C9" s="477" t="s">
        <v>46</v>
      </c>
      <c r="D9" s="478" t="s">
        <v>47</v>
      </c>
      <c r="E9" s="479" t="s">
        <v>64</v>
      </c>
      <c r="F9" s="480" t="s">
        <v>49</v>
      </c>
      <c r="G9" s="475" t="s">
        <v>50</v>
      </c>
      <c r="H9" s="94" t="s">
        <v>65</v>
      </c>
      <c r="I9" s="481" t="s">
        <v>52</v>
      </c>
      <c r="J9" s="475" t="s">
        <v>53</v>
      </c>
      <c r="K9" s="478">
        <v>2</v>
      </c>
      <c r="L9" s="482" t="s">
        <v>54</v>
      </c>
      <c r="M9" s="483" t="str">
        <f>AB9&amp;CHAR(10)&amp;"Est. Savings: "&amp;IF(AK9&lt;&gt;"",TEXT(AK9,"0.00")&amp;" QAR",IF(AND(ISNUMBER(SEARCH(" QAR",H9)),ISNUMBER(SEARCH(" QAR",I9))),TEXT(ROUND(VALUE(SUBSTITUTE(H9," QAR",""))-VALUE(SUBSTITUTE(I9," QAR","")),2),"0.00")&amp;" QAR",IF(AND(X9&lt;&gt;"",Y9&lt;&gt;""),TEXT(ROUND((X9/100)*Y9,2),"0.00")&amp;" QAR",IF(AND(Z9&lt;&gt;"",AA9&lt;&gt;""),TEXT(ROUND(Z9*AA9,2),"0.00")&amp;" QAR",IF(X9&lt;&gt;"",IFERROR(TEXT(ROUND((X9/100)*VALUE(SUBSTITUTE(H9," QAR","")),2),"0.00")&amp;" QAR","NA"),"NA")))))</f>
        <v>Main Course options: Daily Persian Stew, Charcoal Grilled Kebabs, Chef's Special Kebabs, or Grilled/Fried Seafood. Free item: any Soup, Starter, or Salad.
Est. Savings: 20.00 QAR</v>
      </c>
      <c r="N9" s="90" t="s">
        <v>55</v>
      </c>
      <c r="O9" s="90" t="s">
        <v>55</v>
      </c>
      <c r="P9" s="190" t="s">
        <v>55</v>
      </c>
      <c r="Q9" s="506"/>
      <c r="R9" s="473" t="s">
        <v>56</v>
      </c>
      <c r="S9" s="484"/>
      <c r="T9" s="485"/>
      <c r="U9" s="486" t="s">
        <v>57</v>
      </c>
      <c r="V9" s="210"/>
      <c r="W9" s="3"/>
      <c r="X9" s="3"/>
      <c r="Y9" s="3"/>
      <c r="Z9" s="3"/>
      <c r="AA9" s="3"/>
      <c r="AB9" s="3" t="s">
        <v>66</v>
      </c>
      <c r="AK9" s="474">
        <v>20</v>
      </c>
    </row>
    <row r="10" spans="1:37" s="5" customFormat="1" ht="281.5" customHeight="1" x14ac:dyDescent="0.35">
      <c r="A10" s="38">
        <v>5</v>
      </c>
      <c r="B10" s="58" t="s">
        <v>45</v>
      </c>
      <c r="C10" s="144" t="s">
        <v>67</v>
      </c>
      <c r="D10" s="38" t="s">
        <v>68</v>
      </c>
      <c r="E10" s="150" t="s">
        <v>69</v>
      </c>
      <c r="F10" s="38" t="s">
        <v>70</v>
      </c>
      <c r="G10" s="38" t="s">
        <v>71</v>
      </c>
      <c r="H10" s="151" t="s">
        <v>72</v>
      </c>
      <c r="I10" s="487" t="s">
        <v>73</v>
      </c>
      <c r="J10" s="38" t="s">
        <v>74</v>
      </c>
      <c r="K10" s="38" t="s">
        <v>52</v>
      </c>
      <c r="L10" s="142" t="s">
        <v>75</v>
      </c>
      <c r="M10" s="459" t="str">
        <f>AB10&amp;CHAR(10)&amp;"Est. Savings: "&amp;IF(AND(ISNUMBER(SEARCH(" QAR",H10)),ISNUMBER(SEARCH(" QAR",I10))),TEXT(ROUND(VALUE(SUBSTITUTE(H10," QAR",""))-VALUE(SUBSTITUTE(I10," QAR","")),2),"0.00")&amp;" QAR",IF(AND(X10&lt;&gt;"",Y10&lt;&gt;""),TEXT(ROUND((X10/100)*Y10,2),"0.00")&amp;" QAR",IF(AND(Z10&lt;&gt;"",AA10&lt;&gt;""),TEXT(ROUND(Z10*AA10,2),"0.00")&amp;" QAR",IF(X10&lt;&gt;"",IFERROR(TEXT(ROUND((X10/100)*VALUE(SUBSTITUTE(H10," QAR","")),2),"0.00")&amp;" QAR","NA"),"NA"))))</f>
        <v>Package Includes: 1 Month Venus Bliss (1–2 treatment areas) – 2 Fat Reduction Sessions + 4 RF Skin Tightening Sessions, plus 1 Month Personalized Dietitian Program (consultation, nutrition plan, follow-up).
Est. Savings: 1250.00 QAR</v>
      </c>
      <c r="N10" s="38" t="s">
        <v>55</v>
      </c>
      <c r="O10" s="38" t="s">
        <v>55</v>
      </c>
      <c r="P10" s="38" t="s">
        <v>55</v>
      </c>
      <c r="Q10" s="507" t="s">
        <v>52</v>
      </c>
      <c r="R10" s="471" t="s">
        <v>56</v>
      </c>
      <c r="S10" s="171"/>
      <c r="T10" s="174"/>
      <c r="U10" s="174" t="s">
        <v>76</v>
      </c>
      <c r="V10" s="34"/>
      <c r="W10" s="3"/>
      <c r="X10" s="3"/>
      <c r="Y10" s="3"/>
      <c r="Z10" s="3"/>
      <c r="AA10" s="3"/>
      <c r="AB10" s="3" t="s">
        <v>77</v>
      </c>
      <c r="AK10" s="474"/>
    </row>
    <row r="11" spans="1:37" s="5" customFormat="1" ht="281.5" customHeight="1" x14ac:dyDescent="0.35">
      <c r="A11" s="38">
        <v>6</v>
      </c>
      <c r="B11" s="58" t="s">
        <v>45</v>
      </c>
      <c r="C11" s="144" t="s">
        <v>67</v>
      </c>
      <c r="D11" s="38" t="s">
        <v>68</v>
      </c>
      <c r="E11" s="150" t="s">
        <v>78</v>
      </c>
      <c r="F11" s="38" t="s">
        <v>70</v>
      </c>
      <c r="G11" s="38" t="s">
        <v>71</v>
      </c>
      <c r="H11" s="151" t="s">
        <v>79</v>
      </c>
      <c r="I11" s="487" t="s">
        <v>80</v>
      </c>
      <c r="J11" s="38" t="s">
        <v>74</v>
      </c>
      <c r="K11" s="38" t="s">
        <v>52</v>
      </c>
      <c r="L11" s="142" t="s">
        <v>81</v>
      </c>
      <c r="M11" s="459" t="str">
        <f t="shared" ref="M11:M18" si="0">AB11&amp;CHAR(10)&amp;"Est. Savings: "&amp;IF(AND(ISNUMBER(SEARCH(" QAR",H11)),ISNUMBER(SEARCH(" QAR",I11))),TEXT(ROUND(VALUE(SUBSTITUTE(H11," QAR",""))-VALUE(SUBSTITUTE(I11," QAR","")),2),"0.00")&amp;" QAR",IF(AND(X11&lt;&gt;"",Y11&lt;&gt;""),TEXT(ROUND((X11/100)*Y11,2),"0.00")&amp;" QAR",IF(AND(Z11&lt;&gt;"",AA11&lt;&gt;""),TEXT(ROUND(Z11*AA11,2),"0.00")&amp;" QAR",IF(X11&lt;&gt;"",IFERROR(TEXT(ROUND((X11/100)*VALUE(SUBSTITUTE(H11," QAR","")),2),"0.00")&amp;" QAR","NA"),"NA"))))</f>
        <v>Package Includes: 1 Month Venus Bliss (1–2 treatment areas) – 2 Fat Reduction Sessions + 4 RF Skin Tightening Sessions.
Est. Savings: 900.00 QAR</v>
      </c>
      <c r="N11" s="38" t="s">
        <v>55</v>
      </c>
      <c r="O11" s="38" t="s">
        <v>55</v>
      </c>
      <c r="P11" s="38" t="s">
        <v>55</v>
      </c>
      <c r="Q11" s="506"/>
      <c r="R11" s="471" t="s">
        <v>56</v>
      </c>
      <c r="S11" s="171"/>
      <c r="T11" s="174"/>
      <c r="U11" s="174" t="s">
        <v>76</v>
      </c>
      <c r="V11" s="34"/>
      <c r="W11" s="3"/>
      <c r="X11" s="3"/>
      <c r="Y11" s="3"/>
      <c r="Z11" s="3"/>
      <c r="AA11" s="3"/>
      <c r="AB11" s="3" t="s">
        <v>82</v>
      </c>
      <c r="AK11" s="474"/>
    </row>
    <row r="12" spans="1:37" s="5" customFormat="1" ht="281.5" customHeight="1" x14ac:dyDescent="0.35">
      <c r="A12" s="38">
        <v>7</v>
      </c>
      <c r="B12" s="58" t="s">
        <v>45</v>
      </c>
      <c r="C12" s="144" t="s">
        <v>67</v>
      </c>
      <c r="D12" s="38" t="s">
        <v>68</v>
      </c>
      <c r="E12" s="150" t="s">
        <v>83</v>
      </c>
      <c r="F12" s="38" t="s">
        <v>70</v>
      </c>
      <c r="G12" s="38" t="s">
        <v>71</v>
      </c>
      <c r="H12" s="151" t="s">
        <v>84</v>
      </c>
      <c r="I12" s="487" t="s">
        <v>85</v>
      </c>
      <c r="J12" s="38" t="s">
        <v>74</v>
      </c>
      <c r="K12" s="38" t="s">
        <v>52</v>
      </c>
      <c r="L12" s="142" t="s">
        <v>81</v>
      </c>
      <c r="M12" s="459" t="str">
        <f t="shared" si="0"/>
        <v>Includes Lymphatic Drainage, Deep Cleansing &amp; Exfoliation, GlySal™ Prep Peel, Extractions, 2 Premium Boosters, LED Light Therapy, and Perk Eye &amp; Lip Treatments.
Est. Savings: 750.00 QAR</v>
      </c>
      <c r="N12" s="38" t="s">
        <v>55</v>
      </c>
      <c r="O12" s="38" t="s">
        <v>55</v>
      </c>
      <c r="P12" s="38" t="s">
        <v>55</v>
      </c>
      <c r="Q12" s="506"/>
      <c r="R12" s="471" t="s">
        <v>56</v>
      </c>
      <c r="S12" s="171"/>
      <c r="T12" s="174"/>
      <c r="U12" s="174" t="s">
        <v>76</v>
      </c>
      <c r="V12" s="34"/>
      <c r="W12" s="3"/>
      <c r="X12" s="3"/>
      <c r="Y12" s="3"/>
      <c r="Z12" s="3"/>
      <c r="AA12" s="3"/>
      <c r="AB12" s="3" t="s">
        <v>86</v>
      </c>
      <c r="AK12" s="474"/>
    </row>
    <row r="13" spans="1:37" s="5" customFormat="1" ht="281.5" customHeight="1" x14ac:dyDescent="0.35">
      <c r="A13" s="38">
        <v>8</v>
      </c>
      <c r="B13" s="58" t="s">
        <v>45</v>
      </c>
      <c r="C13" s="144" t="s">
        <v>67</v>
      </c>
      <c r="D13" s="38" t="s">
        <v>68</v>
      </c>
      <c r="E13" s="150" t="s">
        <v>87</v>
      </c>
      <c r="F13" s="38" t="s">
        <v>70</v>
      </c>
      <c r="G13" s="38" t="s">
        <v>88</v>
      </c>
      <c r="H13" s="151" t="s">
        <v>89</v>
      </c>
      <c r="I13" s="487" t="s">
        <v>52</v>
      </c>
      <c r="J13" s="38" t="s">
        <v>74</v>
      </c>
      <c r="K13" s="38" t="s">
        <v>52</v>
      </c>
      <c r="L13" s="142" t="s">
        <v>90</v>
      </c>
      <c r="M13" s="459" t="str">
        <f>AB13&amp;CHAR(10)&amp;"Est. Savings: "&amp;IF(AK13&lt;&gt;"",TEXT(AK13,"0.00")&amp;" QAR",IF(AND(ISNUMBER(SEARCH(" QAR",H13)),ISNUMBER(SEARCH(" QAR",I13))),TEXT(ROUND(VALUE(SUBSTITUTE(H13," QAR",""))-VALUE(SUBSTITUTE(I13," QAR","")),2),"0.00")&amp;" QAR",IF(AND(X13&lt;&gt;"",Y13&lt;&gt;""),TEXT(ROUND((X13/100)*Y13,2),"0.00")&amp;" QAR",IF(AND(Z13&lt;&gt;"",AA13&lt;&gt;""),TEXT(ROUND(Z13*AA13,2),"0.00")&amp;" QAR",IF(X13&lt;&gt;"",IFERROR(TEXT(ROUND((X13/100)*VALUE(SUBSTITUTE(H13," QAR","")),2),"0.00")&amp;" QAR","NA"),"NA")))))</f>
        <v>Includes Full Face LaseMD Ultra Treatment. Free injection choice: Botox, Juvederm Fillers, Teosyal, Jalupro, Kiara Skin Booster, Kiara Reju, PDRN Plinest/Plenhyage XL, Bella Face Cocktail, Light Eyes/Upgrade Mesotherapy, Hair &amp; Scalp Revitalizing Therapy, Lipolysis, or PRP.
Est. Savings: 1000.00 QAR</v>
      </c>
      <c r="N13" s="38" t="s">
        <v>55</v>
      </c>
      <c r="O13" s="38" t="s">
        <v>55</v>
      </c>
      <c r="P13" s="38" t="s">
        <v>55</v>
      </c>
      <c r="Q13" s="506"/>
      <c r="R13" s="471" t="s">
        <v>56</v>
      </c>
      <c r="S13" s="171"/>
      <c r="T13" s="174"/>
      <c r="U13" s="174" t="s">
        <v>76</v>
      </c>
      <c r="V13" s="34"/>
      <c r="W13" s="3"/>
      <c r="X13" s="3"/>
      <c r="Y13" s="3"/>
      <c r="Z13" s="3"/>
      <c r="AA13" s="3"/>
      <c r="AB13" s="3" t="s">
        <v>91</v>
      </c>
      <c r="AK13" s="474">
        <v>1000</v>
      </c>
    </row>
    <row r="14" spans="1:37" s="5" customFormat="1" ht="281.5" customHeight="1" x14ac:dyDescent="0.35">
      <c r="A14" s="38">
        <v>9</v>
      </c>
      <c r="B14" s="58" t="s">
        <v>45</v>
      </c>
      <c r="C14" s="144" t="s">
        <v>67</v>
      </c>
      <c r="D14" s="38" t="s">
        <v>68</v>
      </c>
      <c r="E14" s="150" t="s">
        <v>92</v>
      </c>
      <c r="F14" s="38" t="s">
        <v>70</v>
      </c>
      <c r="G14" s="38" t="s">
        <v>88</v>
      </c>
      <c r="H14" s="151" t="s">
        <v>93</v>
      </c>
      <c r="I14" s="487" t="s">
        <v>52</v>
      </c>
      <c r="J14" s="38" t="s">
        <v>74</v>
      </c>
      <c r="K14" s="38" t="s">
        <v>52</v>
      </c>
      <c r="L14" s="142" t="s">
        <v>94</v>
      </c>
      <c r="M14" s="459" t="str">
        <f>AB14&amp;CHAR(10)&amp;"Est. Savings: "&amp;IF(AK14&lt;&gt;"",TEXT(AK14,"0.00")&amp;" QAR",IF(AND(ISNUMBER(SEARCH(" QAR",H14)),ISNUMBER(SEARCH(" QAR",I14))),TEXT(ROUND(VALUE(SUBSTITUTE(H14," QAR",""))-VALUE(SUBSTITUTE(I14," QAR","")),2),"0.00")&amp;" QAR",IF(AND(X14&lt;&gt;"",Y14&lt;&gt;""),TEXT(ROUND((X14/100)*Y14,2),"0.00")&amp;" QAR",IF(AND(Z14&lt;&gt;"",AA14&lt;&gt;""),TEXT(ROUND(Z14*AA14,2),"0.00")&amp;" QAR",IF(X14&lt;&gt;"",IFERROR(TEXT(ROUND((X14/100)*VALUE(SUBSTITUTE(H14," QAR","")),2),"0.00")&amp;" QAR","NA"),"NA")))))</f>
        <v>Includes Full Face Scarlet X Treatment. Free injection choice: Botox, Juvederm Fillers, Teosyal, Jalupro, Kiara Skin Booster, Kiara Reju, PDRN Plinest/Plenhyage XL, Bella Face Cocktail, Light Eyes/Upgrade Mesotherapy, Hair &amp; Scalp Revitalizing Therapy, Lipolysis, or PRP.
Est. Savings: 1000.00 QAR</v>
      </c>
      <c r="N14" s="38" t="s">
        <v>55</v>
      </c>
      <c r="O14" s="38" t="s">
        <v>55</v>
      </c>
      <c r="P14" s="38" t="s">
        <v>55</v>
      </c>
      <c r="Q14" s="506"/>
      <c r="R14" s="471" t="s">
        <v>56</v>
      </c>
      <c r="S14" s="471"/>
      <c r="T14" s="174"/>
      <c r="U14" s="174" t="s">
        <v>76</v>
      </c>
      <c r="V14" s="34"/>
      <c r="W14" s="3"/>
      <c r="X14" s="3"/>
      <c r="Y14" s="3"/>
      <c r="Z14" s="3"/>
      <c r="AA14" s="3"/>
      <c r="AB14" s="3" t="s">
        <v>95</v>
      </c>
      <c r="AK14" s="474">
        <v>1000</v>
      </c>
    </row>
    <row r="15" spans="1:37" s="5" customFormat="1" ht="281.5" customHeight="1" x14ac:dyDescent="0.35">
      <c r="A15" s="38">
        <v>10</v>
      </c>
      <c r="B15" s="58" t="s">
        <v>45</v>
      </c>
      <c r="C15" s="144" t="s">
        <v>67</v>
      </c>
      <c r="D15" s="38" t="s">
        <v>68</v>
      </c>
      <c r="E15" s="150" t="s">
        <v>96</v>
      </c>
      <c r="F15" s="38" t="s">
        <v>70</v>
      </c>
      <c r="G15" s="38" t="s">
        <v>71</v>
      </c>
      <c r="H15" s="151" t="s">
        <v>79</v>
      </c>
      <c r="I15" s="487" t="s">
        <v>97</v>
      </c>
      <c r="J15" s="38" t="s">
        <v>74</v>
      </c>
      <c r="K15" s="38" t="s">
        <v>52</v>
      </c>
      <c r="L15" s="142" t="s">
        <v>81</v>
      </c>
      <c r="M15" s="459" t="str">
        <f t="shared" si="0"/>
        <v>NA
Est. Savings: 800.00 QAR</v>
      </c>
      <c r="N15" s="38" t="s">
        <v>55</v>
      </c>
      <c r="O15" s="38" t="s">
        <v>55</v>
      </c>
      <c r="P15" s="38" t="s">
        <v>55</v>
      </c>
      <c r="Q15" s="506"/>
      <c r="R15" s="471" t="s">
        <v>56</v>
      </c>
      <c r="S15" s="171"/>
      <c r="T15" s="174"/>
      <c r="U15" s="174" t="s">
        <v>76</v>
      </c>
      <c r="V15" s="34"/>
      <c r="W15" s="3"/>
      <c r="X15" s="3"/>
      <c r="Y15" s="3"/>
      <c r="Z15" s="3"/>
      <c r="AA15" s="3"/>
      <c r="AB15" s="3" t="s">
        <v>52</v>
      </c>
      <c r="AK15" s="474"/>
    </row>
    <row r="16" spans="1:37" s="5" customFormat="1" ht="281.5" customHeight="1" x14ac:dyDescent="0.35">
      <c r="A16" s="38">
        <v>11</v>
      </c>
      <c r="B16" s="58" t="s">
        <v>45</v>
      </c>
      <c r="C16" s="144" t="s">
        <v>67</v>
      </c>
      <c r="D16" s="38" t="s">
        <v>68</v>
      </c>
      <c r="E16" s="150" t="s">
        <v>98</v>
      </c>
      <c r="F16" s="38" t="s">
        <v>70</v>
      </c>
      <c r="G16" s="38" t="s">
        <v>71</v>
      </c>
      <c r="H16" s="151" t="s">
        <v>84</v>
      </c>
      <c r="I16" s="487" t="s">
        <v>97</v>
      </c>
      <c r="J16" s="38" t="s">
        <v>74</v>
      </c>
      <c r="K16" s="38" t="s">
        <v>52</v>
      </c>
      <c r="L16" s="142" t="s">
        <v>75</v>
      </c>
      <c r="M16" s="459" t="str">
        <f t="shared" si="0"/>
        <v>NA
Est. Savings: 500.00 QAR</v>
      </c>
      <c r="N16" s="38" t="s">
        <v>55</v>
      </c>
      <c r="O16" s="38" t="s">
        <v>55</v>
      </c>
      <c r="P16" s="38" t="s">
        <v>55</v>
      </c>
      <c r="Q16" s="506"/>
      <c r="R16" s="471" t="s">
        <v>56</v>
      </c>
      <c r="S16" s="171"/>
      <c r="T16" s="174"/>
      <c r="U16" s="174" t="s">
        <v>76</v>
      </c>
      <c r="V16" s="34"/>
      <c r="W16" s="3"/>
      <c r="X16" s="3"/>
      <c r="Y16" s="3"/>
      <c r="Z16" s="3"/>
      <c r="AA16" s="3"/>
      <c r="AB16" s="3" t="s">
        <v>52</v>
      </c>
      <c r="AK16" s="474"/>
    </row>
    <row r="17" spans="1:37" s="5" customFormat="1" ht="281.5" customHeight="1" x14ac:dyDescent="0.35">
      <c r="A17" s="38">
        <v>12</v>
      </c>
      <c r="B17" s="58" t="s">
        <v>45</v>
      </c>
      <c r="C17" s="144" t="s">
        <v>67</v>
      </c>
      <c r="D17" s="38" t="s">
        <v>68</v>
      </c>
      <c r="E17" s="150" t="s">
        <v>99</v>
      </c>
      <c r="F17" s="38" t="s">
        <v>70</v>
      </c>
      <c r="G17" s="38" t="s">
        <v>71</v>
      </c>
      <c r="H17" s="151" t="s">
        <v>100</v>
      </c>
      <c r="I17" s="487" t="s">
        <v>101</v>
      </c>
      <c r="J17" s="38" t="s">
        <v>74</v>
      </c>
      <c r="K17" s="38" t="s">
        <v>52</v>
      </c>
      <c r="L17" s="142" t="s">
        <v>81</v>
      </c>
      <c r="M17" s="459" t="str">
        <f t="shared" si="0"/>
        <v>NA
Est. Savings: 950.00 QAR</v>
      </c>
      <c r="N17" s="38" t="s">
        <v>55</v>
      </c>
      <c r="O17" s="38" t="s">
        <v>55</v>
      </c>
      <c r="P17" s="38" t="s">
        <v>55</v>
      </c>
      <c r="Q17" s="506"/>
      <c r="R17" s="471" t="s">
        <v>56</v>
      </c>
      <c r="S17" s="171"/>
      <c r="T17" s="174"/>
      <c r="U17" s="174" t="s">
        <v>76</v>
      </c>
      <c r="V17" s="34"/>
      <c r="W17" s="3"/>
      <c r="X17" s="3"/>
      <c r="Y17" s="3"/>
      <c r="Z17" s="3"/>
      <c r="AA17" s="3"/>
      <c r="AB17" s="3" t="s">
        <v>52</v>
      </c>
      <c r="AK17" s="474"/>
    </row>
    <row r="18" spans="1:37" s="5" customFormat="1" ht="281.5" customHeight="1" x14ac:dyDescent="0.35">
      <c r="A18" s="38">
        <v>13</v>
      </c>
      <c r="B18" s="58" t="s">
        <v>45</v>
      </c>
      <c r="C18" s="144" t="s">
        <v>67</v>
      </c>
      <c r="D18" s="38" t="s">
        <v>68</v>
      </c>
      <c r="E18" s="150" t="s">
        <v>102</v>
      </c>
      <c r="F18" s="38" t="s">
        <v>70</v>
      </c>
      <c r="G18" s="38" t="s">
        <v>71</v>
      </c>
      <c r="H18" s="151" t="s">
        <v>103</v>
      </c>
      <c r="I18" s="487" t="s">
        <v>104</v>
      </c>
      <c r="J18" s="38" t="s">
        <v>74</v>
      </c>
      <c r="K18" s="38" t="s">
        <v>52</v>
      </c>
      <c r="L18" s="142" t="s">
        <v>81</v>
      </c>
      <c r="M18" s="459" t="str">
        <f t="shared" si="0"/>
        <v>NA
Est. Savings: 200.00 QAR</v>
      </c>
      <c r="N18" s="38" t="s">
        <v>55</v>
      </c>
      <c r="O18" s="38" t="s">
        <v>55</v>
      </c>
      <c r="P18" s="38" t="s">
        <v>55</v>
      </c>
      <c r="Q18" s="508"/>
      <c r="R18" s="471" t="s">
        <v>56</v>
      </c>
      <c r="S18" s="171"/>
      <c r="T18" s="174"/>
      <c r="U18" s="174" t="s">
        <v>76</v>
      </c>
      <c r="V18" s="34"/>
      <c r="W18" s="3"/>
      <c r="X18" s="3"/>
      <c r="Y18" s="3"/>
      <c r="Z18" s="3"/>
      <c r="AA18" s="3"/>
      <c r="AB18" s="3" t="s">
        <v>52</v>
      </c>
      <c r="AK18" s="474"/>
    </row>
    <row r="19" spans="1:37" hidden="1" x14ac:dyDescent="0.35">
      <c r="A19" s="488" t="s">
        <v>105</v>
      </c>
      <c r="B19" s="211"/>
      <c r="C19" s="211"/>
      <c r="D19" s="33"/>
      <c r="E19" s="33"/>
      <c r="F19" s="33"/>
      <c r="G19" s="33"/>
      <c r="H19" s="212"/>
      <c r="I19" s="212"/>
      <c r="J19" s="33"/>
      <c r="K19" s="33"/>
      <c r="L19" s="213"/>
      <c r="M19" s="47"/>
      <c r="N19" s="38"/>
      <c r="O19" s="38"/>
      <c r="P19" s="38"/>
      <c r="Q19" s="38"/>
      <c r="R19" s="46"/>
      <c r="S19" s="34"/>
      <c r="T19" s="235"/>
      <c r="U19" s="214"/>
      <c r="V19" s="34"/>
    </row>
    <row r="20" spans="1:37" hidden="1" x14ac:dyDescent="0.35">
      <c r="A20" s="489" t="s">
        <v>106</v>
      </c>
      <c r="B20" s="490" t="s">
        <v>107</v>
      </c>
      <c r="C20" s="490" t="s">
        <v>108</v>
      </c>
      <c r="D20" s="33"/>
      <c r="E20" s="33"/>
      <c r="F20" s="33"/>
      <c r="G20" s="33"/>
      <c r="H20" s="212"/>
      <c r="I20" s="212"/>
      <c r="J20" s="33"/>
      <c r="K20" s="33"/>
      <c r="L20" s="213"/>
      <c r="M20" s="47"/>
      <c r="N20" s="38"/>
      <c r="O20" s="38"/>
      <c r="P20" s="38"/>
      <c r="Q20" s="38"/>
      <c r="R20" s="46"/>
      <c r="S20" s="34"/>
      <c r="T20" s="235"/>
      <c r="U20" s="214"/>
      <c r="V20" s="34"/>
    </row>
    <row r="21" spans="1:37" hidden="1" x14ac:dyDescent="0.35">
      <c r="A21" s="33" t="s">
        <v>109</v>
      </c>
      <c r="B21" s="211">
        <v>65</v>
      </c>
      <c r="C21" s="211" t="s">
        <v>110</v>
      </c>
      <c r="D21" s="33"/>
      <c r="E21" s="33"/>
      <c r="F21" s="33"/>
      <c r="G21" s="33"/>
      <c r="H21" s="212"/>
      <c r="I21" s="212"/>
      <c r="J21" s="33"/>
      <c r="K21" s="33"/>
      <c r="L21" s="213"/>
      <c r="M21" s="47"/>
      <c r="N21" s="38"/>
      <c r="O21" s="38"/>
      <c r="P21" s="38"/>
      <c r="Q21" s="38"/>
      <c r="R21" s="46"/>
      <c r="S21" s="34"/>
      <c r="T21" s="235"/>
      <c r="U21" s="214"/>
      <c r="V21" s="34"/>
    </row>
    <row r="22" spans="1:37" hidden="1" x14ac:dyDescent="0.35">
      <c r="A22" s="33" t="s">
        <v>111</v>
      </c>
      <c r="B22" s="211">
        <v>65</v>
      </c>
      <c r="C22" s="211" t="s">
        <v>112</v>
      </c>
      <c r="D22" s="33"/>
      <c r="E22" s="33"/>
      <c r="F22" s="33"/>
      <c r="G22" s="33"/>
      <c r="H22" s="212"/>
      <c r="I22" s="212"/>
      <c r="J22" s="33"/>
      <c r="K22" s="33"/>
      <c r="L22" s="213"/>
      <c r="M22" s="47"/>
      <c r="N22" s="38"/>
      <c r="O22" s="38"/>
      <c r="P22" s="38"/>
      <c r="Q22" s="38"/>
      <c r="R22" s="46"/>
      <c r="S22" s="34"/>
      <c r="T22" s="235"/>
      <c r="U22" s="214"/>
      <c r="V22" s="34"/>
    </row>
    <row r="23" spans="1:37" hidden="1" x14ac:dyDescent="0.35">
      <c r="A23" s="33" t="s">
        <v>113</v>
      </c>
      <c r="B23" s="211">
        <v>65</v>
      </c>
      <c r="C23" s="211" t="s">
        <v>114</v>
      </c>
      <c r="D23" s="33"/>
      <c r="E23" s="33"/>
      <c r="F23" s="33"/>
      <c r="G23" s="33"/>
      <c r="H23" s="212"/>
      <c r="I23" s="212"/>
      <c r="J23" s="33"/>
      <c r="K23" s="33"/>
      <c r="L23" s="213"/>
      <c r="M23" s="47"/>
      <c r="N23" s="38"/>
      <c r="O23" s="38"/>
      <c r="P23" s="38"/>
      <c r="Q23" s="38"/>
      <c r="R23" s="46"/>
      <c r="S23" s="34"/>
      <c r="T23" s="235"/>
      <c r="U23" s="214"/>
      <c r="V23" s="34"/>
    </row>
    <row r="24" spans="1:37" s="2" customFormat="1" hidden="1" x14ac:dyDescent="0.35">
      <c r="A24" s="33" t="s">
        <v>115</v>
      </c>
      <c r="B24" s="211">
        <v>65</v>
      </c>
      <c r="C24" s="211" t="s">
        <v>116</v>
      </c>
      <c r="D24" s="33"/>
      <c r="E24" s="33"/>
      <c r="F24" s="33"/>
      <c r="G24" s="33"/>
      <c r="H24" s="212"/>
      <c r="I24" s="212"/>
      <c r="J24" s="33"/>
      <c r="K24" s="33"/>
      <c r="L24" s="213"/>
      <c r="M24" s="47"/>
      <c r="N24" s="38"/>
      <c r="O24" s="38"/>
      <c r="P24" s="38"/>
      <c r="Q24" s="38"/>
      <c r="R24" s="46"/>
      <c r="S24" s="34"/>
      <c r="T24" s="235"/>
      <c r="U24" s="214"/>
      <c r="V24" s="34"/>
      <c r="W24" s="1"/>
      <c r="X24" s="1"/>
      <c r="Y24" s="1"/>
      <c r="Z24" s="1"/>
      <c r="AA24" s="1"/>
      <c r="AB24" s="1"/>
    </row>
    <row r="25" spans="1:37" s="2" customFormat="1" hidden="1" x14ac:dyDescent="0.35">
      <c r="A25" s="33" t="s">
        <v>117</v>
      </c>
      <c r="B25" s="211">
        <v>65</v>
      </c>
      <c r="C25" s="211" t="s">
        <v>118</v>
      </c>
      <c r="D25" s="33"/>
      <c r="E25" s="33"/>
      <c r="F25" s="33"/>
      <c r="G25" s="33"/>
      <c r="H25" s="212"/>
      <c r="I25" s="212"/>
      <c r="J25" s="33"/>
      <c r="K25" s="33"/>
      <c r="L25" s="213"/>
      <c r="M25" s="47"/>
      <c r="N25" s="38"/>
      <c r="O25" s="38"/>
      <c r="P25" s="38"/>
      <c r="Q25" s="38"/>
      <c r="R25" s="46"/>
      <c r="S25" s="34"/>
      <c r="T25" s="235"/>
      <c r="U25" s="214"/>
      <c r="V25" s="34"/>
      <c r="W25" s="1"/>
      <c r="X25" s="1"/>
      <c r="Y25" s="1"/>
      <c r="Z25" s="1"/>
      <c r="AA25" s="1"/>
      <c r="AB25" s="1"/>
    </row>
    <row r="26" spans="1:37" s="2" customFormat="1" hidden="1" x14ac:dyDescent="0.35">
      <c r="A26" s="33" t="s">
        <v>119</v>
      </c>
      <c r="B26" s="211">
        <v>65</v>
      </c>
      <c r="C26" s="211" t="s">
        <v>120</v>
      </c>
      <c r="D26" s="33"/>
      <c r="E26" s="33"/>
      <c r="F26" s="33"/>
      <c r="G26" s="33"/>
      <c r="H26" s="212"/>
      <c r="I26" s="212"/>
      <c r="J26" s="33"/>
      <c r="K26" s="33"/>
      <c r="L26" s="213"/>
      <c r="M26" s="47"/>
      <c r="N26" s="38"/>
      <c r="O26" s="38"/>
      <c r="P26" s="38"/>
      <c r="Q26" s="38"/>
      <c r="R26" s="46"/>
      <c r="S26" s="34"/>
      <c r="T26" s="235"/>
      <c r="U26" s="214"/>
      <c r="V26" s="34"/>
      <c r="W26" s="1"/>
      <c r="X26" s="1"/>
      <c r="Y26" s="1"/>
      <c r="Z26" s="1"/>
      <c r="AA26" s="1"/>
      <c r="AB26" s="1"/>
    </row>
    <row r="27" spans="1:37" s="2" customFormat="1" hidden="1" x14ac:dyDescent="0.35">
      <c r="A27" s="33" t="s">
        <v>121</v>
      </c>
      <c r="B27" s="211">
        <v>65</v>
      </c>
      <c r="C27" s="211" t="s">
        <v>122</v>
      </c>
      <c r="D27" s="33"/>
      <c r="E27" s="33"/>
      <c r="F27" s="33"/>
      <c r="G27" s="33"/>
      <c r="H27" s="212"/>
      <c r="I27" s="212"/>
      <c r="J27" s="33"/>
      <c r="K27" s="33"/>
      <c r="L27" s="213"/>
      <c r="M27" s="47"/>
      <c r="N27" s="38"/>
      <c r="O27" s="38"/>
      <c r="P27" s="38"/>
      <c r="Q27" s="38"/>
      <c r="R27" s="46"/>
      <c r="S27" s="34"/>
      <c r="T27" s="235"/>
      <c r="U27" s="214"/>
      <c r="V27" s="34"/>
      <c r="W27" s="1"/>
      <c r="X27" s="1"/>
      <c r="Y27" s="1"/>
      <c r="Z27" s="1"/>
      <c r="AA27" s="1"/>
      <c r="AB27" s="1"/>
    </row>
    <row r="28" spans="1:37" s="2" customFormat="1" hidden="1" x14ac:dyDescent="0.35">
      <c r="A28" s="33" t="s">
        <v>123</v>
      </c>
      <c r="B28" s="211">
        <v>150</v>
      </c>
      <c r="C28" s="211" t="s">
        <v>124</v>
      </c>
      <c r="D28" s="33"/>
      <c r="E28" s="33"/>
      <c r="F28" s="33"/>
      <c r="G28" s="33"/>
      <c r="H28" s="212"/>
      <c r="I28" s="212"/>
      <c r="J28" s="33"/>
      <c r="K28" s="33"/>
      <c r="L28" s="213"/>
      <c r="M28" s="47"/>
      <c r="N28" s="38"/>
      <c r="O28" s="38"/>
      <c r="P28" s="38"/>
      <c r="Q28" s="38"/>
      <c r="R28" s="46"/>
      <c r="S28" s="34"/>
      <c r="T28" s="235"/>
      <c r="U28" s="214"/>
      <c r="V28" s="34"/>
      <c r="W28" s="1"/>
      <c r="X28" s="1"/>
      <c r="Y28" s="1"/>
      <c r="Z28" s="1"/>
      <c r="AA28" s="1"/>
      <c r="AB28" s="1"/>
    </row>
    <row r="29" spans="1:37" s="2" customFormat="1" hidden="1" x14ac:dyDescent="0.35">
      <c r="A29" s="33" t="s">
        <v>125</v>
      </c>
      <c r="B29" s="211">
        <v>65</v>
      </c>
      <c r="C29" s="211" t="s">
        <v>126</v>
      </c>
      <c r="D29" s="33"/>
      <c r="E29" s="33"/>
      <c r="F29" s="33"/>
      <c r="G29" s="33"/>
      <c r="H29" s="212"/>
      <c r="I29" s="212"/>
      <c r="J29" s="33"/>
      <c r="K29" s="33"/>
      <c r="L29" s="213"/>
      <c r="M29" s="47"/>
      <c r="N29" s="38"/>
      <c r="O29" s="38"/>
      <c r="P29" s="38"/>
      <c r="Q29" s="38"/>
      <c r="R29" s="46"/>
      <c r="S29" s="34"/>
      <c r="T29" s="235"/>
      <c r="U29" s="214"/>
      <c r="V29" s="34"/>
      <c r="W29" s="1"/>
      <c r="X29" s="1"/>
      <c r="Y29" s="1"/>
      <c r="Z29" s="1"/>
      <c r="AA29" s="1"/>
      <c r="AB29" s="1"/>
    </row>
    <row r="30" spans="1:37" s="2" customFormat="1" hidden="1" x14ac:dyDescent="0.35">
      <c r="A30" s="33" t="s">
        <v>127</v>
      </c>
      <c r="B30" s="211">
        <v>65</v>
      </c>
      <c r="C30" s="211" t="s">
        <v>128</v>
      </c>
      <c r="D30" s="33"/>
      <c r="E30" s="33"/>
      <c r="F30" s="33"/>
      <c r="G30" s="33"/>
      <c r="H30" s="212"/>
      <c r="I30" s="212"/>
      <c r="J30" s="33"/>
      <c r="K30" s="33"/>
      <c r="L30" s="213"/>
      <c r="M30" s="47"/>
      <c r="N30" s="38"/>
      <c r="O30" s="38"/>
      <c r="P30" s="38"/>
      <c r="Q30" s="38"/>
      <c r="R30" s="46"/>
      <c r="S30" s="34"/>
      <c r="T30" s="235"/>
      <c r="U30" s="214"/>
      <c r="V30" s="34"/>
      <c r="W30" s="1"/>
      <c r="X30" s="1"/>
      <c r="Y30" s="1"/>
      <c r="Z30" s="1"/>
      <c r="AA30" s="1"/>
      <c r="AB30" s="1"/>
    </row>
    <row r="31" spans="1:37" s="2" customFormat="1" hidden="1" x14ac:dyDescent="0.35">
      <c r="A31" s="33" t="s">
        <v>129</v>
      </c>
      <c r="B31" s="211">
        <v>325</v>
      </c>
      <c r="C31" s="211" t="s">
        <v>130</v>
      </c>
      <c r="D31" s="33"/>
      <c r="E31" s="33"/>
      <c r="F31" s="33"/>
      <c r="G31" s="33"/>
      <c r="H31" s="212"/>
      <c r="I31" s="212"/>
      <c r="J31" s="33"/>
      <c r="K31" s="33"/>
      <c r="L31" s="213"/>
      <c r="M31" s="47"/>
      <c r="N31" s="38"/>
      <c r="O31" s="38"/>
      <c r="P31" s="38"/>
      <c r="Q31" s="38"/>
      <c r="R31" s="46"/>
      <c r="S31" s="34"/>
      <c r="T31" s="235"/>
      <c r="U31" s="214"/>
      <c r="V31" s="34"/>
      <c r="W31" s="1"/>
      <c r="X31" s="1"/>
      <c r="Y31" s="1"/>
      <c r="Z31" s="1"/>
      <c r="AA31" s="1"/>
      <c r="AB31" s="1"/>
    </row>
    <row r="32" spans="1:37" s="2" customFormat="1" hidden="1" x14ac:dyDescent="0.35">
      <c r="A32" s="33" t="s">
        <v>131</v>
      </c>
      <c r="B32" s="211">
        <v>325</v>
      </c>
      <c r="C32" s="211" t="s">
        <v>132</v>
      </c>
      <c r="D32" s="33"/>
      <c r="E32" s="33"/>
      <c r="F32" s="33"/>
      <c r="G32" s="33"/>
      <c r="H32" s="212"/>
      <c r="I32" s="212"/>
      <c r="J32" s="33"/>
      <c r="K32" s="33"/>
      <c r="L32" s="213"/>
      <c r="M32" s="47"/>
      <c r="N32" s="38"/>
      <c r="O32" s="38"/>
      <c r="P32" s="38"/>
      <c r="Q32" s="38"/>
      <c r="R32" s="46"/>
      <c r="S32" s="34"/>
      <c r="T32" s="235"/>
      <c r="U32" s="214"/>
      <c r="V32" s="34"/>
      <c r="W32" s="1"/>
      <c r="X32" s="1"/>
      <c r="Y32" s="1"/>
      <c r="Z32" s="1"/>
      <c r="AA32" s="1"/>
      <c r="AB32" s="1"/>
    </row>
    <row r="33" spans="1:28" s="2" customFormat="1" hidden="1" x14ac:dyDescent="0.35">
      <c r="A33" s="33" t="s">
        <v>133</v>
      </c>
      <c r="B33" s="211">
        <v>52</v>
      </c>
      <c r="C33" s="211" t="s">
        <v>134</v>
      </c>
      <c r="D33" s="33"/>
      <c r="E33" s="33"/>
      <c r="F33" s="33"/>
      <c r="G33" s="33"/>
      <c r="H33" s="212"/>
      <c r="I33" s="212"/>
      <c r="J33" s="33"/>
      <c r="K33" s="33"/>
      <c r="L33" s="213"/>
      <c r="M33" s="47"/>
      <c r="N33" s="38"/>
      <c r="O33" s="38"/>
      <c r="P33" s="38"/>
      <c r="Q33" s="38"/>
      <c r="R33" s="46"/>
      <c r="S33" s="34"/>
      <c r="T33" s="235"/>
      <c r="U33" s="214"/>
      <c r="V33" s="34"/>
      <c r="W33" s="1"/>
      <c r="X33" s="1"/>
      <c r="Y33" s="1"/>
      <c r="Z33" s="1"/>
      <c r="AA33" s="1"/>
      <c r="AB33" s="1"/>
    </row>
    <row r="34" spans="1:28" s="2" customFormat="1" hidden="1" x14ac:dyDescent="0.35">
      <c r="A34" s="33" t="s">
        <v>135</v>
      </c>
      <c r="B34" s="211">
        <v>39</v>
      </c>
      <c r="C34" s="211" t="s">
        <v>136</v>
      </c>
      <c r="D34" s="33"/>
      <c r="E34" s="33"/>
      <c r="F34" s="33"/>
      <c r="G34" s="33"/>
      <c r="H34" s="212"/>
      <c r="I34" s="212"/>
      <c r="J34" s="33"/>
      <c r="K34" s="33"/>
      <c r="L34" s="213"/>
      <c r="M34" s="47"/>
      <c r="N34" s="38"/>
      <c r="O34" s="38"/>
      <c r="P34" s="38"/>
      <c r="Q34" s="38"/>
      <c r="R34" s="46"/>
      <c r="S34" s="34"/>
      <c r="T34" s="235"/>
      <c r="U34" s="214"/>
      <c r="V34" s="34"/>
      <c r="W34" s="1"/>
      <c r="X34" s="1"/>
      <c r="Y34" s="1"/>
      <c r="Z34" s="1"/>
      <c r="AA34" s="1"/>
      <c r="AB34" s="1"/>
    </row>
    <row r="35" spans="1:28" s="2" customFormat="1" hidden="1" x14ac:dyDescent="0.35">
      <c r="A35" s="33" t="s">
        <v>137</v>
      </c>
      <c r="B35" s="211">
        <v>50</v>
      </c>
      <c r="C35" s="211" t="s">
        <v>138</v>
      </c>
      <c r="D35" s="33"/>
      <c r="E35" s="33"/>
      <c r="F35" s="33"/>
      <c r="G35" s="33"/>
      <c r="H35" s="212"/>
      <c r="I35" s="212"/>
      <c r="J35" s="33"/>
      <c r="K35" s="33"/>
      <c r="L35" s="213"/>
      <c r="M35" s="47"/>
      <c r="N35" s="38"/>
      <c r="O35" s="38"/>
      <c r="P35" s="38"/>
      <c r="Q35" s="38"/>
      <c r="R35" s="46"/>
      <c r="S35" s="34"/>
      <c r="T35" s="235"/>
      <c r="U35" s="214"/>
      <c r="V35" s="34"/>
      <c r="W35" s="1"/>
      <c r="X35" s="1"/>
      <c r="Y35" s="1"/>
      <c r="Z35" s="1"/>
      <c r="AA35" s="1"/>
      <c r="AB35" s="1"/>
    </row>
    <row r="36" spans="1:28" s="2" customFormat="1" hidden="1" x14ac:dyDescent="0.35">
      <c r="A36" s="33" t="s">
        <v>139</v>
      </c>
      <c r="B36" s="211">
        <v>150</v>
      </c>
      <c r="C36" s="211" t="s">
        <v>140</v>
      </c>
      <c r="D36" s="33"/>
      <c r="E36" s="33"/>
      <c r="F36" s="33"/>
      <c r="G36" s="33"/>
      <c r="H36" s="212"/>
      <c r="I36" s="212"/>
      <c r="J36" s="33"/>
      <c r="K36" s="33"/>
      <c r="L36" s="213"/>
      <c r="M36" s="47"/>
      <c r="N36" s="38"/>
      <c r="O36" s="38"/>
      <c r="P36" s="38"/>
      <c r="Q36" s="38"/>
      <c r="R36" s="46"/>
      <c r="S36" s="34"/>
      <c r="T36" s="235"/>
      <c r="U36" s="214"/>
      <c r="V36" s="34"/>
      <c r="W36" s="1"/>
      <c r="X36" s="1"/>
      <c r="Y36" s="1"/>
      <c r="Z36" s="1"/>
      <c r="AA36" s="1"/>
      <c r="AB36" s="1"/>
    </row>
    <row r="37" spans="1:28" s="2" customFormat="1" hidden="1" x14ac:dyDescent="0.35">
      <c r="A37" s="33" t="s">
        <v>141</v>
      </c>
      <c r="B37" s="211">
        <v>150</v>
      </c>
      <c r="C37" s="211" t="s">
        <v>142</v>
      </c>
      <c r="D37" s="33"/>
      <c r="E37" s="33"/>
      <c r="F37" s="33"/>
      <c r="G37" s="33"/>
      <c r="H37" s="212"/>
      <c r="I37" s="212"/>
      <c r="J37" s="33"/>
      <c r="K37" s="33"/>
      <c r="L37" s="213"/>
      <c r="M37" s="47"/>
      <c r="N37" s="38"/>
      <c r="O37" s="38"/>
      <c r="P37" s="38"/>
      <c r="Q37" s="38"/>
      <c r="R37" s="46"/>
      <c r="S37" s="34"/>
      <c r="T37" s="235"/>
      <c r="U37" s="214"/>
      <c r="V37" s="34"/>
      <c r="W37" s="1"/>
      <c r="X37" s="1"/>
      <c r="Y37" s="1"/>
      <c r="Z37" s="1"/>
      <c r="AA37" s="1"/>
      <c r="AB37" s="1"/>
    </row>
    <row r="38" spans="1:28" s="2" customFormat="1" hidden="1" x14ac:dyDescent="0.35">
      <c r="A38" s="212" t="s">
        <v>143</v>
      </c>
      <c r="B38" s="491">
        <f>SUM(B21:B37)</f>
        <v>1826</v>
      </c>
      <c r="C38" s="211"/>
      <c r="D38" s="33"/>
      <c r="E38" s="33"/>
      <c r="F38" s="33"/>
      <c r="G38" s="33"/>
      <c r="H38" s="212"/>
      <c r="I38" s="212"/>
      <c r="J38" s="33"/>
      <c r="K38" s="33"/>
      <c r="L38" s="213"/>
      <c r="M38" s="47"/>
      <c r="N38" s="38"/>
      <c r="O38" s="38"/>
      <c r="P38" s="38"/>
      <c r="Q38" s="38"/>
      <c r="R38" s="46"/>
      <c r="S38" s="34"/>
      <c r="T38" s="235"/>
      <c r="U38" s="214"/>
      <c r="V38" s="34"/>
      <c r="W38" s="1"/>
      <c r="X38" s="1"/>
      <c r="Y38" s="1"/>
      <c r="Z38" s="1"/>
      <c r="AA38" s="1"/>
      <c r="AB38" s="1"/>
    </row>
    <row r="39" spans="1:28" s="2" customFormat="1" hidden="1" x14ac:dyDescent="0.35">
      <c r="A39" s="492" t="s">
        <v>144</v>
      </c>
      <c r="B39" s="211"/>
      <c r="C39" s="211"/>
      <c r="D39" s="33"/>
      <c r="E39" s="33"/>
      <c r="F39" s="33"/>
      <c r="G39" s="33"/>
      <c r="H39" s="212"/>
      <c r="I39" s="212"/>
      <c r="J39" s="33"/>
      <c r="K39" s="33"/>
      <c r="L39" s="213"/>
      <c r="M39" s="47"/>
      <c r="N39" s="38"/>
      <c r="O39" s="38"/>
      <c r="P39" s="38"/>
      <c r="Q39" s="38"/>
      <c r="R39" s="46"/>
      <c r="S39" s="34"/>
      <c r="T39" s="235"/>
      <c r="U39" s="214"/>
      <c r="V39" s="34"/>
      <c r="W39" s="1"/>
      <c r="X39" s="1"/>
      <c r="Y39" s="1"/>
      <c r="Z39" s="1"/>
      <c r="AA39" s="1"/>
      <c r="AB39" s="1"/>
    </row>
    <row r="40" spans="1:28" s="2" customFormat="1" hidden="1" x14ac:dyDescent="0.35">
      <c r="A40" s="33"/>
      <c r="B40" s="211"/>
      <c r="C40" s="211"/>
      <c r="D40" s="33"/>
      <c r="E40" s="33"/>
      <c r="F40" s="33"/>
      <c r="G40" s="33"/>
      <c r="H40" s="212"/>
      <c r="I40" s="212"/>
      <c r="J40" s="33"/>
      <c r="K40" s="33"/>
      <c r="L40" s="213"/>
      <c r="M40" s="47"/>
      <c r="N40" s="38"/>
      <c r="O40" s="38"/>
      <c r="P40" s="38"/>
      <c r="Q40" s="38"/>
      <c r="R40" s="46"/>
      <c r="S40" s="34"/>
      <c r="T40" s="235"/>
      <c r="U40" s="214"/>
      <c r="V40" s="34"/>
      <c r="W40" s="1"/>
      <c r="X40" s="1"/>
      <c r="Y40" s="1"/>
      <c r="Z40" s="1"/>
      <c r="AA40" s="1"/>
      <c r="AB40" s="1"/>
    </row>
    <row r="41" spans="1:28" s="2" customFormat="1" hidden="1" x14ac:dyDescent="0.35">
      <c r="A41" s="33"/>
      <c r="B41" s="211"/>
      <c r="C41" s="211"/>
      <c r="D41" s="33"/>
      <c r="E41" s="33"/>
      <c r="F41" s="33"/>
      <c r="G41" s="33"/>
      <c r="H41" s="212"/>
      <c r="I41" s="212"/>
      <c r="J41" s="33"/>
      <c r="K41" s="33"/>
      <c r="L41" s="213"/>
      <c r="M41" s="47"/>
      <c r="N41" s="38"/>
      <c r="O41" s="38"/>
      <c r="P41" s="38"/>
      <c r="Q41" s="38"/>
      <c r="R41" s="46"/>
      <c r="S41" s="34"/>
      <c r="T41" s="235"/>
      <c r="U41" s="214"/>
      <c r="V41" s="34"/>
      <c r="W41" s="1"/>
      <c r="X41" s="1"/>
      <c r="Y41" s="1"/>
      <c r="Z41" s="1"/>
      <c r="AA41" s="1"/>
      <c r="AB41" s="1"/>
    </row>
    <row r="42" spans="1:28" s="5" customFormat="1" ht="281.5" customHeight="1" x14ac:dyDescent="0.35">
      <c r="A42" s="38">
        <v>14</v>
      </c>
      <c r="B42" s="58" t="s">
        <v>145</v>
      </c>
      <c r="C42" s="144" t="s">
        <v>46</v>
      </c>
      <c r="D42" s="38" t="s">
        <v>146</v>
      </c>
      <c r="E42" s="150" t="s">
        <v>1142</v>
      </c>
      <c r="F42" s="38" t="s">
        <v>49</v>
      </c>
      <c r="G42" s="38" t="s">
        <v>88</v>
      </c>
      <c r="H42" s="151" t="s">
        <v>147</v>
      </c>
      <c r="I42" s="487" t="s">
        <v>52</v>
      </c>
      <c r="J42" s="38" t="s">
        <v>74</v>
      </c>
      <c r="K42" s="38" t="s">
        <v>52</v>
      </c>
      <c r="L42" s="142" t="s">
        <v>148</v>
      </c>
      <c r="M42" s="459" t="s">
        <v>149</v>
      </c>
      <c r="N42" s="38" t="s">
        <v>150</v>
      </c>
      <c r="O42" s="38" t="s">
        <v>55</v>
      </c>
      <c r="P42" s="38" t="s">
        <v>150</v>
      </c>
      <c r="Q42" s="500" t="s">
        <v>151</v>
      </c>
      <c r="R42" s="471" t="s">
        <v>56</v>
      </c>
      <c r="S42" s="171"/>
      <c r="T42" s="174"/>
      <c r="U42" s="174" t="s">
        <v>152</v>
      </c>
      <c r="V42" s="34"/>
    </row>
    <row r="43" spans="1:28" s="5" customFormat="1" ht="281.5" customHeight="1" x14ac:dyDescent="0.35">
      <c r="A43" s="38">
        <v>15</v>
      </c>
      <c r="B43" s="58" t="s">
        <v>145</v>
      </c>
      <c r="C43" s="144" t="s">
        <v>46</v>
      </c>
      <c r="D43" s="38" t="s">
        <v>146</v>
      </c>
      <c r="E43" s="150" t="s">
        <v>153</v>
      </c>
      <c r="F43" s="38" t="s">
        <v>49</v>
      </c>
      <c r="G43" s="38" t="s">
        <v>50</v>
      </c>
      <c r="H43" s="151" t="s">
        <v>154</v>
      </c>
      <c r="I43" s="487" t="s">
        <v>52</v>
      </c>
      <c r="J43" s="38" t="s">
        <v>74</v>
      </c>
      <c r="K43" s="38" t="s">
        <v>52</v>
      </c>
      <c r="L43" s="142" t="s">
        <v>148</v>
      </c>
      <c r="M43" s="459" t="s">
        <v>155</v>
      </c>
      <c r="N43" s="38" t="s">
        <v>150</v>
      </c>
      <c r="O43" s="38" t="s">
        <v>55</v>
      </c>
      <c r="P43" s="38" t="s">
        <v>150</v>
      </c>
      <c r="Q43" s="503"/>
      <c r="R43" s="471" t="s">
        <v>56</v>
      </c>
      <c r="S43" s="171"/>
      <c r="T43" s="174"/>
      <c r="U43" s="174" t="s">
        <v>152</v>
      </c>
      <c r="V43" s="34"/>
    </row>
    <row r="44" spans="1:28" s="5" customFormat="1" ht="281.5" customHeight="1" x14ac:dyDescent="0.35">
      <c r="A44" s="38">
        <v>16</v>
      </c>
      <c r="B44" s="58" t="s">
        <v>145</v>
      </c>
      <c r="C44" s="144" t="s">
        <v>46</v>
      </c>
      <c r="D44" s="38" t="s">
        <v>146</v>
      </c>
      <c r="E44" s="150" t="s">
        <v>156</v>
      </c>
      <c r="F44" s="38" t="s">
        <v>49</v>
      </c>
      <c r="G44" s="38" t="s">
        <v>50</v>
      </c>
      <c r="H44" s="151" t="s">
        <v>154</v>
      </c>
      <c r="I44" s="487" t="s">
        <v>52</v>
      </c>
      <c r="J44" s="38" t="s">
        <v>74</v>
      </c>
      <c r="K44" s="38" t="s">
        <v>52</v>
      </c>
      <c r="L44" s="142" t="s">
        <v>148</v>
      </c>
      <c r="M44" s="459" t="s">
        <v>157</v>
      </c>
      <c r="N44" s="38" t="s">
        <v>150</v>
      </c>
      <c r="O44" s="38" t="s">
        <v>55</v>
      </c>
      <c r="P44" s="38" t="s">
        <v>150</v>
      </c>
      <c r="Q44" s="503"/>
      <c r="R44" s="471" t="s">
        <v>56</v>
      </c>
      <c r="S44" s="268"/>
      <c r="T44" s="174"/>
      <c r="U44" s="174" t="s">
        <v>152</v>
      </c>
      <c r="V44" s="34"/>
    </row>
    <row r="45" spans="1:28" s="5" customFormat="1" ht="281.5" customHeight="1" x14ac:dyDescent="0.35">
      <c r="A45" s="38">
        <v>17</v>
      </c>
      <c r="B45" s="58" t="s">
        <v>145</v>
      </c>
      <c r="C45" s="144" t="s">
        <v>46</v>
      </c>
      <c r="D45" s="38" t="s">
        <v>146</v>
      </c>
      <c r="E45" s="150" t="s">
        <v>158</v>
      </c>
      <c r="F45" s="38" t="s">
        <v>49</v>
      </c>
      <c r="G45" s="38" t="s">
        <v>50</v>
      </c>
      <c r="H45" s="151" t="s">
        <v>159</v>
      </c>
      <c r="I45" s="487" t="s">
        <v>52</v>
      </c>
      <c r="J45" s="38" t="s">
        <v>74</v>
      </c>
      <c r="K45" s="38" t="s">
        <v>52</v>
      </c>
      <c r="L45" s="142" t="s">
        <v>160</v>
      </c>
      <c r="M45" s="459" t="s">
        <v>161</v>
      </c>
      <c r="N45" s="38" t="s">
        <v>150</v>
      </c>
      <c r="O45" s="38" t="s">
        <v>55</v>
      </c>
      <c r="P45" s="38" t="s">
        <v>150</v>
      </c>
      <c r="Q45" s="504"/>
      <c r="R45" s="471" t="s">
        <v>56</v>
      </c>
      <c r="T45" s="174"/>
      <c r="U45" s="174" t="s">
        <v>152</v>
      </c>
      <c r="V45" s="34"/>
    </row>
    <row r="46" spans="1:28" s="5" customFormat="1" ht="281.5" customHeight="1" x14ac:dyDescent="0.35">
      <c r="A46" s="38">
        <v>18</v>
      </c>
      <c r="B46" s="58" t="s">
        <v>45</v>
      </c>
      <c r="C46" s="144" t="s">
        <v>46</v>
      </c>
      <c r="D46" s="38" t="s">
        <v>162</v>
      </c>
      <c r="E46" s="150" t="s">
        <v>163</v>
      </c>
      <c r="F46" s="38" t="s">
        <v>49</v>
      </c>
      <c r="G46" s="38" t="s">
        <v>50</v>
      </c>
      <c r="H46" s="151" t="s">
        <v>154</v>
      </c>
      <c r="I46" s="487" t="s">
        <v>52</v>
      </c>
      <c r="J46" s="38" t="s">
        <v>53</v>
      </c>
      <c r="K46" s="38" t="s">
        <v>164</v>
      </c>
      <c r="L46" s="142" t="s">
        <v>165</v>
      </c>
      <c r="M46" s="459" t="s">
        <v>166</v>
      </c>
      <c r="N46" s="38" t="s">
        <v>55</v>
      </c>
      <c r="O46" s="38" t="s">
        <v>55</v>
      </c>
      <c r="P46" s="38" t="s">
        <v>150</v>
      </c>
      <c r="Q46" s="500" t="s">
        <v>167</v>
      </c>
      <c r="R46" s="471" t="s">
        <v>56</v>
      </c>
      <c r="S46" s="268"/>
      <c r="T46" s="174"/>
      <c r="U46" s="174" t="s">
        <v>152</v>
      </c>
      <c r="V46" s="34"/>
    </row>
    <row r="47" spans="1:28" s="5" customFormat="1" ht="281.5" customHeight="1" x14ac:dyDescent="0.35">
      <c r="A47" s="38">
        <v>19</v>
      </c>
      <c r="B47" s="58" t="s">
        <v>45</v>
      </c>
      <c r="C47" s="144" t="s">
        <v>46</v>
      </c>
      <c r="D47" s="38" t="s">
        <v>162</v>
      </c>
      <c r="E47" s="150" t="s">
        <v>168</v>
      </c>
      <c r="F47" s="38" t="s">
        <v>49</v>
      </c>
      <c r="G47" s="38" t="s">
        <v>88</v>
      </c>
      <c r="H47" s="151" t="s">
        <v>169</v>
      </c>
      <c r="I47" s="487" t="s">
        <v>52</v>
      </c>
      <c r="J47" s="38" t="s">
        <v>74</v>
      </c>
      <c r="K47" s="38" t="s">
        <v>52</v>
      </c>
      <c r="L47" s="142" t="s">
        <v>170</v>
      </c>
      <c r="M47" s="459" t="s">
        <v>171</v>
      </c>
      <c r="N47" s="38" t="s">
        <v>55</v>
      </c>
      <c r="O47" s="38" t="s">
        <v>55</v>
      </c>
      <c r="P47" s="38" t="s">
        <v>150</v>
      </c>
      <c r="Q47" s="501"/>
      <c r="R47" s="471" t="s">
        <v>56</v>
      </c>
      <c r="S47" s="268"/>
      <c r="T47" s="174"/>
      <c r="U47" s="174" t="s">
        <v>152</v>
      </c>
      <c r="V47" s="34"/>
    </row>
    <row r="48" spans="1:28" s="5" customFormat="1" ht="281.5" customHeight="1" x14ac:dyDescent="0.35">
      <c r="A48" s="38">
        <v>20</v>
      </c>
      <c r="B48" s="58" t="s">
        <v>45</v>
      </c>
      <c r="C48" s="144" t="s">
        <v>46</v>
      </c>
      <c r="D48" s="38" t="s">
        <v>162</v>
      </c>
      <c r="E48" s="150" t="s">
        <v>172</v>
      </c>
      <c r="F48" s="38" t="s">
        <v>49</v>
      </c>
      <c r="G48" s="38" t="s">
        <v>88</v>
      </c>
      <c r="H48" s="151" t="s">
        <v>173</v>
      </c>
      <c r="I48" s="487" t="s">
        <v>52</v>
      </c>
      <c r="J48" s="38" t="s">
        <v>74</v>
      </c>
      <c r="K48" s="38" t="s">
        <v>52</v>
      </c>
      <c r="L48" s="142" t="s">
        <v>170</v>
      </c>
      <c r="M48" s="459" t="s">
        <v>171</v>
      </c>
      <c r="N48" s="38" t="s">
        <v>55</v>
      </c>
      <c r="O48" s="38" t="s">
        <v>55</v>
      </c>
      <c r="P48" s="38" t="s">
        <v>150</v>
      </c>
      <c r="Q48" s="501"/>
      <c r="R48" s="471" t="s">
        <v>56</v>
      </c>
      <c r="S48" s="268"/>
      <c r="T48" s="174"/>
      <c r="U48" s="174" t="s">
        <v>152</v>
      </c>
      <c r="V48" s="34"/>
    </row>
    <row r="49" spans="1:28" s="5" customFormat="1" ht="281.5" customHeight="1" x14ac:dyDescent="0.35">
      <c r="A49" s="38">
        <v>21</v>
      </c>
      <c r="B49" s="58" t="s">
        <v>45</v>
      </c>
      <c r="C49" s="144" t="s">
        <v>46</v>
      </c>
      <c r="D49" s="38" t="s">
        <v>162</v>
      </c>
      <c r="E49" s="150" t="s">
        <v>174</v>
      </c>
      <c r="F49" s="38" t="s">
        <v>49</v>
      </c>
      <c r="G49" s="38" t="s">
        <v>71</v>
      </c>
      <c r="H49" s="151" t="s">
        <v>154</v>
      </c>
      <c r="I49" s="487" t="s">
        <v>52</v>
      </c>
      <c r="J49" s="38" t="s">
        <v>74</v>
      </c>
      <c r="K49" s="38" t="s">
        <v>52</v>
      </c>
      <c r="L49" s="142" t="s">
        <v>165</v>
      </c>
      <c r="M49" s="459" t="s">
        <v>171</v>
      </c>
      <c r="N49" s="38" t="s">
        <v>55</v>
      </c>
      <c r="O49" s="38" t="s">
        <v>55</v>
      </c>
      <c r="P49" s="38" t="s">
        <v>150</v>
      </c>
      <c r="Q49" s="501"/>
      <c r="R49" s="471" t="s">
        <v>56</v>
      </c>
      <c r="S49" s="268"/>
      <c r="T49" s="174"/>
      <c r="U49" s="174" t="s">
        <v>152</v>
      </c>
      <c r="V49" s="34"/>
    </row>
    <row r="50" spans="1:28" s="5" customFormat="1" ht="281.5" customHeight="1" x14ac:dyDescent="0.35">
      <c r="A50" s="38">
        <v>22</v>
      </c>
      <c r="B50" s="58" t="s">
        <v>45</v>
      </c>
      <c r="C50" s="144" t="s">
        <v>67</v>
      </c>
      <c r="D50" s="38" t="s">
        <v>162</v>
      </c>
      <c r="E50" s="150" t="s">
        <v>175</v>
      </c>
      <c r="F50" s="38" t="s">
        <v>49</v>
      </c>
      <c r="G50" s="38" t="s">
        <v>71</v>
      </c>
      <c r="H50" s="151" t="s">
        <v>154</v>
      </c>
      <c r="I50" s="487" t="s">
        <v>52</v>
      </c>
      <c r="J50" s="38" t="s">
        <v>74</v>
      </c>
      <c r="K50" s="38" t="s">
        <v>52</v>
      </c>
      <c r="L50" s="142" t="s">
        <v>165</v>
      </c>
      <c r="M50" s="459" t="s">
        <v>176</v>
      </c>
      <c r="N50" s="38" t="s">
        <v>55</v>
      </c>
      <c r="O50" s="38" t="s">
        <v>55</v>
      </c>
      <c r="P50" s="38" t="s">
        <v>150</v>
      </c>
      <c r="Q50" s="501"/>
      <c r="R50" s="471" t="s">
        <v>56</v>
      </c>
      <c r="S50" s="268"/>
      <c r="T50" s="174"/>
      <c r="U50" s="174" t="s">
        <v>152</v>
      </c>
      <c r="V50" s="34"/>
    </row>
    <row r="51" spans="1:28" s="5" customFormat="1" ht="281.5" customHeight="1" x14ac:dyDescent="0.35">
      <c r="A51" s="38">
        <v>23</v>
      </c>
      <c r="B51" s="58" t="s">
        <v>45</v>
      </c>
      <c r="C51" s="144" t="s">
        <v>46</v>
      </c>
      <c r="D51" s="38" t="s">
        <v>162</v>
      </c>
      <c r="E51" s="150" t="s">
        <v>177</v>
      </c>
      <c r="F51" s="38" t="s">
        <v>49</v>
      </c>
      <c r="G51" s="38" t="s">
        <v>71</v>
      </c>
      <c r="H51" s="151" t="s">
        <v>154</v>
      </c>
      <c r="I51" s="487" t="s">
        <v>52</v>
      </c>
      <c r="J51" s="38" t="s">
        <v>74</v>
      </c>
      <c r="K51" s="38" t="s">
        <v>52</v>
      </c>
      <c r="L51" s="142" t="s">
        <v>165</v>
      </c>
      <c r="M51" s="459" t="s">
        <v>178</v>
      </c>
      <c r="N51" s="38" t="s">
        <v>55</v>
      </c>
      <c r="O51" s="38" t="s">
        <v>55</v>
      </c>
      <c r="P51" s="38" t="s">
        <v>150</v>
      </c>
      <c r="Q51" s="502"/>
      <c r="R51" s="471" t="s">
        <v>56</v>
      </c>
      <c r="S51" s="268"/>
      <c r="T51" s="174"/>
      <c r="U51" s="174" t="s">
        <v>152</v>
      </c>
      <c r="V51" s="34"/>
    </row>
    <row r="52" spans="1:28" s="2" customFormat="1" ht="279.64999999999998" customHeight="1" x14ac:dyDescent="0.35">
      <c r="A52" s="38">
        <v>24</v>
      </c>
      <c r="B52" s="58" t="s">
        <v>45</v>
      </c>
      <c r="C52" s="144" t="s">
        <v>46</v>
      </c>
      <c r="D52" s="38" t="s">
        <v>179</v>
      </c>
      <c r="E52" s="150" t="s">
        <v>180</v>
      </c>
      <c r="F52" s="38" t="s">
        <v>49</v>
      </c>
      <c r="G52" s="38" t="s">
        <v>50</v>
      </c>
      <c r="H52" s="151" t="s">
        <v>154</v>
      </c>
      <c r="I52" s="487" t="s">
        <v>52</v>
      </c>
      <c r="J52" s="38" t="s">
        <v>74</v>
      </c>
      <c r="K52" s="38" t="s">
        <v>52</v>
      </c>
      <c r="L52" s="142" t="s">
        <v>165</v>
      </c>
      <c r="M52" s="459" t="s">
        <v>181</v>
      </c>
      <c r="N52" s="38" t="s">
        <v>150</v>
      </c>
      <c r="O52" s="38" t="s">
        <v>150</v>
      </c>
      <c r="P52" s="38" t="s">
        <v>55</v>
      </c>
      <c r="Q52" s="499" t="s">
        <v>182</v>
      </c>
      <c r="R52" s="46" t="s">
        <v>56</v>
      </c>
      <c r="S52" s="34"/>
      <c r="T52" s="235"/>
      <c r="U52" s="214"/>
      <c r="V52" s="34"/>
      <c r="W52" s="1"/>
      <c r="X52" s="1"/>
      <c r="Y52" s="1"/>
      <c r="Z52" s="1"/>
      <c r="AA52" s="1"/>
      <c r="AB52" s="1"/>
    </row>
    <row r="53" spans="1:28" s="2" customFormat="1" ht="305.14999999999998" customHeight="1" x14ac:dyDescent="0.35">
      <c r="A53" s="38">
        <v>25</v>
      </c>
      <c r="B53" s="58" t="s">
        <v>45</v>
      </c>
      <c r="C53" s="144" t="s">
        <v>46</v>
      </c>
      <c r="D53" s="38" t="s">
        <v>183</v>
      </c>
      <c r="E53" s="150" t="s">
        <v>184</v>
      </c>
      <c r="F53" s="38" t="s">
        <v>49</v>
      </c>
      <c r="G53" s="38" t="s">
        <v>71</v>
      </c>
      <c r="H53" s="151" t="s">
        <v>52</v>
      </c>
      <c r="I53" s="487" t="s">
        <v>52</v>
      </c>
      <c r="J53" s="38" t="s">
        <v>74</v>
      </c>
      <c r="K53" s="38" t="s">
        <v>52</v>
      </c>
      <c r="L53" s="142" t="s">
        <v>165</v>
      </c>
      <c r="M53" s="459" t="s">
        <v>185</v>
      </c>
      <c r="N53" s="38" t="s">
        <v>150</v>
      </c>
      <c r="O53" s="38" t="s">
        <v>150</v>
      </c>
      <c r="P53" s="38" t="s">
        <v>150</v>
      </c>
      <c r="Q53" s="499" t="s">
        <v>186</v>
      </c>
      <c r="R53" s="46" t="s">
        <v>56</v>
      </c>
      <c r="S53" s="34"/>
      <c r="T53" s="235"/>
      <c r="U53" s="214"/>
      <c r="V53" s="34"/>
      <c r="W53" s="1"/>
      <c r="X53" s="1"/>
      <c r="Y53" s="1"/>
      <c r="Z53" s="1"/>
      <c r="AA53" s="1"/>
      <c r="AB53" s="1"/>
    </row>
    <row r="54" spans="1:28" s="2" customFormat="1" ht="258" customHeight="1" x14ac:dyDescent="0.35">
      <c r="A54" s="38">
        <v>26</v>
      </c>
      <c r="B54" s="58" t="s">
        <v>45</v>
      </c>
      <c r="C54" s="144" t="s">
        <v>46</v>
      </c>
      <c r="D54" s="38" t="s">
        <v>187</v>
      </c>
      <c r="E54" s="150" t="s">
        <v>188</v>
      </c>
      <c r="F54" s="38" t="s">
        <v>49</v>
      </c>
      <c r="G54" s="38" t="s">
        <v>50</v>
      </c>
      <c r="H54" s="151" t="s">
        <v>52</v>
      </c>
      <c r="I54" s="487" t="s">
        <v>52</v>
      </c>
      <c r="J54" s="38" t="s">
        <v>53</v>
      </c>
      <c r="K54" s="38" t="s">
        <v>189</v>
      </c>
      <c r="L54" s="142" t="s">
        <v>165</v>
      </c>
      <c r="M54" s="459" t="s">
        <v>181</v>
      </c>
      <c r="N54" s="38" t="s">
        <v>150</v>
      </c>
      <c r="O54" s="38" t="s">
        <v>150</v>
      </c>
      <c r="P54" s="38" t="s">
        <v>55</v>
      </c>
      <c r="Q54" s="153" t="s">
        <v>190</v>
      </c>
      <c r="R54" s="46" t="s">
        <v>56</v>
      </c>
      <c r="S54" s="34"/>
      <c r="T54" s="235"/>
      <c r="U54" s="214"/>
      <c r="V54" s="34"/>
      <c r="W54" s="1"/>
      <c r="X54" s="1"/>
      <c r="Y54" s="1"/>
      <c r="Z54" s="1"/>
      <c r="AA54" s="1"/>
      <c r="AB54" s="1"/>
    </row>
    <row r="55" spans="1:28" s="2" customFormat="1" ht="192" customHeight="1" x14ac:dyDescent="0.35">
      <c r="A55" s="38">
        <v>27</v>
      </c>
      <c r="B55" s="58" t="s">
        <v>45</v>
      </c>
      <c r="C55" s="144" t="s">
        <v>46</v>
      </c>
      <c r="D55" s="38" t="s">
        <v>191</v>
      </c>
      <c r="E55" s="150" t="s">
        <v>192</v>
      </c>
      <c r="F55" s="38" t="s">
        <v>49</v>
      </c>
      <c r="G55" s="38" t="s">
        <v>50</v>
      </c>
      <c r="H55" s="151" t="s">
        <v>52</v>
      </c>
      <c r="I55" s="487" t="s">
        <v>52</v>
      </c>
      <c r="J55" s="38" t="s">
        <v>53</v>
      </c>
      <c r="K55" s="38" t="s">
        <v>189</v>
      </c>
      <c r="L55" s="142" t="s">
        <v>165</v>
      </c>
      <c r="M55" s="459" t="s">
        <v>193</v>
      </c>
      <c r="N55" s="38" t="s">
        <v>55</v>
      </c>
      <c r="O55" s="38" t="s">
        <v>150</v>
      </c>
      <c r="P55" s="38" t="s">
        <v>55</v>
      </c>
      <c r="Q55" s="153" t="s">
        <v>194</v>
      </c>
      <c r="R55" s="46" t="s">
        <v>56</v>
      </c>
      <c r="S55" s="34"/>
      <c r="T55" s="235"/>
      <c r="U55" s="214"/>
      <c r="V55" s="34"/>
      <c r="W55" s="1"/>
      <c r="X55" s="1"/>
      <c r="Y55" s="1"/>
      <c r="Z55" s="1"/>
      <c r="AA55" s="1"/>
      <c r="AB55" s="1"/>
    </row>
    <row r="56" spans="1:28" s="2" customFormat="1" x14ac:dyDescent="0.35">
      <c r="A56" s="33"/>
      <c r="B56" s="211"/>
      <c r="C56" s="211"/>
      <c r="D56" s="33"/>
      <c r="E56" s="33"/>
      <c r="F56" s="33"/>
      <c r="G56" s="33"/>
      <c r="H56" s="212"/>
      <c r="I56" s="212"/>
      <c r="J56" s="33"/>
      <c r="K56" s="33"/>
      <c r="L56" s="213"/>
      <c r="M56" s="47"/>
      <c r="N56" s="38"/>
      <c r="O56" s="38"/>
      <c r="P56" s="38"/>
      <c r="Q56" s="38"/>
      <c r="R56" s="46"/>
      <c r="S56" s="34"/>
      <c r="T56" s="235"/>
      <c r="U56" s="214"/>
      <c r="V56" s="34"/>
      <c r="W56" s="1"/>
      <c r="X56" s="1"/>
      <c r="Y56" s="1"/>
      <c r="Z56" s="1"/>
      <c r="AA56" s="1"/>
      <c r="AB56" s="1"/>
    </row>
    <row r="57" spans="1:28" s="2" customFormat="1" x14ac:dyDescent="0.35">
      <c r="A57" s="33"/>
      <c r="B57" s="211"/>
      <c r="C57" s="211"/>
      <c r="D57" s="33"/>
      <c r="E57" s="33"/>
      <c r="F57" s="33"/>
      <c r="G57" s="33"/>
      <c r="H57" s="212"/>
      <c r="I57" s="212"/>
      <c r="J57" s="33"/>
      <c r="K57" s="33"/>
      <c r="L57" s="213"/>
      <c r="M57" s="47"/>
      <c r="N57" s="38"/>
      <c r="O57" s="38"/>
      <c r="P57" s="38"/>
      <c r="Q57" s="38"/>
      <c r="R57" s="46"/>
      <c r="S57" s="34"/>
      <c r="T57" s="235"/>
      <c r="U57" s="214"/>
      <c r="V57" s="34"/>
      <c r="W57" s="1"/>
      <c r="X57" s="1"/>
      <c r="Y57" s="1"/>
      <c r="Z57" s="1"/>
      <c r="AA57" s="1"/>
      <c r="AB57" s="1"/>
    </row>
    <row r="58" spans="1:28" s="2" customFormat="1" x14ac:dyDescent="0.35">
      <c r="A58" s="33"/>
      <c r="B58" s="211"/>
      <c r="C58" s="211"/>
      <c r="D58" s="33"/>
      <c r="E58" s="33"/>
      <c r="F58" s="33"/>
      <c r="G58" s="33"/>
      <c r="H58" s="212"/>
      <c r="I58" s="212"/>
      <c r="J58" s="33"/>
      <c r="K58" s="33"/>
      <c r="L58" s="213"/>
      <c r="M58" s="47"/>
      <c r="N58" s="38"/>
      <c r="O58" s="38"/>
      <c r="P58" s="38"/>
      <c r="Q58" s="38"/>
      <c r="R58" s="46"/>
      <c r="S58" s="34"/>
      <c r="T58" s="235"/>
      <c r="U58" s="214"/>
      <c r="V58" s="34"/>
      <c r="W58" s="1"/>
      <c r="X58" s="1"/>
      <c r="Y58" s="1"/>
      <c r="Z58" s="1"/>
      <c r="AA58" s="1"/>
      <c r="AB58" s="1"/>
    </row>
    <row r="59" spans="1:28" s="2" customFormat="1" x14ac:dyDescent="0.35">
      <c r="A59" s="33"/>
      <c r="B59" s="211"/>
      <c r="C59" s="211"/>
      <c r="D59" s="33"/>
      <c r="E59" s="33"/>
      <c r="F59" s="33"/>
      <c r="G59" s="33"/>
      <c r="H59" s="212"/>
      <c r="I59" s="212"/>
      <c r="J59" s="33"/>
      <c r="K59" s="33"/>
      <c r="L59" s="213"/>
      <c r="M59" s="47"/>
      <c r="N59" s="38"/>
      <c r="O59" s="38"/>
      <c r="P59" s="38"/>
      <c r="Q59" s="38"/>
      <c r="R59" s="46"/>
      <c r="S59" s="34"/>
      <c r="T59" s="235"/>
      <c r="U59" s="214"/>
      <c r="V59" s="34"/>
      <c r="W59" s="1"/>
      <c r="X59" s="1"/>
      <c r="Y59" s="1"/>
      <c r="Z59" s="1"/>
      <c r="AA59" s="1"/>
      <c r="AB59" s="1"/>
    </row>
    <row r="60" spans="1:28" s="2" customFormat="1" x14ac:dyDescent="0.35">
      <c r="A60" s="33"/>
      <c r="B60" s="211"/>
      <c r="C60" s="211"/>
      <c r="D60" s="33"/>
      <c r="E60" s="33"/>
      <c r="F60" s="33"/>
      <c r="G60" s="33"/>
      <c r="H60" s="212"/>
      <c r="I60" s="212"/>
      <c r="J60" s="33"/>
      <c r="K60" s="33"/>
      <c r="L60" s="213"/>
      <c r="M60" s="47"/>
      <c r="N60" s="38"/>
      <c r="O60" s="38"/>
      <c r="P60" s="38"/>
      <c r="Q60" s="38"/>
      <c r="R60" s="46"/>
      <c r="S60" s="34"/>
      <c r="T60" s="235"/>
      <c r="U60" s="214"/>
      <c r="V60" s="34"/>
      <c r="W60" s="1"/>
      <c r="X60" s="1"/>
      <c r="Y60" s="1"/>
      <c r="Z60" s="1"/>
      <c r="AA60" s="1"/>
      <c r="AB60" s="1"/>
    </row>
    <row r="61" spans="1:28" s="2" customFormat="1" x14ac:dyDescent="0.35">
      <c r="A61" s="33"/>
      <c r="B61" s="211"/>
      <c r="C61" s="211"/>
      <c r="D61" s="33"/>
      <c r="E61" s="33"/>
      <c r="F61" s="33"/>
      <c r="G61" s="33"/>
      <c r="H61" s="212"/>
      <c r="I61" s="212"/>
      <c r="J61" s="33"/>
      <c r="K61" s="33"/>
      <c r="L61" s="213"/>
      <c r="M61" s="47"/>
      <c r="N61" s="38"/>
      <c r="O61" s="38"/>
      <c r="P61" s="38"/>
      <c r="Q61" s="38"/>
      <c r="R61" s="46"/>
      <c r="S61" s="34"/>
      <c r="T61" s="235"/>
      <c r="U61" s="214"/>
      <c r="V61" s="34"/>
      <c r="W61" s="1"/>
      <c r="X61" s="1"/>
      <c r="Y61" s="1"/>
      <c r="Z61" s="1"/>
      <c r="AA61" s="1"/>
      <c r="AB61" s="1"/>
    </row>
    <row r="62" spans="1:28" s="2" customFormat="1" x14ac:dyDescent="0.35">
      <c r="A62" s="33"/>
      <c r="B62" s="211"/>
      <c r="C62" s="211"/>
      <c r="D62" s="33"/>
      <c r="E62" s="33"/>
      <c r="F62" s="33"/>
      <c r="G62" s="33"/>
      <c r="H62" s="212"/>
      <c r="I62" s="212"/>
      <c r="J62" s="33"/>
      <c r="K62" s="33"/>
      <c r="L62" s="213"/>
      <c r="M62" s="47"/>
      <c r="N62" s="38"/>
      <c r="O62" s="38"/>
      <c r="P62" s="38"/>
      <c r="Q62" s="38"/>
      <c r="R62" s="46"/>
      <c r="S62" s="34"/>
      <c r="T62" s="235"/>
      <c r="U62" s="214"/>
      <c r="V62" s="34"/>
      <c r="W62" s="1"/>
      <c r="X62" s="1"/>
      <c r="Y62" s="1"/>
      <c r="Z62" s="1"/>
      <c r="AA62" s="1"/>
      <c r="AB62" s="1"/>
    </row>
    <row r="63" spans="1:28" s="2" customFormat="1" x14ac:dyDescent="0.35">
      <c r="A63" s="33"/>
      <c r="B63" s="211"/>
      <c r="C63" s="211"/>
      <c r="D63" s="33"/>
      <c r="E63" s="33"/>
      <c r="F63" s="33"/>
      <c r="G63" s="33"/>
      <c r="H63" s="212"/>
      <c r="I63" s="212"/>
      <c r="J63" s="33"/>
      <c r="K63" s="33"/>
      <c r="L63" s="213"/>
      <c r="M63" s="47"/>
      <c r="N63" s="38"/>
      <c r="O63" s="38"/>
      <c r="P63" s="38"/>
      <c r="Q63" s="38"/>
      <c r="R63" s="46"/>
      <c r="S63" s="34"/>
      <c r="T63" s="235"/>
      <c r="U63" s="214"/>
      <c r="V63" s="34"/>
      <c r="W63" s="1"/>
      <c r="X63" s="1"/>
      <c r="Y63" s="1"/>
      <c r="Z63" s="1"/>
      <c r="AA63" s="1"/>
      <c r="AB63" s="1"/>
    </row>
    <row r="64" spans="1:28" s="2" customFormat="1" x14ac:dyDescent="0.35">
      <c r="A64" s="33"/>
      <c r="B64" s="211"/>
      <c r="C64" s="211"/>
      <c r="D64" s="33"/>
      <c r="E64" s="33"/>
      <c r="F64" s="33"/>
      <c r="G64" s="33"/>
      <c r="H64" s="212"/>
      <c r="I64" s="212"/>
      <c r="J64" s="33"/>
      <c r="K64" s="33"/>
      <c r="L64" s="213"/>
      <c r="M64" s="47"/>
      <c r="N64" s="38"/>
      <c r="O64" s="38"/>
      <c r="P64" s="38"/>
      <c r="Q64" s="38"/>
      <c r="R64" s="46"/>
      <c r="S64" s="34"/>
      <c r="T64" s="235"/>
      <c r="U64" s="214"/>
      <c r="V64" s="34"/>
      <c r="W64" s="1"/>
      <c r="X64" s="1"/>
      <c r="Y64" s="1"/>
      <c r="Z64" s="1"/>
      <c r="AA64" s="1"/>
      <c r="AB64" s="1"/>
    </row>
    <row r="65" spans="1:28" s="2" customFormat="1" x14ac:dyDescent="0.35">
      <c r="A65" s="33"/>
      <c r="B65" s="211"/>
      <c r="C65" s="211"/>
      <c r="D65" s="33"/>
      <c r="E65" s="33"/>
      <c r="F65" s="33"/>
      <c r="G65" s="33"/>
      <c r="H65" s="212"/>
      <c r="I65" s="212"/>
      <c r="J65" s="33"/>
      <c r="K65" s="33"/>
      <c r="L65" s="213"/>
      <c r="M65" s="47"/>
      <c r="N65" s="38"/>
      <c r="O65" s="38"/>
      <c r="P65" s="38"/>
      <c r="Q65" s="38"/>
      <c r="R65" s="46"/>
      <c r="S65" s="34"/>
      <c r="T65" s="235"/>
      <c r="U65" s="214"/>
      <c r="V65" s="34"/>
      <c r="W65" s="1"/>
      <c r="X65" s="1"/>
      <c r="Y65" s="1"/>
      <c r="Z65" s="1"/>
      <c r="AA65" s="1"/>
      <c r="AB65" s="1"/>
    </row>
    <row r="66" spans="1:28" s="2" customFormat="1" x14ac:dyDescent="0.35">
      <c r="A66" s="33"/>
      <c r="B66" s="211"/>
      <c r="C66" s="211"/>
      <c r="D66" s="33"/>
      <c r="E66" s="33"/>
      <c r="F66" s="33"/>
      <c r="G66" s="33"/>
      <c r="H66" s="212"/>
      <c r="I66" s="212"/>
      <c r="J66" s="33"/>
      <c r="K66" s="33"/>
      <c r="L66" s="213"/>
      <c r="M66" s="47"/>
      <c r="N66" s="38"/>
      <c r="O66" s="38"/>
      <c r="P66" s="38"/>
      <c r="Q66" s="38"/>
      <c r="R66" s="46"/>
      <c r="S66" s="34"/>
      <c r="T66" s="235"/>
      <c r="U66" s="214"/>
      <c r="V66" s="34"/>
      <c r="W66" s="1"/>
      <c r="X66" s="1"/>
      <c r="Y66" s="1"/>
      <c r="Z66" s="1"/>
      <c r="AA66" s="1"/>
      <c r="AB66" s="1"/>
    </row>
  </sheetData>
  <autoFilter ref="A5:AK18" xr:uid="{640E549E-ED70-4B61-8F04-58E84EB6909D}"/>
  <mergeCells count="13">
    <mergeCell ref="Q46:Q51"/>
    <mergeCell ref="Q42:Q45"/>
    <mergeCell ref="Q6:Q9"/>
    <mergeCell ref="Q10:Q18"/>
    <mergeCell ref="A1:V1"/>
    <mergeCell ref="A2:V2"/>
    <mergeCell ref="A3:V3"/>
    <mergeCell ref="A4:E4"/>
    <mergeCell ref="F4:K4"/>
    <mergeCell ref="L4:M4"/>
    <mergeCell ref="N4:Q4"/>
    <mergeCell ref="R4:T4"/>
    <mergeCell ref="U4:V4"/>
  </mergeCells>
  <conditionalFormatting sqref="N1:P1048576">
    <cfRule type="containsText" dxfId="161" priority="8" operator="containsText" text="Yes">
      <formula>NOT(ISERROR(SEARCH("Yes",N1)))</formula>
    </cfRule>
    <cfRule type="containsText" dxfId="160" priority="9" operator="containsText" text="No">
      <formula>NOT(ISERROR(SEARCH("No",N1)))</formula>
    </cfRule>
  </conditionalFormatting>
  <conditionalFormatting sqref="R6:R18 S14">
    <cfRule type="containsText" dxfId="159" priority="6" operator="containsText" text="Revisions Needed">
      <formula>NOT(ISERROR(SEARCH("Revisions Needed",R6)))</formula>
    </cfRule>
    <cfRule type="containsText" dxfId="158" priority="7" operator="containsText" text="Approved">
      <formula>NOT(ISERROR(SEARCH("Approved",R6)))</formula>
    </cfRule>
  </conditionalFormatting>
  <conditionalFormatting sqref="R6:R1048576 S7 S14">
    <cfRule type="containsText" dxfId="157" priority="3" operator="containsText" text="Rejected">
      <formula>NOT(ISERROR(SEARCH("Rejected",R6)))</formula>
    </cfRule>
  </conditionalFormatting>
  <conditionalFormatting sqref="S7 R19:R1048576">
    <cfRule type="containsText" dxfId="156" priority="4" operator="containsText" text="Revisions Needed">
      <formula>NOT(ISERROR(SEARCH("Revisions Needed",R7)))</formula>
    </cfRule>
    <cfRule type="containsText" dxfId="155" priority="5" operator="containsText" text="Approved">
      <formula>NOT(ISERROR(SEARCH("Approved",R7)))</formula>
    </cfRule>
  </conditionalFormatting>
  <dataValidations count="4">
    <dataValidation type="list" allowBlank="1" sqref="S7 R19:R1048576" xr:uid="{B56F0E4B-1C43-424C-A29A-A426FFA47BCD}">
      <formula1>"Approved,Revisions Needed, Rejected"</formula1>
    </dataValidation>
    <dataValidation type="list" allowBlank="1" showInputMessage="1" showErrorMessage="1" sqref="C6:C1048576" xr:uid="{E64EE3A9-26AC-4BFC-9CED-6D9C0FB11A8F}">
      <formula1>"Monthly, Yearly"</formula1>
    </dataValidation>
    <dataValidation type="list" allowBlank="1" showInputMessage="1" showErrorMessage="1" sqref="N6:P1048576" xr:uid="{6E5C80D1-1765-45FB-A0B7-6E72E61FAC54}">
      <formula1>"No, Yes"</formula1>
    </dataValidation>
    <dataValidation type="list" allowBlank="1" showInputMessage="1" showErrorMessage="1" sqref="R6:R18 S14" xr:uid="{793938BF-735D-422C-AFA8-8606391FA2E4}">
      <formula1>"Approved,Revisions Needed, Rejected"</formula1>
    </dataValidation>
  </dataValidation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E549E-ED70-4B61-8F04-58E84EB6909D}">
  <sheetPr>
    <tabColor theme="6"/>
  </sheetPr>
  <dimension ref="A1:AK80"/>
  <sheetViews>
    <sheetView showGridLines="0" topLeftCell="A27" zoomScale="60" zoomScaleNormal="60" workbookViewId="0">
      <selection activeCell="G6" sqref="G6"/>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3.54296875" style="2" customWidth="1"/>
    <col min="7" max="7" width="12.453125" style="2" customWidth="1"/>
    <col min="8" max="8" width="12.81640625" style="29" customWidth="1"/>
    <col min="9" max="9" width="13.1796875" style="29" customWidth="1"/>
    <col min="10" max="10" width="15.54296875" style="2" customWidth="1"/>
    <col min="11" max="11" width="10.81640625" style="2" customWidth="1"/>
    <col min="12" max="12" width="36" style="1" customWidth="1"/>
    <col min="13" max="13" width="46.1796875" style="298" customWidth="1"/>
    <col min="14" max="14" width="12.81640625" style="76" customWidth="1"/>
    <col min="15" max="15" width="10.81640625" style="76" customWidth="1"/>
    <col min="16" max="16" width="13.1796875" style="76" customWidth="1"/>
    <col min="17" max="17" width="47.54296875" style="76" customWidth="1"/>
    <col min="18" max="18" width="20.54296875" style="76" customWidth="1"/>
    <col min="19" max="19" width="54.81640625" style="17" customWidth="1"/>
    <col min="20" max="20" width="43.7265625" style="236" customWidth="1"/>
    <col min="21" max="21" width="16.26953125" style="159" customWidth="1"/>
    <col min="22" max="22" width="76.54296875" style="17" customWidth="1"/>
    <col min="23" max="23" width="8.54296875" style="1"/>
    <col min="24" max="37" width="0" style="1" hidden="1" customWidth="1"/>
    <col min="38" max="16384" width="8.54296875" style="1"/>
  </cols>
  <sheetData>
    <row r="1" spans="1:37"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1"/>
    </row>
    <row r="2" spans="1:37" ht="37.5" customHeight="1" thickTop="1" thickBot="1" x14ac:dyDescent="0.4">
      <c r="A2" s="509" t="s">
        <v>490</v>
      </c>
      <c r="B2" s="510"/>
      <c r="C2" s="510"/>
      <c r="D2" s="510"/>
      <c r="E2" s="510"/>
      <c r="F2" s="510"/>
      <c r="G2" s="510"/>
      <c r="H2" s="510"/>
      <c r="I2" s="510"/>
      <c r="J2" s="510"/>
      <c r="K2" s="510"/>
      <c r="L2" s="510"/>
      <c r="M2" s="510"/>
      <c r="N2" s="510"/>
      <c r="O2" s="510"/>
      <c r="P2" s="510"/>
      <c r="Q2" s="510"/>
      <c r="R2" s="510"/>
      <c r="S2" s="510"/>
      <c r="T2" s="510"/>
      <c r="U2" s="510"/>
      <c r="V2" s="511"/>
    </row>
    <row r="3" spans="1:37"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row>
    <row r="4" spans="1:37" s="4" customFormat="1" ht="27.75" customHeight="1" thickTop="1" thickBot="1" x14ac:dyDescent="0.45">
      <c r="A4" s="513" t="s">
        <v>3</v>
      </c>
      <c r="B4" s="514"/>
      <c r="C4" s="514"/>
      <c r="D4" s="514"/>
      <c r="E4" s="514"/>
      <c r="F4" s="513" t="s">
        <v>4</v>
      </c>
      <c r="G4" s="514"/>
      <c r="H4" s="514"/>
      <c r="I4" s="514"/>
      <c r="J4" s="514"/>
      <c r="K4" s="515"/>
      <c r="L4" s="516" t="s">
        <v>5</v>
      </c>
      <c r="M4" s="516"/>
      <c r="N4" s="513" t="s">
        <v>6</v>
      </c>
      <c r="O4" s="514"/>
      <c r="P4" s="514"/>
      <c r="Q4" s="515"/>
      <c r="R4" s="513" t="s">
        <v>7</v>
      </c>
      <c r="S4" s="514"/>
      <c r="T4" s="515"/>
      <c r="U4" s="513" t="s">
        <v>8</v>
      </c>
      <c r="V4" s="515"/>
    </row>
    <row r="5" spans="1:37" ht="71.5" customHeight="1" thickTop="1" thickBot="1" x14ac:dyDescent="0.4">
      <c r="A5" s="10" t="s">
        <v>9</v>
      </c>
      <c r="B5" s="10" t="s">
        <v>10</v>
      </c>
      <c r="C5" s="10" t="s">
        <v>11</v>
      </c>
      <c r="D5" s="10" t="s">
        <v>12</v>
      </c>
      <c r="E5" s="10" t="s">
        <v>13</v>
      </c>
      <c r="F5" s="10" t="s">
        <v>14</v>
      </c>
      <c r="G5" s="10" t="s">
        <v>15</v>
      </c>
      <c r="H5" s="10" t="s">
        <v>16</v>
      </c>
      <c r="I5" s="10" t="s">
        <v>17</v>
      </c>
      <c r="J5" s="10" t="s">
        <v>18</v>
      </c>
      <c r="K5" s="10" t="s">
        <v>19</v>
      </c>
      <c r="L5" s="10" t="s">
        <v>20</v>
      </c>
      <c r="M5" s="10" t="s">
        <v>21</v>
      </c>
      <c r="N5" s="10" t="s">
        <v>22</v>
      </c>
      <c r="O5" s="10" t="s">
        <v>23</v>
      </c>
      <c r="P5" s="10" t="s">
        <v>24</v>
      </c>
      <c r="Q5" s="10" t="s">
        <v>25</v>
      </c>
      <c r="R5" s="468" t="s">
        <v>26</v>
      </c>
      <c r="S5" s="18" t="s">
        <v>27</v>
      </c>
      <c r="T5" s="18" t="s">
        <v>28</v>
      </c>
      <c r="U5" s="18" t="s">
        <v>29</v>
      </c>
      <c r="V5" s="433" t="s">
        <v>30</v>
      </c>
      <c r="X5" s="450" t="s">
        <v>31</v>
      </c>
      <c r="Y5" s="450" t="s">
        <v>32</v>
      </c>
      <c r="Z5" s="450" t="s">
        <v>33</v>
      </c>
      <c r="AA5" s="450" t="s">
        <v>34</v>
      </c>
      <c r="AB5" s="450" t="s">
        <v>35</v>
      </c>
      <c r="AC5" s="450" t="s">
        <v>36</v>
      </c>
      <c r="AD5" s="450" t="s">
        <v>37</v>
      </c>
      <c r="AE5" s="450" t="s">
        <v>38</v>
      </c>
      <c r="AF5" s="450" t="s">
        <v>39</v>
      </c>
      <c r="AG5" s="450" t="s">
        <v>40</v>
      </c>
      <c r="AH5" s="450" t="s">
        <v>41</v>
      </c>
      <c r="AI5" s="450" t="s">
        <v>42</v>
      </c>
      <c r="AJ5" s="450" t="s">
        <v>43</v>
      </c>
      <c r="AK5" s="450" t="s">
        <v>44</v>
      </c>
    </row>
    <row r="6" spans="1:37" s="5" customFormat="1" ht="328" customHeight="1" thickTop="1" x14ac:dyDescent="0.35">
      <c r="A6" s="117">
        <v>1</v>
      </c>
      <c r="B6" s="244" t="s">
        <v>45</v>
      </c>
      <c r="C6" s="432" t="s">
        <v>46</v>
      </c>
      <c r="D6" s="117" t="s">
        <v>491</v>
      </c>
      <c r="E6" s="436" t="s">
        <v>492</v>
      </c>
      <c r="F6" s="117" t="s">
        <v>49</v>
      </c>
      <c r="G6" s="117" t="s">
        <v>71</v>
      </c>
      <c r="H6" s="25" t="s">
        <v>154</v>
      </c>
      <c r="I6" s="441"/>
      <c r="J6" s="117" t="s">
        <v>74</v>
      </c>
      <c r="K6" s="426"/>
      <c r="L6" s="274" t="s">
        <v>493</v>
      </c>
      <c r="M6" s="458" t="str">
        <f>AB6&amp;CHAR(10)&amp;"Est. Savings: "&amp;IF(AND(ISNUMBER(SEARCH(" QAR",H6)),ISNUMBER(SEARCH(" QAR",I6))),TEXT(ROUND(VALUE(SUBSTITUTE(H6," QAR",""))-VALUE(SUBSTITUTE(I6," QAR","")),2),"0.00")&amp;" QAR",IF(AND(X6&lt;&gt;"",Y6&lt;&gt;""),TEXT(ROUND((X6/100)*Y6,2),"0.00")&amp;" QAR",IF(AND(Z6&lt;&gt;"",AA6&lt;&gt;""),TEXT(ROUND(Z6*AA6,2),"0.00")&amp;" QAR",IF(X6&lt;&gt;"",IFERROR(TEXT(ROUND((X6/100)*VALUE(SUBSTITUTE(H6," QAR","")),2),"0.00")&amp;" QAR","NA"),"NA"))))</f>
        <v>Minimum Spend 100 QAR
Est. Savings: 15.00 QAR</v>
      </c>
      <c r="N6" s="120" t="s">
        <v>55</v>
      </c>
      <c r="O6" s="120" t="s">
        <v>55</v>
      </c>
      <c r="P6" s="162" t="s">
        <v>55</v>
      </c>
      <c r="Q6" s="469" t="s">
        <v>52</v>
      </c>
      <c r="R6" s="470" t="s">
        <v>291</v>
      </c>
      <c r="S6" s="467"/>
      <c r="T6" s="179"/>
      <c r="U6" s="179" t="s">
        <v>76</v>
      </c>
      <c r="V6" s="176"/>
      <c r="X6" s="5">
        <v>15</v>
      </c>
      <c r="Y6" s="5">
        <v>100</v>
      </c>
      <c r="AB6" s="201" t="s">
        <v>494</v>
      </c>
    </row>
    <row r="7" spans="1:37" s="5" customFormat="1" ht="281.5" customHeight="1" x14ac:dyDescent="0.35">
      <c r="A7" s="117">
        <v>2</v>
      </c>
      <c r="B7" s="244" t="s">
        <v>45</v>
      </c>
      <c r="C7" s="432" t="s">
        <v>46</v>
      </c>
      <c r="D7" s="426" t="s">
        <v>495</v>
      </c>
      <c r="E7" s="150" t="s">
        <v>496</v>
      </c>
      <c r="F7" s="130" t="s">
        <v>49</v>
      </c>
      <c r="G7" s="117" t="s">
        <v>71</v>
      </c>
      <c r="H7" s="25" t="s">
        <v>154</v>
      </c>
      <c r="I7" s="441"/>
      <c r="J7" s="117" t="s">
        <v>74</v>
      </c>
      <c r="K7" s="426"/>
      <c r="L7" s="142" t="s">
        <v>199</v>
      </c>
      <c r="M7" s="458" t="str">
        <f>AB7&amp;CHAR(10)&amp;"Est. Savings: "&amp;IF(AND(ISNUMBER(SEARCH(" QAR",H7)),ISNUMBER(SEARCH(" QAR",I7))),TEXT(ROUND(VALUE(SUBSTITUTE(H7," QAR",""))-VALUE(SUBSTITUTE(I7," QAR","")),2),"0.00")&amp;" QAR",IF(AND(X7&lt;&gt;"",Y7&lt;&gt;""),TEXT(ROUND((X7/100)*Y7,2),"0.00")&amp;" QAR",IF(AND(Z7&lt;&gt;"",AA7&lt;&gt;""),TEXT(ROUND(Z7*AA7,2),"0.00")&amp;" QAR",IF(X7&lt;&gt;"",IFERROR(TEXT(ROUND((X7/100)*VALUE(SUBSTITUTE(H7," QAR","")),2),"0.00")&amp;" QAR","NA"),"NA"))))</f>
        <v>Minimum Spend 100 QAR
Est. Savings: 15.00 QAR</v>
      </c>
      <c r="N7" s="120" t="s">
        <v>55</v>
      </c>
      <c r="O7" s="120" t="s">
        <v>55</v>
      </c>
      <c r="P7" s="162" t="s">
        <v>55</v>
      </c>
      <c r="Q7" s="151" t="s">
        <v>52</v>
      </c>
      <c r="R7" s="471" t="s">
        <v>291</v>
      </c>
      <c r="S7" s="102"/>
      <c r="T7" s="174"/>
      <c r="U7" s="179" t="s">
        <v>76</v>
      </c>
      <c r="V7" s="126"/>
      <c r="X7" s="5">
        <v>15</v>
      </c>
      <c r="Y7" s="5">
        <v>100</v>
      </c>
      <c r="Z7"/>
      <c r="AA7"/>
      <c r="AB7" s="201" t="s">
        <v>494</v>
      </c>
    </row>
    <row r="8" spans="1:37" s="5" customFormat="1" ht="281.5" customHeight="1" x14ac:dyDescent="0.35">
      <c r="A8" s="117">
        <v>3</v>
      </c>
      <c r="B8" s="13" t="s">
        <v>45</v>
      </c>
      <c r="C8" s="144" t="s">
        <v>67</v>
      </c>
      <c r="D8" s="8" t="s">
        <v>497</v>
      </c>
      <c r="E8" s="8" t="s">
        <v>209</v>
      </c>
      <c r="F8" s="8" t="s">
        <v>49</v>
      </c>
      <c r="G8" s="8" t="s">
        <v>50</v>
      </c>
      <c r="H8" s="26" t="s">
        <v>154</v>
      </c>
      <c r="I8" s="448" t="s">
        <v>52</v>
      </c>
      <c r="J8" s="8" t="s">
        <v>53</v>
      </c>
      <c r="K8" s="8">
        <v>3</v>
      </c>
      <c r="L8" s="9" t="s">
        <v>498</v>
      </c>
      <c r="M8" s="460" t="str">
        <f>AB8&amp;CHAR(10)&amp;"Est. Savings: "&amp;IF(AK8&lt;&gt;"",TEXT(AK8,"0.00")&amp;" QAR",IF(AND(ISNUMBER(SEARCH(" QAR",H8)),ISNUMBER(SEARCH(" QAR",I8))),TEXT(ROUND(VALUE(SUBSTITUTE(H8," QAR",""))-VALUE(SUBSTITUTE(I8," QAR","")),2),"0.00")&amp;" QAR",IF(AND(X8&lt;&gt;"",Y8&lt;&gt;""),TEXT(ROUND((X8/100)*Y8,2),"0.00")&amp;" QAR",IF(AND(Z8&lt;&gt;"",AA8&lt;&gt;""),TEXT(ROUND(Z8*AA8,2),"0.00")&amp;" QAR",IF(X8&lt;&gt;"",IFERROR(TEXT(ROUND((X8/100)*VALUE(SUBSTITUTE(H8," QAR","")),2),"0.00")&amp;" QAR","NA"),"NA")))))</f>
        <v>Excluding steaks above 300g
Est. Savings: 120.00 QAR</v>
      </c>
      <c r="N8" s="8" t="s">
        <v>150</v>
      </c>
      <c r="O8" s="8" t="s">
        <v>150</v>
      </c>
      <c r="P8" s="132" t="s">
        <v>150</v>
      </c>
      <c r="Q8" s="220" t="s">
        <v>499</v>
      </c>
      <c r="R8" s="471" t="s">
        <v>291</v>
      </c>
      <c r="S8" s="434"/>
      <c r="T8" s="174"/>
      <c r="U8" s="179" t="s">
        <v>76</v>
      </c>
      <c r="V8" s="34"/>
      <c r="W8" s="3"/>
      <c r="X8" s="3"/>
      <c r="Y8" s="3"/>
      <c r="Z8" s="3">
        <f>1</f>
        <v>1</v>
      </c>
      <c r="AA8" s="3">
        <v>190</v>
      </c>
      <c r="AB8" s="3" t="s">
        <v>500</v>
      </c>
      <c r="AK8" s="5">
        <v>120</v>
      </c>
    </row>
    <row r="9" spans="1:37" s="5" customFormat="1" ht="281.5" customHeight="1" x14ac:dyDescent="0.35">
      <c r="A9" s="117">
        <v>4</v>
      </c>
      <c r="B9" s="13" t="s">
        <v>45</v>
      </c>
      <c r="C9" s="144" t="s">
        <v>67</v>
      </c>
      <c r="D9" s="8" t="s">
        <v>501</v>
      </c>
      <c r="E9" s="8" t="s">
        <v>315</v>
      </c>
      <c r="F9" s="8" t="s">
        <v>49</v>
      </c>
      <c r="G9" s="8" t="s">
        <v>50</v>
      </c>
      <c r="H9" s="26" t="s">
        <v>414</v>
      </c>
      <c r="I9" s="448" t="s">
        <v>52</v>
      </c>
      <c r="J9" s="8" t="s">
        <v>53</v>
      </c>
      <c r="K9" s="8">
        <v>3</v>
      </c>
      <c r="L9" s="9" t="s">
        <v>81</v>
      </c>
      <c r="M9" s="460" t="str">
        <f t="shared" ref="M9" si="0">AB9&amp;CHAR(10)&amp;"Est. Savings: "&amp;IF(AND(ISNUMBER(SEARCH(" QAR",H9)),ISNUMBER(SEARCH(" QAR",I9))),TEXT(ROUND(VALUE(SUBSTITUTE(H9," QAR",""))-VALUE(SUBSTITUTE(I9," QAR","")),2),"0.00")&amp;" QAR",IF(AND(X9&lt;&gt;"",Y9&lt;&gt;""),TEXT(ROUND((X9/100)*Y9,2),"0.00")&amp;" QAR",IF(AND(Z9&lt;&gt;"",AA9&lt;&gt;""),TEXT(ROUND(Z9*AA9,2),"0.00")&amp;" QAR",IF(X9&lt;&gt;"",IFERROR(TEXT(ROUND((X9/100)*VALUE(SUBSTITUTE(H9," QAR","")),2),"0.00")&amp;" QAR","NA"),"NA"))))</f>
        <v>NA
Est. Savings: 150.00 QAR</v>
      </c>
      <c r="N9" s="8" t="s">
        <v>150</v>
      </c>
      <c r="O9" s="8" t="s">
        <v>150</v>
      </c>
      <c r="P9" s="132" t="s">
        <v>150</v>
      </c>
      <c r="Q9" s="220" t="s">
        <v>502</v>
      </c>
      <c r="R9" s="471" t="s">
        <v>291</v>
      </c>
      <c r="S9" s="434"/>
      <c r="T9" s="174"/>
      <c r="U9" s="179" t="s">
        <v>76</v>
      </c>
      <c r="V9" s="34"/>
      <c r="W9" s="3"/>
      <c r="X9" s="3"/>
      <c r="Y9" s="3"/>
      <c r="Z9" s="3">
        <v>1</v>
      </c>
      <c r="AA9" s="3">
        <f t="shared" ref="AA9" si="1">VALUE(SUBSTITUTE(H9," QAR",""))</f>
        <v>150</v>
      </c>
      <c r="AB9" s="3" t="s">
        <v>52</v>
      </c>
    </row>
    <row r="10" spans="1:37" s="5" customFormat="1" ht="281.5" customHeight="1" x14ac:dyDescent="0.35">
      <c r="A10" s="117">
        <v>5</v>
      </c>
      <c r="B10" s="13" t="s">
        <v>45</v>
      </c>
      <c r="C10" s="144" t="s">
        <v>67</v>
      </c>
      <c r="D10" s="8" t="s">
        <v>503</v>
      </c>
      <c r="E10" s="8" t="s">
        <v>504</v>
      </c>
      <c r="F10" s="8" t="s">
        <v>49</v>
      </c>
      <c r="G10" s="8" t="s">
        <v>71</v>
      </c>
      <c r="H10" s="26" t="s">
        <v>154</v>
      </c>
      <c r="I10" s="448" t="s">
        <v>52</v>
      </c>
      <c r="J10" s="8" t="s">
        <v>53</v>
      </c>
      <c r="K10" s="8">
        <v>3</v>
      </c>
      <c r="L10" s="9" t="s">
        <v>498</v>
      </c>
      <c r="M10" s="460" t="str">
        <f>AB10&amp;CHAR(10)&amp;"Est. Savings: "&amp;IF(AK10&lt;&gt;"",TEXT(AK10,"0.00")&amp;" QAR",IF(AND(ISNUMBER(SEARCH(" QAR",H10)),ISNUMBER(SEARCH(" QAR",I10))),TEXT(ROUND(VALUE(SUBSTITUTE(H10," QAR",""))-VALUE(SUBSTITUTE(I10," QAR","")),2),"0.00")&amp;" QAR",IF(AND(X10&lt;&gt;"",Y10&lt;&gt;""),TEXT(ROUND((X10/100)*Y10,2),"0.00")&amp;" QAR",IF(AND(Z10&lt;&gt;"",AA10&lt;&gt;""),TEXT(ROUND(Z10*AA10,2),"0.00")&amp;" QAR",IF(X10&lt;&gt;"",IFERROR(TEXT(ROUND((X10/100)*VALUE(SUBSTITUTE(H10," QAR","")),2),"0.00")&amp;" QAR","NA"),"NA")))))</f>
        <v>Minimum Spend 100 QAR
Est. Savings: 60.00 QAR</v>
      </c>
      <c r="N10" s="8" t="s">
        <v>150</v>
      </c>
      <c r="O10" s="8" t="s">
        <v>55</v>
      </c>
      <c r="P10" s="132" t="s">
        <v>55</v>
      </c>
      <c r="Q10" s="220" t="s">
        <v>505</v>
      </c>
      <c r="R10" s="471" t="s">
        <v>291</v>
      </c>
      <c r="S10" s="434"/>
      <c r="T10" s="174"/>
      <c r="U10" s="179" t="s">
        <v>76</v>
      </c>
      <c r="V10" s="34"/>
      <c r="W10" s="3"/>
      <c r="X10" s="3">
        <v>25</v>
      </c>
      <c r="Y10" s="3">
        <v>100</v>
      </c>
      <c r="Z10" s="3"/>
      <c r="AA10" s="3"/>
      <c r="AB10" s="3" t="s">
        <v>494</v>
      </c>
      <c r="AK10" s="5">
        <v>60</v>
      </c>
    </row>
    <row r="11" spans="1:37" s="5" customFormat="1" ht="281.5" customHeight="1" x14ac:dyDescent="0.35">
      <c r="A11" s="117">
        <v>6</v>
      </c>
      <c r="B11" s="13" t="s">
        <v>45</v>
      </c>
      <c r="C11" s="144" t="s">
        <v>67</v>
      </c>
      <c r="D11" s="8" t="s">
        <v>506</v>
      </c>
      <c r="E11" s="8" t="s">
        <v>507</v>
      </c>
      <c r="F11" s="8" t="s">
        <v>49</v>
      </c>
      <c r="G11" s="8" t="s">
        <v>50</v>
      </c>
      <c r="H11" s="26" t="s">
        <v>508</v>
      </c>
      <c r="I11" s="448" t="s">
        <v>52</v>
      </c>
      <c r="J11" s="8" t="s">
        <v>53</v>
      </c>
      <c r="K11" s="8">
        <v>3</v>
      </c>
      <c r="L11" s="9" t="s">
        <v>509</v>
      </c>
      <c r="M11" s="460" t="str">
        <f>AB11&amp;CHAR(10)&amp;"Est. Savings: "&amp;IF(AND(ISNUMBER(SEARCH(" QAR",H11)),ISNUMBER(SEARCH(" QAR",I11))),TEXT(ROUND(VALUE(SUBSTITUTE(H11," QAR",""))-VALUE(SUBSTITUTE(I11," QAR","")),2),"0.00")&amp;" QAR",IF(AND(X11&lt;&gt;"",Y11&lt;&gt;""),TEXT(ROUND((X11/100)*Y11,2),"0.00")&amp;" QAR",IF(AND(Z11&lt;&gt;"",AA11&lt;&gt;""),TEXT(ROUND(Z11*AA11,2),"0.00")&amp;" QAR",IF(X11&lt;&gt;"",IFERROR(TEXT(ROUND((X11/100)*VALUE(SUBSTITUTE(H11," QAR","")),2),"0.00")&amp;" QAR","NA"),"NA"))))</f>
        <v>NA
Est. Savings: 190.00 QAR</v>
      </c>
      <c r="N11" s="8" t="s">
        <v>150</v>
      </c>
      <c r="O11" s="8" t="s">
        <v>150</v>
      </c>
      <c r="P11" s="132" t="s">
        <v>150</v>
      </c>
      <c r="Q11" s="220" t="s">
        <v>510</v>
      </c>
      <c r="R11" s="471" t="s">
        <v>291</v>
      </c>
      <c r="S11" s="434"/>
      <c r="T11" s="174"/>
      <c r="U11" s="179" t="s">
        <v>76</v>
      </c>
      <c r="V11" s="34"/>
      <c r="W11" s="3"/>
      <c r="X11" s="3"/>
      <c r="Y11" s="3"/>
      <c r="Z11" s="3">
        <v>1</v>
      </c>
      <c r="AA11" s="3">
        <f t="shared" ref="AA11" si="2">VALUE(SUBSTITUTE(H11," QAR",""))</f>
        <v>190</v>
      </c>
      <c r="AB11" s="3" t="s">
        <v>52</v>
      </c>
    </row>
    <row r="12" spans="1:37" s="5" customFormat="1" ht="281.5" customHeight="1" x14ac:dyDescent="0.35">
      <c r="A12" s="117">
        <v>7</v>
      </c>
      <c r="B12" s="244" t="s">
        <v>45</v>
      </c>
      <c r="C12" s="432" t="s">
        <v>67</v>
      </c>
      <c r="D12" s="426" t="s">
        <v>511</v>
      </c>
      <c r="E12" s="150" t="s">
        <v>512</v>
      </c>
      <c r="F12" s="130" t="s">
        <v>70</v>
      </c>
      <c r="G12" s="117" t="s">
        <v>71</v>
      </c>
      <c r="H12" s="25" t="s">
        <v>154</v>
      </c>
      <c r="I12" s="441" t="s">
        <v>52</v>
      </c>
      <c r="J12" s="117" t="s">
        <v>74</v>
      </c>
      <c r="K12" s="426" t="s">
        <v>52</v>
      </c>
      <c r="L12" s="142" t="s">
        <v>513</v>
      </c>
      <c r="M12" s="458" t="str">
        <f>AB12&amp;CHAR(10)&amp;"Est. Savings (avg across tiers): "&amp;TEXT(ROUND(AVERAGE(AC12-AD12,AE12-AF12,AG12-AH12,AI12-AJ12),2),"0.00")&amp;" QAR"</f>
        <v>Membership tiers (20% off): 1 month 950→760 QAR; 3 months 2400→1920 QAR; 6 months 3500→2800 QAR; 12 months 6000→4800 QAR.
Est. Savings (avg across tiers): 642.50 QAR</v>
      </c>
      <c r="N12" s="120" t="s">
        <v>150</v>
      </c>
      <c r="O12" s="120" t="s">
        <v>150</v>
      </c>
      <c r="P12" s="132" t="s">
        <v>150</v>
      </c>
      <c r="Q12" s="519" t="s">
        <v>514</v>
      </c>
      <c r="R12" s="471" t="s">
        <v>291</v>
      </c>
      <c r="S12" s="434"/>
      <c r="T12" s="174"/>
      <c r="U12" s="179" t="s">
        <v>76</v>
      </c>
      <c r="V12" s="126"/>
      <c r="X12" s="5">
        <v>20</v>
      </c>
      <c r="Z12"/>
      <c r="AA12"/>
      <c r="AB12" s="201" t="s">
        <v>515</v>
      </c>
      <c r="AC12" s="5">
        <v>950</v>
      </c>
      <c r="AD12" s="5">
        <v>760</v>
      </c>
      <c r="AE12" s="5">
        <v>2400</v>
      </c>
      <c r="AF12" s="5">
        <v>1920</v>
      </c>
      <c r="AG12" s="5">
        <v>3500</v>
      </c>
      <c r="AH12" s="5">
        <v>2800</v>
      </c>
      <c r="AI12" s="5">
        <v>6000</v>
      </c>
      <c r="AJ12" s="5">
        <v>4800</v>
      </c>
    </row>
    <row r="13" spans="1:37" s="5" customFormat="1" ht="281.5" customHeight="1" x14ac:dyDescent="0.35">
      <c r="A13" s="117">
        <v>8</v>
      </c>
      <c r="B13" s="244" t="s">
        <v>45</v>
      </c>
      <c r="C13" s="432" t="s">
        <v>67</v>
      </c>
      <c r="D13" s="426" t="s">
        <v>511</v>
      </c>
      <c r="E13" s="150" t="s">
        <v>516</v>
      </c>
      <c r="F13" s="130" t="s">
        <v>364</v>
      </c>
      <c r="G13" s="117" t="s">
        <v>50</v>
      </c>
      <c r="H13" s="25" t="s">
        <v>414</v>
      </c>
      <c r="I13" s="441" t="s">
        <v>52</v>
      </c>
      <c r="J13" s="117" t="s">
        <v>74</v>
      </c>
      <c r="K13" s="426" t="s">
        <v>52</v>
      </c>
      <c r="L13" s="142" t="s">
        <v>498</v>
      </c>
      <c r="M13" s="458" t="str">
        <f>AB13&amp;CHAR(10)&amp;"Est. Savings: "&amp;IF(AND(ISNUMBER(SEARCH(" QAR",H13)),ISNUMBER(SEARCH(" QAR",I13))),TEXT(ROUND(VALUE(SUBSTITUTE(H13," QAR",""))-VALUE(SUBSTITUTE(I13," QAR","")),2),"0.00")&amp;" QAR",IF(AND(X13&lt;&gt;"",Y13&lt;&gt;""),TEXT(ROUND((X13/100)*Y13,2),"0.00")&amp;" QAR",IF(AND(Z13&lt;&gt;"",AA13&lt;&gt;""),TEXT(ROUND(Z13*AA13,2),"0.00")&amp;" QAR",IF(X13&lt;&gt;"",IFERROR(TEXT(ROUND((X13/100)*VALUE(SUBSTITUTE(H13," QAR","")),2),"0.00")&amp;" QAR","NA"),"NA"))))</f>
        <v>Valid Friday &amp; Saturday only.
Est. Savings: 150.00 QAR</v>
      </c>
      <c r="N13" s="120" t="s">
        <v>150</v>
      </c>
      <c r="O13" s="120" t="s">
        <v>150</v>
      </c>
      <c r="P13" s="132" t="s">
        <v>150</v>
      </c>
      <c r="Q13" s="559"/>
      <c r="R13" s="471" t="s">
        <v>291</v>
      </c>
      <c r="S13" s="434"/>
      <c r="T13" s="174"/>
      <c r="U13" s="179" t="s">
        <v>76</v>
      </c>
      <c r="V13" s="126"/>
      <c r="Z13">
        <f>1</f>
        <v>1</v>
      </c>
      <c r="AA13">
        <f>VALUE(SUBSTITUTE(H13," QAR",""))</f>
        <v>150</v>
      </c>
      <c r="AB13" s="201" t="s">
        <v>517</v>
      </c>
    </row>
    <row r="14" spans="1:37" s="5" customFormat="1" ht="281.5" customHeight="1" x14ac:dyDescent="0.35">
      <c r="A14" s="117">
        <v>9</v>
      </c>
      <c r="B14" s="244" t="s">
        <v>45</v>
      </c>
      <c r="C14" s="432" t="s">
        <v>67</v>
      </c>
      <c r="D14" s="426" t="s">
        <v>511</v>
      </c>
      <c r="E14" s="150" t="s">
        <v>518</v>
      </c>
      <c r="F14" s="130" t="s">
        <v>70</v>
      </c>
      <c r="G14" s="117" t="s">
        <v>50</v>
      </c>
      <c r="H14" s="25" t="s">
        <v>104</v>
      </c>
      <c r="I14" s="441" t="s">
        <v>52</v>
      </c>
      <c r="J14" s="117" t="s">
        <v>74</v>
      </c>
      <c r="K14" s="426" t="s">
        <v>52</v>
      </c>
      <c r="L14" s="142" t="s">
        <v>498</v>
      </c>
      <c r="M14" s="458" t="str">
        <f>AB14&amp;CHAR(10)&amp;"Est. Savings: "&amp;IF(AND(ISNUMBER(SEARCH(" QAR",H14)),ISNUMBER(SEARCH(" QAR",I14))),TEXT(ROUND(VALUE(SUBSTITUTE(H14," QAR",""))-VALUE(SUBSTITUTE(I14," QAR","")),2),"0.00")&amp;" QAR",IF(AND(X14&lt;&gt;"",Y14&lt;&gt;""),TEXT(ROUND((X14/100)*Y14,2),"0.00")&amp;" QAR",IF(AND(Z14&lt;&gt;"",AA14&lt;&gt;""),TEXT(ROUND(Z14*AA14,2),"0.00")&amp;" QAR",IF(X14&lt;&gt;"",IFERROR(TEXT(ROUND((X14/100)*VALUE(SUBSTITUTE(H14," QAR","")),2),"0.00")&amp;" QAR","NA"),"NA"))))</f>
        <v>NA
Est. Savings: 200.00 QAR</v>
      </c>
      <c r="N14" s="120" t="s">
        <v>150</v>
      </c>
      <c r="O14" s="120" t="s">
        <v>150</v>
      </c>
      <c r="P14" s="132" t="s">
        <v>150</v>
      </c>
      <c r="Q14" s="559"/>
      <c r="R14" s="471" t="s">
        <v>291</v>
      </c>
      <c r="S14" s="434"/>
      <c r="T14" s="174"/>
      <c r="U14" s="179" t="s">
        <v>76</v>
      </c>
      <c r="V14" s="126"/>
      <c r="Z14">
        <f>1</f>
        <v>1</v>
      </c>
      <c r="AA14">
        <f>VALUE(SUBSTITUTE(H14," QAR",""))</f>
        <v>200</v>
      </c>
      <c r="AB14" s="201" t="s">
        <v>52</v>
      </c>
    </row>
    <row r="15" spans="1:37" s="5" customFormat="1" ht="281.5" customHeight="1" x14ac:dyDescent="0.35">
      <c r="A15" s="117">
        <v>10</v>
      </c>
      <c r="B15" s="244" t="s">
        <v>45</v>
      </c>
      <c r="C15" s="432" t="s">
        <v>67</v>
      </c>
      <c r="D15" s="426" t="s">
        <v>511</v>
      </c>
      <c r="E15" s="150" t="s">
        <v>519</v>
      </c>
      <c r="F15" s="130" t="s">
        <v>70</v>
      </c>
      <c r="G15" s="117" t="s">
        <v>50</v>
      </c>
      <c r="H15" s="25" t="s">
        <v>520</v>
      </c>
      <c r="I15" s="441" t="s">
        <v>52</v>
      </c>
      <c r="J15" s="117" t="s">
        <v>74</v>
      </c>
      <c r="K15" s="426" t="s">
        <v>52</v>
      </c>
      <c r="L15" s="142" t="s">
        <v>498</v>
      </c>
      <c r="M15" s="458" t="str">
        <f>AB15&amp;CHAR(10)&amp;"Est. Savings: "&amp;IF(AND(ISNUMBER(SEARCH(" QAR",H15)),ISNUMBER(SEARCH(" QAR",I15))),TEXT(ROUND(VALUE(SUBSTITUTE(H15," QAR",""))-VALUE(SUBSTITUTE(I15," QAR","")),2),"0.00")&amp;" QAR",IF(AND(X15&lt;&gt;"",Y15&lt;&gt;""),TEXT(ROUND((X15/100)*Y15,2),"0.00")&amp;" QAR",IF(AND(Z15&lt;&gt;"",AA15&lt;&gt;""),TEXT(ROUND(Z15*AA15,2),"0.00")&amp;" QAR",IF(X15&lt;&gt;"",IFERROR(TEXT(ROUND((X15/100)*VALUE(SUBSTITUTE(H15," QAR","")),2),"0.00")&amp;" QAR","NA"),"NA"))))</f>
        <v>NA
Est. Savings: 390.00 QAR</v>
      </c>
      <c r="N15" s="120" t="s">
        <v>150</v>
      </c>
      <c r="O15" s="120" t="s">
        <v>150</v>
      </c>
      <c r="P15" s="132" t="s">
        <v>150</v>
      </c>
      <c r="Q15" s="559"/>
      <c r="R15" s="471" t="s">
        <v>291</v>
      </c>
      <c r="S15" s="434"/>
      <c r="T15" s="174"/>
      <c r="U15" s="179" t="s">
        <v>76</v>
      </c>
      <c r="V15" s="126"/>
      <c r="Z15">
        <f>1</f>
        <v>1</v>
      </c>
      <c r="AA15">
        <f>VALUE(SUBSTITUTE(H15," QAR",""))</f>
        <v>390</v>
      </c>
      <c r="AB15" s="201" t="s">
        <v>52</v>
      </c>
    </row>
    <row r="16" spans="1:37" s="5" customFormat="1" ht="281.5" customHeight="1" x14ac:dyDescent="0.35">
      <c r="A16" s="117">
        <v>11</v>
      </c>
      <c r="B16" s="244" t="s">
        <v>45</v>
      </c>
      <c r="C16" s="432" t="s">
        <v>67</v>
      </c>
      <c r="D16" s="426" t="s">
        <v>511</v>
      </c>
      <c r="E16" s="150" t="s">
        <v>521</v>
      </c>
      <c r="F16" s="130" t="s">
        <v>70</v>
      </c>
      <c r="G16" s="117" t="s">
        <v>50</v>
      </c>
      <c r="H16" s="25" t="s">
        <v>522</v>
      </c>
      <c r="I16" s="441" t="s">
        <v>52</v>
      </c>
      <c r="J16" s="117" t="s">
        <v>74</v>
      </c>
      <c r="K16" s="426" t="s">
        <v>52</v>
      </c>
      <c r="L16" s="142" t="s">
        <v>498</v>
      </c>
      <c r="M16" s="458" t="str">
        <f>AB16&amp;CHAR(10)&amp;"Est. Savings: "&amp;IF(AND(ISNUMBER(SEARCH(" QAR",H16)),ISNUMBER(SEARCH(" QAR",I16))),TEXT(ROUND(VALUE(SUBSTITUTE(H16," QAR",""))-VALUE(SUBSTITUTE(I16," QAR","")),2),"0.00")&amp;" QAR",IF(AND(X16&lt;&gt;"",Y16&lt;&gt;""),TEXT(ROUND((X16/100)*Y16,2),"0.00")&amp;" QAR",IF(AND(Z16&lt;&gt;"",AA16&lt;&gt;""),TEXT(ROUND(Z16*AA16,2),"0.00")&amp;" QAR",IF(X16&lt;&gt;"",IFERROR(TEXT(ROUND((X16/100)*VALUE(SUBSTITUTE(H16," QAR","")),2),"0.00")&amp;" QAR","NA"),"NA"))))</f>
        <v>NA
Est. Savings: 550.00 QAR</v>
      </c>
      <c r="N16" s="120" t="s">
        <v>150</v>
      </c>
      <c r="O16" s="120" t="s">
        <v>150</v>
      </c>
      <c r="P16" s="132" t="s">
        <v>150</v>
      </c>
      <c r="Q16" s="559"/>
      <c r="R16" s="471" t="s">
        <v>291</v>
      </c>
      <c r="S16" s="434"/>
      <c r="T16" s="174"/>
      <c r="U16" s="179" t="s">
        <v>76</v>
      </c>
      <c r="V16" s="126"/>
      <c r="Z16">
        <f>1</f>
        <v>1</v>
      </c>
      <c r="AA16">
        <f>VALUE(SUBSTITUTE(H16," QAR",""))</f>
        <v>550</v>
      </c>
      <c r="AB16" s="201" t="s">
        <v>52</v>
      </c>
    </row>
    <row r="17" spans="1:28" s="5" customFormat="1" ht="281.5" customHeight="1" x14ac:dyDescent="0.35">
      <c r="A17" s="117">
        <v>12</v>
      </c>
      <c r="B17" s="244" t="s">
        <v>45</v>
      </c>
      <c r="C17" s="432" t="s">
        <v>67</v>
      </c>
      <c r="D17" s="426" t="s">
        <v>511</v>
      </c>
      <c r="E17" s="150" t="s">
        <v>523</v>
      </c>
      <c r="F17" s="130" t="s">
        <v>364</v>
      </c>
      <c r="G17" s="117" t="s">
        <v>50</v>
      </c>
      <c r="H17" s="25" t="s">
        <v>524</v>
      </c>
      <c r="I17" s="441" t="s">
        <v>52</v>
      </c>
      <c r="J17" s="117" t="s">
        <v>74</v>
      </c>
      <c r="K17" s="426" t="s">
        <v>52</v>
      </c>
      <c r="L17" s="142" t="s">
        <v>525</v>
      </c>
      <c r="M17" s="458" t="str">
        <f>AB17&amp;CHAR(10)&amp;"Est. Savings: "&amp;IF(AND(ISNUMBER(SEARCH(" QAR",H17)),ISNUMBER(SEARCH(" QAR",I17))),TEXT(ROUND(VALUE(SUBSTITUTE(H17," QAR",""))-VALUE(SUBSTITUTE(I17," QAR","")),2),"0.00")&amp;" QAR",IF(AND(X17&lt;&gt;"",Y17&lt;&gt;""),TEXT(ROUND((X17/100)*Y17,2),"0.00")&amp;" QAR",IF(AND(Z17&lt;&gt;"",AA17&lt;&gt;""),TEXT(ROUND(Z17*AA17,2),"0.00")&amp;" QAR",IF(X17&lt;&gt;"",IFERROR(TEXT(ROUND((X17/100)*VALUE(SUBSTITUTE(H17," QAR","")),2),"0.00")&amp;" QAR","NA"),"NA"))))</f>
        <v>Valid Sunday-Thursday only.
Est. Savings: 125.00 QAR</v>
      </c>
      <c r="N17" s="120" t="s">
        <v>150</v>
      </c>
      <c r="O17" s="120" t="s">
        <v>150</v>
      </c>
      <c r="P17" s="132" t="s">
        <v>150</v>
      </c>
      <c r="Q17" s="520"/>
      <c r="R17" s="471" t="s">
        <v>291</v>
      </c>
      <c r="S17" s="434"/>
      <c r="T17" s="174"/>
      <c r="U17" s="179" t="s">
        <v>76</v>
      </c>
      <c r="V17" s="126"/>
      <c r="Z17">
        <f>1</f>
        <v>1</v>
      </c>
      <c r="AA17">
        <f>VALUE(SUBSTITUTE(H17," QAR",""))</f>
        <v>125</v>
      </c>
      <c r="AB17" s="201" t="s">
        <v>526</v>
      </c>
    </row>
    <row r="18" spans="1:28" s="5" customFormat="1" ht="284.5" customHeight="1" x14ac:dyDescent="0.35">
      <c r="A18" s="117">
        <v>13</v>
      </c>
      <c r="B18" s="244" t="s">
        <v>45</v>
      </c>
      <c r="C18" s="432" t="s">
        <v>46</v>
      </c>
      <c r="D18" s="117" t="s">
        <v>527</v>
      </c>
      <c r="E18" s="150" t="s">
        <v>528</v>
      </c>
      <c r="F18" s="117" t="s">
        <v>49</v>
      </c>
      <c r="G18" s="117" t="s">
        <v>71</v>
      </c>
      <c r="H18" s="26" t="s">
        <v>529</v>
      </c>
      <c r="I18" s="441" t="str">
        <f>TEXT(ROUND(VALUE(SUBSTITUTE(H18," QAR",""))*(1-X18/100),2),"0.00")&amp;" QAR"</f>
        <v>16.50 QAR</v>
      </c>
      <c r="J18" s="117" t="s">
        <v>74</v>
      </c>
      <c r="K18" s="426" t="s">
        <v>52</v>
      </c>
      <c r="L18" s="142" t="s">
        <v>199</v>
      </c>
      <c r="M18" s="458" t="str">
        <f>AB18&amp;CHAR(10)&amp;"Est. Savings: "&amp;IF(AND(X18&lt;&gt;"",Y18&lt;&gt;""),TEXT(ROUND((X18/100)*Y18,2),"0.00")&amp;" QAR",IF(AND(Z18&lt;&gt;"",AA18&lt;&gt;""),TEXT(ROUND(Z18*AA18,2),"0.00")&amp;" QAR",IFERROR(TEXT(ROUND((X18/100)*VALUE(SUBSTITUTE(H18," QAR","")),2),"0.00")&amp;" QAR","NA")))</f>
        <v>Ingredients: Fresh tortilla bread with grilled chicken fajita, red pepper, yellow pepper, green pepper, cheddar cheese, and white cheese sauce.
Est. Savings: 5.50 QAR</v>
      </c>
      <c r="N18" s="120" t="s">
        <v>150</v>
      </c>
      <c r="O18" s="120" t="s">
        <v>55</v>
      </c>
      <c r="P18" s="162" t="s">
        <v>55</v>
      </c>
      <c r="Q18" s="517" t="s">
        <v>530</v>
      </c>
      <c r="R18" s="471" t="s">
        <v>291</v>
      </c>
      <c r="S18" s="434"/>
      <c r="T18" s="174"/>
      <c r="U18" s="179" t="s">
        <v>57</v>
      </c>
      <c r="V18" s="171"/>
      <c r="X18" s="5">
        <v>25</v>
      </c>
      <c r="AB18" s="5" t="s">
        <v>531</v>
      </c>
    </row>
    <row r="19" spans="1:28" s="5" customFormat="1" ht="248.5" customHeight="1" x14ac:dyDescent="0.35">
      <c r="A19" s="117">
        <v>14</v>
      </c>
      <c r="B19" s="244" t="s">
        <v>45</v>
      </c>
      <c r="C19" s="432" t="s">
        <v>46</v>
      </c>
      <c r="D19" s="8" t="s">
        <v>527</v>
      </c>
      <c r="E19" s="150" t="s">
        <v>532</v>
      </c>
      <c r="F19" s="117" t="s">
        <v>49</v>
      </c>
      <c r="G19" s="117" t="s">
        <v>50</v>
      </c>
      <c r="H19" s="26" t="s">
        <v>169</v>
      </c>
      <c r="I19" s="441" t="s">
        <v>52</v>
      </c>
      <c r="J19" s="117" t="s">
        <v>74</v>
      </c>
      <c r="K19" s="426" t="s">
        <v>52</v>
      </c>
      <c r="L19" s="142" t="s">
        <v>199</v>
      </c>
      <c r="M19" s="459" t="str">
        <f>AB19&amp;CHAR(10)&amp;"Est. Savings: "&amp;IF(AND(X19&lt;&gt;"",Y19&lt;&gt;""),TEXT(ROUND((X19/100)*Y19,2),"0.00")&amp;" QAR",IF(AND(Z19&lt;&gt;"",AA19&lt;&gt;""),TEXT(ROUND(Z19*AA19,2),"0.00")&amp;" QAR",IFERROR(TEXT(ROUND((X19/100)*VALUE(SUBSTITUTE(H19," QAR","")),2),"0.00")&amp;" QAR","NA")))</f>
        <v>Ingredients: Baked potato mix with scrambled egg, marinara sauce, tomato, onion, green chili, jalapeño, spring onion and mozzarella cheese.
Est. Savings: 18.00 QAR</v>
      </c>
      <c r="N19" s="120" t="s">
        <v>150</v>
      </c>
      <c r="O19" s="120" t="s">
        <v>55</v>
      </c>
      <c r="P19" s="162" t="s">
        <v>55</v>
      </c>
      <c r="Q19" s="524"/>
      <c r="R19" s="471" t="s">
        <v>291</v>
      </c>
      <c r="S19" s="434"/>
      <c r="T19" s="174"/>
      <c r="U19" s="179" t="s">
        <v>57</v>
      </c>
      <c r="V19" s="435"/>
      <c r="Z19" s="5">
        <f>1</f>
        <v>1</v>
      </c>
      <c r="AA19" s="5">
        <f>VALUE(SUBSTITUTE(H19," QAR",""))</f>
        <v>18</v>
      </c>
      <c r="AB19" s="5" t="s">
        <v>533</v>
      </c>
    </row>
    <row r="20" spans="1:28" s="5" customFormat="1" ht="211" customHeight="1" x14ac:dyDescent="0.35">
      <c r="A20" s="117">
        <v>15</v>
      </c>
      <c r="B20" s="244" t="s">
        <v>45</v>
      </c>
      <c r="C20" s="432" t="s">
        <v>46</v>
      </c>
      <c r="D20" s="8" t="s">
        <v>527</v>
      </c>
      <c r="E20" s="150" t="s">
        <v>534</v>
      </c>
      <c r="F20" s="117" t="s">
        <v>49</v>
      </c>
      <c r="G20" s="117" t="s">
        <v>71</v>
      </c>
      <c r="H20" s="26" t="s">
        <v>535</v>
      </c>
      <c r="I20" s="441" t="str">
        <f>TEXT(ROUND(VALUE(SUBSTITUTE(H20," QAR",""))*(1-X20/100),2),"0.00")&amp;" QAR"</f>
        <v>149.25 QAR</v>
      </c>
      <c r="J20" s="117" t="s">
        <v>74</v>
      </c>
      <c r="K20" s="426" t="s">
        <v>52</v>
      </c>
      <c r="L20" s="142" t="s">
        <v>199</v>
      </c>
      <c r="M20" s="459" t="str">
        <f>AB20&amp;CHAR(10)&amp;"Est. Savings: "&amp;IF(AND(X20&lt;&gt;"",Y20&lt;&gt;""),TEXT(ROUND((X20/100)*Y20,2),"0.00")&amp;" QAR",IF(AND(Z20&lt;&gt;"",AA20&lt;&gt;""),TEXT(ROUND(Z20*AA20,2),"0.00")&amp;" QAR",IFERROR(TEXT(ROUND((X20/100)*VALUE(SUBSTITUTE(H20," QAR","")),2),"0.00")&amp;" QAR","NA")))</f>
        <v>Serves 6 (sharing box) — includes 24 wrap pieces: BBQ wrap x1, Teriyaki wrap x1, Fajita wrap x2, Grilled Beef Steak wrap x2; plus 6 pcs Crispy Chicken Strips, Regular French Fries, and sauces (Animal sauce, Chipotle Mayo, Ranch).
Est. Savings: 49.75 QAR</v>
      </c>
      <c r="N20" s="120" t="s">
        <v>150</v>
      </c>
      <c r="O20" s="120" t="s">
        <v>55</v>
      </c>
      <c r="P20" s="162" t="s">
        <v>55</v>
      </c>
      <c r="Q20" s="518"/>
      <c r="R20" s="473" t="s">
        <v>291</v>
      </c>
      <c r="S20" s="434"/>
      <c r="T20" s="174"/>
      <c r="U20" s="179" t="s">
        <v>57</v>
      </c>
      <c r="V20" s="435"/>
      <c r="X20" s="5">
        <v>25</v>
      </c>
      <c r="AA20"/>
      <c r="AB20" s="5" t="s">
        <v>536</v>
      </c>
    </row>
    <row r="21" spans="1:28" s="5" customFormat="1" ht="187" customHeight="1" x14ac:dyDescent="0.35">
      <c r="A21" s="117">
        <v>16</v>
      </c>
      <c r="B21" s="244" t="s">
        <v>45</v>
      </c>
      <c r="C21" s="432" t="s">
        <v>67</v>
      </c>
      <c r="D21" s="8" t="s">
        <v>537</v>
      </c>
      <c r="E21" s="8" t="s">
        <v>538</v>
      </c>
      <c r="F21" s="117" t="s">
        <v>70</v>
      </c>
      <c r="G21" s="117" t="s">
        <v>71</v>
      </c>
      <c r="H21" s="26" t="s">
        <v>539</v>
      </c>
      <c r="I21" s="441" t="s">
        <v>479</v>
      </c>
      <c r="J21" s="117" t="s">
        <v>74</v>
      </c>
      <c r="K21" s="426" t="s">
        <v>52</v>
      </c>
      <c r="L21" s="142" t="s">
        <v>540</v>
      </c>
      <c r="M21" s="459" t="str">
        <f t="shared" ref="M21:M30" si="3">AB21&amp;CHAR(10)&amp;"Est. Savings: "&amp;IF(AND(ISNUMBER(SEARCH(" QAR",H21)),ISNUMBER(SEARCH(" QAR",I21))),TEXT(ROUND(VALUE(SUBSTITUTE(H21," QAR",""))-VALUE(SUBSTITUTE(I21," QAR","")),2),"0.00")&amp;" QAR",IF(AND(X21&lt;&gt;"",Y21&lt;&gt;""),TEXT(ROUND((X21/100)*Y21,2),"0.00")&amp;" QAR",IF(AND(Z21&lt;&gt;"",AA21&lt;&gt;""),TEXT(ROUND(Z21*AA21,2),"0.00")&amp;" QAR",IF(X21&lt;&gt;"",IFERROR(TEXT(ROUND((X21/100)*VALUE(SUBSTITUTE(H21," QAR","")),2),"0.00")&amp;" QAR","NA"),"NA"))))</f>
        <v>Includes: diagnostic X-ray + free expert consultation.
Est. Savings: 2550.00 QAR</v>
      </c>
      <c r="N21" s="120" t="s">
        <v>55</v>
      </c>
      <c r="O21" s="120" t="s">
        <v>55</v>
      </c>
      <c r="P21" s="162" t="s">
        <v>55</v>
      </c>
      <c r="Q21" s="556" t="s">
        <v>52</v>
      </c>
      <c r="R21" s="471" t="s">
        <v>291</v>
      </c>
      <c r="S21" s="434"/>
      <c r="T21" s="265"/>
      <c r="U21" s="179" t="s">
        <v>57</v>
      </c>
      <c r="V21" s="435"/>
      <c r="X21" s="5">
        <f t="shared" ref="X21:X26" si="4">ROUND((VALUE(SUBSTITUTE(H21," QAR",""))-VALUE(SUBSTITUTE(I21," QAR","")))/VALUE(SUBSTITUTE(H21," QAR",""))*100,0)</f>
        <v>81</v>
      </c>
      <c r="AB21" s="5" t="s">
        <v>541</v>
      </c>
    </row>
    <row r="22" spans="1:28" s="5" customFormat="1" ht="202.5" customHeight="1" x14ac:dyDescent="0.35">
      <c r="A22" s="117">
        <v>17</v>
      </c>
      <c r="B22" s="244" t="s">
        <v>45</v>
      </c>
      <c r="C22" s="8" t="s">
        <v>67</v>
      </c>
      <c r="D22" s="8" t="s">
        <v>537</v>
      </c>
      <c r="E22" s="8" t="s">
        <v>542</v>
      </c>
      <c r="F22" s="117" t="s">
        <v>70</v>
      </c>
      <c r="G22" s="117" t="s">
        <v>71</v>
      </c>
      <c r="H22" s="26" t="s">
        <v>543</v>
      </c>
      <c r="I22" s="441" t="s">
        <v>207</v>
      </c>
      <c r="J22" s="117" t="s">
        <v>74</v>
      </c>
      <c r="K22" s="426" t="s">
        <v>52</v>
      </c>
      <c r="L22" s="142" t="s">
        <v>540</v>
      </c>
      <c r="M22" s="459" t="str">
        <f t="shared" si="3"/>
        <v>Includes: free dental check-up and consultation.
Est. Savings: 561.00 QAR</v>
      </c>
      <c r="N22" s="120" t="s">
        <v>55</v>
      </c>
      <c r="O22" s="120" t="s">
        <v>55</v>
      </c>
      <c r="P22" s="162" t="s">
        <v>55</v>
      </c>
      <c r="Q22" s="557"/>
      <c r="R22" s="471" t="s">
        <v>291</v>
      </c>
      <c r="S22" s="434"/>
      <c r="T22" s="265"/>
      <c r="U22" s="179" t="s">
        <v>57</v>
      </c>
      <c r="V22" s="435"/>
      <c r="X22" s="5">
        <f t="shared" si="4"/>
        <v>80</v>
      </c>
      <c r="AB22" s="5" t="s">
        <v>544</v>
      </c>
    </row>
    <row r="23" spans="1:28" s="5" customFormat="1" ht="209.5" customHeight="1" x14ac:dyDescent="0.35">
      <c r="A23" s="117">
        <v>18</v>
      </c>
      <c r="B23" s="244" t="s">
        <v>45</v>
      </c>
      <c r="C23" s="8" t="s">
        <v>67</v>
      </c>
      <c r="D23" s="8" t="s">
        <v>537</v>
      </c>
      <c r="E23" s="8" t="s">
        <v>545</v>
      </c>
      <c r="F23" s="8" t="s">
        <v>70</v>
      </c>
      <c r="G23" s="8" t="s">
        <v>71</v>
      </c>
      <c r="H23" s="26" t="s">
        <v>84</v>
      </c>
      <c r="I23" s="441" t="s">
        <v>546</v>
      </c>
      <c r="J23" s="8" t="s">
        <v>74</v>
      </c>
      <c r="K23" s="8" t="s">
        <v>52</v>
      </c>
      <c r="L23" s="142" t="s">
        <v>540</v>
      </c>
      <c r="M23" s="460" t="str">
        <f t="shared" si="3"/>
        <v>Includes: free consultation with restorative specialists.
Est. Savings: 601.00 QAR</v>
      </c>
      <c r="N23" s="120" t="s">
        <v>55</v>
      </c>
      <c r="O23" s="120" t="s">
        <v>55</v>
      </c>
      <c r="P23" s="162" t="s">
        <v>55</v>
      </c>
      <c r="Q23" s="557"/>
      <c r="R23" s="471" t="s">
        <v>291</v>
      </c>
      <c r="S23" s="434"/>
      <c r="T23" s="174"/>
      <c r="U23" s="179" t="s">
        <v>57</v>
      </c>
      <c r="V23" s="435"/>
      <c r="X23" s="5">
        <f t="shared" si="4"/>
        <v>40</v>
      </c>
      <c r="AB23" s="5" t="s">
        <v>547</v>
      </c>
    </row>
    <row r="24" spans="1:28" s="5" customFormat="1" ht="213" customHeight="1" x14ac:dyDescent="0.35">
      <c r="A24" s="117">
        <v>19</v>
      </c>
      <c r="B24" s="244" t="s">
        <v>45</v>
      </c>
      <c r="C24" s="8" t="s">
        <v>67</v>
      </c>
      <c r="D24" s="8" t="s">
        <v>537</v>
      </c>
      <c r="E24" s="8" t="s">
        <v>548</v>
      </c>
      <c r="F24" s="8" t="s">
        <v>70</v>
      </c>
      <c r="G24" s="8" t="s">
        <v>71</v>
      </c>
      <c r="H24" s="26" t="s">
        <v>93</v>
      </c>
      <c r="I24" s="441" t="s">
        <v>546</v>
      </c>
      <c r="J24" s="8" t="s">
        <v>74</v>
      </c>
      <c r="K24" s="8" t="s">
        <v>52</v>
      </c>
      <c r="L24" s="142" t="s">
        <v>540</v>
      </c>
      <c r="M24" s="460" t="str">
        <f t="shared" si="3"/>
        <v>Includes: free consultation.
Est. Savings: 1101.00 QAR</v>
      </c>
      <c r="N24" s="120" t="s">
        <v>55</v>
      </c>
      <c r="O24" s="120" t="s">
        <v>55</v>
      </c>
      <c r="P24" s="162" t="s">
        <v>55</v>
      </c>
      <c r="Q24" s="557"/>
      <c r="R24" s="471" t="s">
        <v>291</v>
      </c>
      <c r="S24" s="434"/>
      <c r="T24" s="174"/>
      <c r="U24" s="179" t="s">
        <v>57</v>
      </c>
      <c r="V24" s="435"/>
      <c r="X24" s="5">
        <f t="shared" si="4"/>
        <v>55</v>
      </c>
      <c r="AB24" s="5" t="s">
        <v>549</v>
      </c>
    </row>
    <row r="25" spans="1:28" s="5" customFormat="1" ht="252.65" customHeight="1" x14ac:dyDescent="0.35">
      <c r="A25" s="117">
        <v>20</v>
      </c>
      <c r="B25" s="244" t="s">
        <v>45</v>
      </c>
      <c r="C25" s="8" t="s">
        <v>67</v>
      </c>
      <c r="D25" s="8" t="s">
        <v>537</v>
      </c>
      <c r="E25" s="8" t="s">
        <v>550</v>
      </c>
      <c r="F25" s="8" t="s">
        <v>70</v>
      </c>
      <c r="G25" s="8" t="s">
        <v>71</v>
      </c>
      <c r="H25" s="26" t="s">
        <v>543</v>
      </c>
      <c r="I25" s="441" t="s">
        <v>551</v>
      </c>
      <c r="J25" s="8" t="s">
        <v>74</v>
      </c>
      <c r="K25" s="8" t="s">
        <v>52</v>
      </c>
      <c r="L25" s="142" t="s">
        <v>540</v>
      </c>
      <c r="M25" s="460" t="str">
        <f t="shared" si="3"/>
        <v>Includes: free professional consultation.
Est. Savings: 600.00 QAR</v>
      </c>
      <c r="N25" s="120" t="s">
        <v>55</v>
      </c>
      <c r="O25" s="120" t="s">
        <v>55</v>
      </c>
      <c r="P25" s="162" t="s">
        <v>55</v>
      </c>
      <c r="Q25" s="557"/>
      <c r="R25" s="471" t="s">
        <v>291</v>
      </c>
      <c r="S25" s="434"/>
      <c r="T25" s="449"/>
      <c r="U25" s="179" t="s">
        <v>57</v>
      </c>
      <c r="V25" s="435"/>
      <c r="X25" s="5">
        <f t="shared" si="4"/>
        <v>86</v>
      </c>
      <c r="AB25" s="5" t="s">
        <v>552</v>
      </c>
    </row>
    <row r="26" spans="1:28" s="5" customFormat="1" ht="248.15" customHeight="1" x14ac:dyDescent="0.35">
      <c r="A26" s="117">
        <v>21</v>
      </c>
      <c r="B26" s="244" t="s">
        <v>45</v>
      </c>
      <c r="C26" s="8" t="s">
        <v>67</v>
      </c>
      <c r="D26" s="8" t="s">
        <v>537</v>
      </c>
      <c r="E26" s="8" t="s">
        <v>553</v>
      </c>
      <c r="F26" s="8" t="s">
        <v>70</v>
      </c>
      <c r="G26" s="8" t="s">
        <v>71</v>
      </c>
      <c r="H26" s="26" t="s">
        <v>554</v>
      </c>
      <c r="I26" s="441" t="s">
        <v>85</v>
      </c>
      <c r="J26" s="117" t="s">
        <v>74</v>
      </c>
      <c r="K26" s="426" t="s">
        <v>52</v>
      </c>
      <c r="L26" s="142" t="s">
        <v>540</v>
      </c>
      <c r="M26" s="461" t="str">
        <f t="shared" si="3"/>
        <v>Includes: free comprehensive consultation.
Est. Savings: 2250.00 QAR</v>
      </c>
      <c r="N26" s="120" t="s">
        <v>55</v>
      </c>
      <c r="O26" s="120" t="s">
        <v>55</v>
      </c>
      <c r="P26" s="162" t="s">
        <v>55</v>
      </c>
      <c r="Q26" s="557"/>
      <c r="R26" s="471" t="s">
        <v>291</v>
      </c>
      <c r="S26" s="434"/>
      <c r="T26" s="174"/>
      <c r="U26" s="179" t="s">
        <v>57</v>
      </c>
      <c r="V26" s="435"/>
      <c r="X26" s="5">
        <f t="shared" si="4"/>
        <v>75</v>
      </c>
      <c r="AB26" s="5" t="s">
        <v>555</v>
      </c>
    </row>
    <row r="27" spans="1:28" s="3" customFormat="1" ht="196" customHeight="1" x14ac:dyDescent="0.35">
      <c r="A27" s="117">
        <v>22</v>
      </c>
      <c r="B27" s="244" t="s">
        <v>45</v>
      </c>
      <c r="C27" s="8" t="s">
        <v>46</v>
      </c>
      <c r="D27" s="8" t="s">
        <v>537</v>
      </c>
      <c r="E27" s="8" t="s">
        <v>556</v>
      </c>
      <c r="F27" s="8" t="s">
        <v>70</v>
      </c>
      <c r="G27" s="8" t="s">
        <v>88</v>
      </c>
      <c r="H27" s="26" t="s">
        <v>557</v>
      </c>
      <c r="I27" s="441" t="s">
        <v>52</v>
      </c>
      <c r="J27" s="117" t="s">
        <v>74</v>
      </c>
      <c r="K27" s="426" t="s">
        <v>52</v>
      </c>
      <c r="L27" s="142" t="s">
        <v>540</v>
      </c>
      <c r="M27" s="461" t="str">
        <f>AB27&amp;CHAR(10)&amp;"Est. Savings (vs. individual test prices): "&amp;TEXT(ROUND(B52-VALUE(SUBSTITUTE(H27," QAR","")),2),"0.00")&amp;" QAR"</f>
        <v>Full-body screening package — 25 tests &amp; consultations in one visit: Blood Profile (CBC, Hemoglobin, RBC, Platelets, WBC Differential, Hematocrit, MCV, MCH, MCHC); Heart &amp; Metabolic (ECG, Total Cholesterol, Triglycerides, Fasting/Random Blood Sugar); Organ Function (SGPT/LFT, Creatinine/KFT, Uric Acid); General Screening (Urine Analysis, Blood Pressure, BMI); Doctor Consultations (Physician &amp; Dental).
Est. Savings (vs. individual test prices): 1677.00 QAR</v>
      </c>
      <c r="N27" s="120" t="s">
        <v>55</v>
      </c>
      <c r="O27" s="120" t="s">
        <v>55</v>
      </c>
      <c r="P27" s="162" t="s">
        <v>55</v>
      </c>
      <c r="Q27" s="558"/>
      <c r="R27" s="471" t="s">
        <v>291</v>
      </c>
      <c r="S27" s="434"/>
      <c r="T27" s="174"/>
      <c r="U27" s="179" t="s">
        <v>57</v>
      </c>
      <c r="V27" s="435"/>
      <c r="AB27" s="3" t="s">
        <v>558</v>
      </c>
    </row>
    <row r="28" spans="1:28" s="3" customFormat="1" ht="260.5" customHeight="1" x14ac:dyDescent="0.35">
      <c r="A28" s="117">
        <v>23</v>
      </c>
      <c r="B28" s="244" t="s">
        <v>45</v>
      </c>
      <c r="C28" s="8" t="s">
        <v>46</v>
      </c>
      <c r="D28" s="8" t="s">
        <v>559</v>
      </c>
      <c r="E28" s="8" t="s">
        <v>560</v>
      </c>
      <c r="F28" s="8" t="s">
        <v>49</v>
      </c>
      <c r="G28" s="8" t="s">
        <v>71</v>
      </c>
      <c r="H28" s="26">
        <v>50</v>
      </c>
      <c r="I28" s="448" t="str">
        <f>TEXT(ROUND(VALUE(SUBSTITUTE(H28," QAR",""))*(1-X28/100),2),"0.00")&amp;" QAR"</f>
        <v>37.50 QAR</v>
      </c>
      <c r="J28" s="117" t="s">
        <v>74</v>
      </c>
      <c r="K28" s="426" t="s">
        <v>52</v>
      </c>
      <c r="L28" s="142" t="s">
        <v>540</v>
      </c>
      <c r="M28" s="461" t="str">
        <f t="shared" si="3"/>
        <v>Ingredients: Chicken, onion, zucchini, green peppers, green onion; Szechuan sauce, Teriyaki sauce, Thai Hot sauce.
Est. Savings: 12.50 QAR</v>
      </c>
      <c r="N28" s="38" t="s">
        <v>150</v>
      </c>
      <c r="O28" s="120" t="s">
        <v>55</v>
      </c>
      <c r="P28" s="162" t="s">
        <v>55</v>
      </c>
      <c r="Q28" s="517" t="s">
        <v>561</v>
      </c>
      <c r="R28" s="471" t="s">
        <v>291</v>
      </c>
      <c r="S28" s="434"/>
      <c r="T28" s="174"/>
      <c r="U28" s="179" t="s">
        <v>57</v>
      </c>
      <c r="V28" s="34"/>
      <c r="X28" s="3">
        <v>25</v>
      </c>
      <c r="AB28" s="3" t="s">
        <v>562</v>
      </c>
    </row>
    <row r="29" spans="1:28" s="3" customFormat="1" ht="209.5" customHeight="1" x14ac:dyDescent="0.35">
      <c r="A29" s="117">
        <v>24</v>
      </c>
      <c r="B29" s="13" t="s">
        <v>45</v>
      </c>
      <c r="C29" s="144" t="s">
        <v>46</v>
      </c>
      <c r="D29" s="8" t="s">
        <v>559</v>
      </c>
      <c r="E29" s="8" t="s">
        <v>563</v>
      </c>
      <c r="F29" s="8" t="s">
        <v>49</v>
      </c>
      <c r="G29" s="8" t="s">
        <v>71</v>
      </c>
      <c r="H29" s="26">
        <v>48</v>
      </c>
      <c r="I29" s="457" t="str">
        <f>TEXT(ROUND(VALUE(SUBSTITUTE(H29," QAR",""))*(1-X29/100),2),"0.00")&amp;" QAR"</f>
        <v>36.00 QAR</v>
      </c>
      <c r="J29" s="8" t="s">
        <v>74</v>
      </c>
      <c r="K29" s="132" t="s">
        <v>52</v>
      </c>
      <c r="L29" s="142" t="s">
        <v>540</v>
      </c>
      <c r="M29" s="462" t="str">
        <f t="shared" si="3"/>
        <v>Ingredients: Beef, onion, zucchini, green peppers, green onion; Shanghai sauce, Teriyaki sauce, Thai Hot sauce, Stir Fry sauce.
Est. Savings: 12.00 QAR</v>
      </c>
      <c r="N29" s="38" t="s">
        <v>150</v>
      </c>
      <c r="O29" s="120" t="s">
        <v>55</v>
      </c>
      <c r="P29" s="162" t="s">
        <v>55</v>
      </c>
      <c r="Q29" s="524"/>
      <c r="R29" s="471" t="s">
        <v>291</v>
      </c>
      <c r="S29" s="434"/>
      <c r="T29" s="174"/>
      <c r="U29" s="179" t="s">
        <v>57</v>
      </c>
      <c r="V29" s="34"/>
      <c r="X29" s="3">
        <v>25</v>
      </c>
      <c r="AB29" s="3" t="s">
        <v>564</v>
      </c>
    </row>
    <row r="30" spans="1:28" s="3" customFormat="1" ht="164.5" customHeight="1" x14ac:dyDescent="0.35">
      <c r="A30" s="117">
        <v>25</v>
      </c>
      <c r="B30" s="13" t="s">
        <v>45</v>
      </c>
      <c r="C30" s="144" t="s">
        <v>46</v>
      </c>
      <c r="D30" s="8" t="s">
        <v>559</v>
      </c>
      <c r="E30" s="8" t="s">
        <v>565</v>
      </c>
      <c r="F30" s="8" t="s">
        <v>49</v>
      </c>
      <c r="G30" s="8" t="s">
        <v>50</v>
      </c>
      <c r="H30" s="26" t="s">
        <v>566</v>
      </c>
      <c r="I30" s="448" t="s">
        <v>52</v>
      </c>
      <c r="J30" s="8" t="s">
        <v>74</v>
      </c>
      <c r="K30" s="8" t="s">
        <v>52</v>
      </c>
      <c r="L30" s="142" t="s">
        <v>540</v>
      </c>
      <c r="M30" s="460" t="str">
        <f t="shared" si="3"/>
        <v>Ingredients: Chicken with mushroom, red and green capsicum, broccoli, spring onion, cashew nuts, Shanghai sauce and rice.
Est. Savings: 33.00 QAR</v>
      </c>
      <c r="N30" s="38" t="s">
        <v>150</v>
      </c>
      <c r="O30" s="120" t="s">
        <v>55</v>
      </c>
      <c r="P30" s="162" t="s">
        <v>55</v>
      </c>
      <c r="Q30" s="518"/>
      <c r="R30" s="472" t="s">
        <v>291</v>
      </c>
      <c r="S30" s="434"/>
      <c r="T30" s="174"/>
      <c r="U30" s="179" t="s">
        <v>57</v>
      </c>
      <c r="V30" s="34"/>
      <c r="Z30" s="3">
        <f>1</f>
        <v>1</v>
      </c>
      <c r="AA30" s="3">
        <f t="shared" ref="AA30:AA31" si="5">VALUE(SUBSTITUTE(H30," QAR",""))</f>
        <v>33</v>
      </c>
      <c r="AB30" s="3" t="s">
        <v>567</v>
      </c>
    </row>
    <row r="31" spans="1:28" s="3" customFormat="1" ht="153" customHeight="1" x14ac:dyDescent="0.35">
      <c r="A31" s="8"/>
      <c r="B31" s="13"/>
      <c r="C31" s="144"/>
      <c r="D31" s="8"/>
      <c r="E31" s="8"/>
      <c r="F31" s="8"/>
      <c r="G31" s="8"/>
      <c r="H31" s="26"/>
      <c r="I31" s="448"/>
      <c r="J31" s="8"/>
      <c r="K31" s="8"/>
      <c r="L31" s="9"/>
      <c r="M31" s="456"/>
      <c r="N31" s="8"/>
      <c r="O31" s="8"/>
      <c r="P31" s="132"/>
      <c r="Q31" s="75"/>
      <c r="R31" s="130"/>
      <c r="S31" s="169"/>
      <c r="T31" s="174"/>
      <c r="U31" s="179"/>
      <c r="V31" s="34"/>
      <c r="Z31" s="3">
        <v>1</v>
      </c>
      <c r="AA31" s="3" t="e">
        <f t="shared" si="5"/>
        <v>#VALUE!</v>
      </c>
      <c r="AB31" s="3" t="s">
        <v>52</v>
      </c>
    </row>
    <row r="32" spans="1:28" ht="79.5" customHeight="1" x14ac:dyDescent="0.4">
      <c r="A32" s="19"/>
      <c r="B32" s="20"/>
      <c r="C32" s="144"/>
      <c r="D32" s="19"/>
      <c r="E32" s="19"/>
      <c r="F32" s="19"/>
      <c r="G32" s="19"/>
      <c r="H32" s="28"/>
      <c r="I32" s="28"/>
      <c r="J32" s="19"/>
      <c r="K32" s="19"/>
      <c r="L32" s="21"/>
      <c r="M32" s="132"/>
      <c r="N32" s="38"/>
      <c r="O32" s="38"/>
      <c r="P32" s="136"/>
      <c r="Q32" s="38"/>
      <c r="R32" s="102"/>
      <c r="S32" s="170"/>
      <c r="T32" s="174"/>
      <c r="U32" s="175"/>
      <c r="V32" s="34"/>
    </row>
    <row r="33" spans="1:28" ht="16" hidden="1" x14ac:dyDescent="0.35">
      <c r="A33" s="463" t="s">
        <v>105</v>
      </c>
      <c r="N33" s="79"/>
      <c r="O33" s="79"/>
      <c r="P33" s="79"/>
      <c r="Q33" s="79"/>
    </row>
    <row r="34" spans="1:28" ht="16" hidden="1" x14ac:dyDescent="0.35">
      <c r="A34" s="464" t="s">
        <v>106</v>
      </c>
      <c r="B34" s="465" t="s">
        <v>107</v>
      </c>
      <c r="C34" s="465" t="s">
        <v>108</v>
      </c>
      <c r="N34" s="79"/>
      <c r="O34" s="79"/>
      <c r="P34" s="79"/>
      <c r="Q34" s="79"/>
    </row>
    <row r="35" spans="1:28" ht="16" hidden="1" x14ac:dyDescent="0.35">
      <c r="A35" s="2" t="s">
        <v>109</v>
      </c>
      <c r="B35" s="14">
        <v>65</v>
      </c>
      <c r="C35" s="14" t="s">
        <v>110</v>
      </c>
      <c r="N35" s="79"/>
      <c r="O35" s="79"/>
      <c r="P35" s="79"/>
      <c r="Q35" s="79"/>
    </row>
    <row r="36" spans="1:28" ht="16" hidden="1" x14ac:dyDescent="0.35">
      <c r="A36" s="2" t="s">
        <v>111</v>
      </c>
      <c r="B36" s="14">
        <v>65</v>
      </c>
      <c r="C36" s="14" t="s">
        <v>112</v>
      </c>
      <c r="N36" s="79"/>
      <c r="O36" s="79"/>
      <c r="P36" s="79"/>
      <c r="Q36" s="79"/>
    </row>
    <row r="37" spans="1:28" ht="16" hidden="1" x14ac:dyDescent="0.35">
      <c r="A37" s="2" t="s">
        <v>113</v>
      </c>
      <c r="B37" s="14">
        <v>65</v>
      </c>
      <c r="C37" s="14" t="s">
        <v>114</v>
      </c>
      <c r="N37" s="79"/>
      <c r="O37" s="79"/>
      <c r="P37" s="79"/>
      <c r="Q37" s="79"/>
    </row>
    <row r="38" spans="1:28" s="2" customFormat="1" ht="16" hidden="1" x14ac:dyDescent="0.35">
      <c r="A38" s="2" t="s">
        <v>115</v>
      </c>
      <c r="B38" s="14">
        <v>65</v>
      </c>
      <c r="C38" s="14" t="s">
        <v>116</v>
      </c>
      <c r="H38" s="29"/>
      <c r="I38" s="29"/>
      <c r="L38" s="1"/>
      <c r="M38" s="298"/>
      <c r="N38" s="79"/>
      <c r="O38" s="79"/>
      <c r="P38" s="79"/>
      <c r="Q38" s="79"/>
      <c r="R38" s="76"/>
      <c r="S38" s="17"/>
      <c r="T38" s="236"/>
      <c r="U38" s="159"/>
      <c r="V38" s="17"/>
      <c r="W38" s="1"/>
      <c r="X38" s="1"/>
      <c r="Y38" s="1"/>
      <c r="Z38" s="1"/>
      <c r="AA38" s="1"/>
      <c r="AB38" s="1"/>
    </row>
    <row r="39" spans="1:28" s="2" customFormat="1" ht="16" hidden="1" x14ac:dyDescent="0.35">
      <c r="A39" s="2" t="s">
        <v>117</v>
      </c>
      <c r="B39" s="14">
        <v>65</v>
      </c>
      <c r="C39" s="14" t="s">
        <v>118</v>
      </c>
      <c r="H39" s="29"/>
      <c r="I39" s="29"/>
      <c r="L39" s="1"/>
      <c r="M39" s="298"/>
      <c r="N39" s="79"/>
      <c r="O39" s="79"/>
      <c r="P39" s="79"/>
      <c r="Q39" s="79"/>
      <c r="R39" s="76"/>
      <c r="S39" s="17"/>
      <c r="T39" s="236"/>
      <c r="U39" s="159"/>
      <c r="V39" s="17"/>
      <c r="W39" s="1"/>
      <c r="X39" s="1"/>
      <c r="Y39" s="1"/>
      <c r="Z39" s="1"/>
      <c r="AA39" s="1"/>
      <c r="AB39" s="1"/>
    </row>
    <row r="40" spans="1:28" s="2" customFormat="1" ht="16" hidden="1" x14ac:dyDescent="0.35">
      <c r="A40" s="2" t="s">
        <v>119</v>
      </c>
      <c r="B40" s="14">
        <v>65</v>
      </c>
      <c r="C40" s="14" t="s">
        <v>120</v>
      </c>
      <c r="H40" s="29"/>
      <c r="I40" s="29"/>
      <c r="L40" s="1"/>
      <c r="M40" s="298"/>
      <c r="N40" s="79"/>
      <c r="O40" s="79"/>
      <c r="P40" s="79"/>
      <c r="Q40" s="79"/>
      <c r="R40" s="76"/>
      <c r="S40" s="17"/>
      <c r="T40" s="236"/>
      <c r="U40" s="159"/>
      <c r="V40" s="17"/>
      <c r="W40" s="1"/>
      <c r="X40" s="1"/>
      <c r="Y40" s="1"/>
      <c r="Z40" s="1"/>
      <c r="AA40" s="1"/>
      <c r="AB40" s="1"/>
    </row>
    <row r="41" spans="1:28" s="2" customFormat="1" ht="16" hidden="1" x14ac:dyDescent="0.35">
      <c r="A41" s="2" t="s">
        <v>121</v>
      </c>
      <c r="B41" s="14">
        <v>65</v>
      </c>
      <c r="C41" s="14" t="s">
        <v>122</v>
      </c>
      <c r="H41" s="29"/>
      <c r="I41" s="29"/>
      <c r="L41" s="1"/>
      <c r="M41" s="298"/>
      <c r="N41" s="79"/>
      <c r="O41" s="79"/>
      <c r="P41" s="79"/>
      <c r="Q41" s="79"/>
      <c r="R41" s="76"/>
      <c r="S41" s="17"/>
      <c r="T41" s="236"/>
      <c r="U41" s="159"/>
      <c r="V41" s="17"/>
      <c r="W41" s="1"/>
      <c r="X41" s="1"/>
      <c r="Y41" s="1"/>
      <c r="Z41" s="1"/>
      <c r="AA41" s="1"/>
      <c r="AB41" s="1"/>
    </row>
    <row r="42" spans="1:28" s="2" customFormat="1" ht="16" hidden="1" x14ac:dyDescent="0.35">
      <c r="A42" s="2" t="s">
        <v>123</v>
      </c>
      <c r="B42" s="14">
        <v>150</v>
      </c>
      <c r="C42" s="14" t="s">
        <v>124</v>
      </c>
      <c r="H42" s="29"/>
      <c r="I42" s="29"/>
      <c r="L42" s="1"/>
      <c r="M42" s="298"/>
      <c r="N42" s="79"/>
      <c r="O42" s="79"/>
      <c r="P42" s="79"/>
      <c r="Q42" s="79"/>
      <c r="R42" s="76"/>
      <c r="S42" s="17"/>
      <c r="T42" s="236"/>
      <c r="U42" s="159"/>
      <c r="V42" s="17"/>
      <c r="W42" s="1"/>
      <c r="X42" s="1"/>
      <c r="Y42" s="1"/>
      <c r="Z42" s="1"/>
      <c r="AA42" s="1"/>
      <c r="AB42" s="1"/>
    </row>
    <row r="43" spans="1:28" s="2" customFormat="1" ht="16" hidden="1" x14ac:dyDescent="0.35">
      <c r="A43" s="2" t="s">
        <v>125</v>
      </c>
      <c r="B43" s="14">
        <v>65</v>
      </c>
      <c r="C43" s="14" t="s">
        <v>126</v>
      </c>
      <c r="H43" s="29"/>
      <c r="I43" s="29"/>
      <c r="L43" s="1"/>
      <c r="M43" s="298"/>
      <c r="N43" s="79"/>
      <c r="O43" s="79"/>
      <c r="P43" s="79"/>
      <c r="Q43" s="79"/>
      <c r="R43" s="76"/>
      <c r="S43" s="17"/>
      <c r="T43" s="236"/>
      <c r="U43" s="159"/>
      <c r="V43" s="17"/>
      <c r="W43" s="1"/>
      <c r="X43" s="1"/>
      <c r="Y43" s="1"/>
      <c r="Z43" s="1"/>
      <c r="AA43" s="1"/>
      <c r="AB43" s="1"/>
    </row>
    <row r="44" spans="1:28" s="2" customFormat="1" ht="16" hidden="1" x14ac:dyDescent="0.35">
      <c r="A44" s="2" t="s">
        <v>127</v>
      </c>
      <c r="B44" s="14">
        <v>65</v>
      </c>
      <c r="C44" s="14" t="s">
        <v>128</v>
      </c>
      <c r="H44" s="29"/>
      <c r="I44" s="29"/>
      <c r="L44" s="1"/>
      <c r="M44" s="298"/>
      <c r="N44" s="79"/>
      <c r="O44" s="79"/>
      <c r="P44" s="79"/>
      <c r="Q44" s="79"/>
      <c r="R44" s="76"/>
      <c r="S44" s="17"/>
      <c r="T44" s="236"/>
      <c r="U44" s="159"/>
      <c r="V44" s="17"/>
      <c r="W44" s="1"/>
      <c r="X44" s="1"/>
      <c r="Y44" s="1"/>
      <c r="Z44" s="1"/>
      <c r="AA44" s="1"/>
      <c r="AB44" s="1"/>
    </row>
    <row r="45" spans="1:28" s="2" customFormat="1" ht="16" hidden="1" x14ac:dyDescent="0.35">
      <c r="A45" s="2" t="s">
        <v>129</v>
      </c>
      <c r="B45" s="14">
        <v>325</v>
      </c>
      <c r="C45" s="14" t="s">
        <v>130</v>
      </c>
      <c r="H45" s="29"/>
      <c r="I45" s="29"/>
      <c r="L45" s="1"/>
      <c r="M45" s="298"/>
      <c r="N45" s="79"/>
      <c r="O45" s="79"/>
      <c r="P45" s="79"/>
      <c r="Q45" s="79"/>
      <c r="R45" s="76"/>
      <c r="S45" s="17"/>
      <c r="T45" s="236"/>
      <c r="U45" s="159"/>
      <c r="V45" s="17"/>
      <c r="W45" s="1"/>
      <c r="X45" s="1"/>
      <c r="Y45" s="1"/>
      <c r="Z45" s="1"/>
      <c r="AA45" s="1"/>
      <c r="AB45" s="1"/>
    </row>
    <row r="46" spans="1:28" s="2" customFormat="1" ht="16" hidden="1" x14ac:dyDescent="0.35">
      <c r="A46" s="2" t="s">
        <v>131</v>
      </c>
      <c r="B46" s="14">
        <v>325</v>
      </c>
      <c r="C46" s="14" t="s">
        <v>132</v>
      </c>
      <c r="H46" s="29"/>
      <c r="I46" s="29"/>
      <c r="L46" s="1"/>
      <c r="M46" s="298"/>
      <c r="N46" s="79"/>
      <c r="O46" s="79"/>
      <c r="P46" s="79"/>
      <c r="Q46" s="79"/>
      <c r="R46" s="76"/>
      <c r="S46" s="17"/>
      <c r="T46" s="236"/>
      <c r="U46" s="159"/>
      <c r="V46" s="17"/>
      <c r="W46" s="1"/>
      <c r="X46" s="1"/>
      <c r="Y46" s="1"/>
      <c r="Z46" s="1"/>
      <c r="AA46" s="1"/>
      <c r="AB46" s="1"/>
    </row>
    <row r="47" spans="1:28" s="2" customFormat="1" ht="16" hidden="1" x14ac:dyDescent="0.35">
      <c r="A47" s="2" t="s">
        <v>133</v>
      </c>
      <c r="B47" s="14">
        <v>52</v>
      </c>
      <c r="C47" s="14" t="s">
        <v>134</v>
      </c>
      <c r="H47" s="29"/>
      <c r="I47" s="29"/>
      <c r="L47" s="1"/>
      <c r="M47" s="298"/>
      <c r="N47" s="79"/>
      <c r="O47" s="79"/>
      <c r="P47" s="79"/>
      <c r="Q47" s="79"/>
      <c r="R47" s="76"/>
      <c r="S47" s="17"/>
      <c r="T47" s="236"/>
      <c r="U47" s="159"/>
      <c r="V47" s="17"/>
      <c r="W47" s="1"/>
      <c r="X47" s="1"/>
      <c r="Y47" s="1"/>
      <c r="Z47" s="1"/>
      <c r="AA47" s="1"/>
      <c r="AB47" s="1"/>
    </row>
    <row r="48" spans="1:28" s="2" customFormat="1" ht="16" hidden="1" x14ac:dyDescent="0.35">
      <c r="A48" s="2" t="s">
        <v>135</v>
      </c>
      <c r="B48" s="14">
        <v>39</v>
      </c>
      <c r="C48" s="14" t="s">
        <v>136</v>
      </c>
      <c r="H48" s="29"/>
      <c r="I48" s="29"/>
      <c r="L48" s="1"/>
      <c r="M48" s="298"/>
      <c r="N48" s="79"/>
      <c r="O48" s="79"/>
      <c r="P48" s="79"/>
      <c r="Q48" s="79"/>
      <c r="R48" s="76"/>
      <c r="S48" s="17"/>
      <c r="T48" s="236"/>
      <c r="U48" s="159"/>
      <c r="V48" s="17"/>
      <c r="W48" s="1"/>
      <c r="X48" s="1"/>
      <c r="Y48" s="1"/>
      <c r="Z48" s="1"/>
      <c r="AA48" s="1"/>
      <c r="AB48" s="1"/>
    </row>
    <row r="49" spans="1:28" s="2" customFormat="1" ht="16" hidden="1" x14ac:dyDescent="0.35">
      <c r="A49" s="2" t="s">
        <v>137</v>
      </c>
      <c r="B49" s="14">
        <v>50</v>
      </c>
      <c r="C49" s="14" t="s">
        <v>138</v>
      </c>
      <c r="H49" s="29"/>
      <c r="I49" s="29"/>
      <c r="L49" s="1"/>
      <c r="M49" s="298"/>
      <c r="N49" s="79"/>
      <c r="O49" s="79"/>
      <c r="P49" s="79"/>
      <c r="Q49" s="79"/>
      <c r="R49" s="76"/>
      <c r="S49" s="17"/>
      <c r="T49" s="236"/>
      <c r="U49" s="159"/>
      <c r="V49" s="17"/>
      <c r="W49" s="1"/>
      <c r="X49" s="1"/>
      <c r="Y49" s="1"/>
      <c r="Z49" s="1"/>
      <c r="AA49" s="1"/>
      <c r="AB49" s="1"/>
    </row>
    <row r="50" spans="1:28" s="2" customFormat="1" ht="16" hidden="1" x14ac:dyDescent="0.35">
      <c r="A50" s="2" t="s">
        <v>139</v>
      </c>
      <c r="B50" s="14">
        <v>150</v>
      </c>
      <c r="C50" s="14" t="s">
        <v>140</v>
      </c>
      <c r="H50" s="29"/>
      <c r="I50" s="29"/>
      <c r="L50" s="1"/>
      <c r="M50" s="298"/>
      <c r="N50" s="79"/>
      <c r="O50" s="79"/>
      <c r="P50" s="79"/>
      <c r="Q50" s="79"/>
      <c r="R50" s="76"/>
      <c r="S50" s="17"/>
      <c r="T50" s="236"/>
      <c r="U50" s="159"/>
      <c r="V50" s="17"/>
      <c r="W50" s="1"/>
      <c r="X50" s="1"/>
      <c r="Y50" s="1"/>
      <c r="Z50" s="1"/>
      <c r="AA50" s="1"/>
      <c r="AB50" s="1"/>
    </row>
    <row r="51" spans="1:28" s="2" customFormat="1" ht="16" hidden="1" x14ac:dyDescent="0.35">
      <c r="A51" s="2" t="s">
        <v>141</v>
      </c>
      <c r="B51" s="14">
        <v>150</v>
      </c>
      <c r="C51" s="14" t="s">
        <v>142</v>
      </c>
      <c r="H51" s="29"/>
      <c r="I51" s="29"/>
      <c r="L51" s="1"/>
      <c r="M51" s="298"/>
      <c r="N51" s="79"/>
      <c r="O51" s="79"/>
      <c r="P51" s="79"/>
      <c r="Q51" s="79"/>
      <c r="R51" s="76"/>
      <c r="S51" s="17"/>
      <c r="T51" s="236"/>
      <c r="U51" s="159"/>
      <c r="V51" s="17"/>
      <c r="W51" s="1"/>
      <c r="X51" s="1"/>
      <c r="Y51" s="1"/>
      <c r="Z51" s="1"/>
      <c r="AA51" s="1"/>
      <c r="AB51" s="1"/>
    </row>
    <row r="52" spans="1:28" s="2" customFormat="1" ht="16" hidden="1" x14ac:dyDescent="0.35">
      <c r="A52" s="29" t="s">
        <v>143</v>
      </c>
      <c r="B52" s="466">
        <f>SUM(B35:B51)</f>
        <v>1826</v>
      </c>
      <c r="C52" s="14"/>
      <c r="H52" s="29"/>
      <c r="I52" s="29"/>
      <c r="L52" s="1"/>
      <c r="M52" s="298"/>
      <c r="N52" s="79"/>
      <c r="O52" s="79"/>
      <c r="P52" s="79"/>
      <c r="Q52" s="79"/>
      <c r="R52" s="76"/>
      <c r="S52" s="17"/>
      <c r="T52" s="236"/>
      <c r="U52" s="159"/>
      <c r="V52" s="17"/>
      <c r="W52" s="1"/>
      <c r="X52" s="1"/>
      <c r="Y52" s="1"/>
      <c r="Z52" s="1"/>
      <c r="AA52" s="1"/>
      <c r="AB52" s="1"/>
    </row>
    <row r="53" spans="1:28" s="2" customFormat="1" ht="16" hidden="1" x14ac:dyDescent="0.35">
      <c r="A53" s="59" t="s">
        <v>144</v>
      </c>
      <c r="B53" s="14"/>
      <c r="C53" s="14"/>
      <c r="H53" s="29"/>
      <c r="I53" s="29"/>
      <c r="L53" s="1"/>
      <c r="M53" s="298"/>
      <c r="N53" s="79"/>
      <c r="O53" s="79"/>
      <c r="P53" s="79"/>
      <c r="Q53" s="79"/>
      <c r="R53" s="76"/>
      <c r="S53" s="17"/>
      <c r="T53" s="236"/>
      <c r="U53" s="159"/>
      <c r="V53" s="17"/>
      <c r="W53" s="1"/>
      <c r="X53" s="1"/>
      <c r="Y53" s="1"/>
      <c r="Z53" s="1"/>
      <c r="AA53" s="1"/>
      <c r="AB53" s="1"/>
    </row>
    <row r="54" spans="1:28" s="2" customFormat="1" ht="16" hidden="1" x14ac:dyDescent="0.35">
      <c r="B54" s="14"/>
      <c r="C54" s="14"/>
      <c r="H54" s="29"/>
      <c r="I54" s="29"/>
      <c r="L54" s="1"/>
      <c r="M54" s="298"/>
      <c r="N54" s="79"/>
      <c r="O54" s="79"/>
      <c r="P54" s="79"/>
      <c r="Q54" s="79"/>
      <c r="R54" s="76"/>
      <c r="S54" s="17"/>
      <c r="T54" s="236"/>
      <c r="U54" s="159"/>
      <c r="V54" s="17"/>
      <c r="W54" s="1"/>
      <c r="X54" s="1"/>
      <c r="Y54" s="1"/>
      <c r="Z54" s="1"/>
      <c r="AA54" s="1"/>
      <c r="AB54" s="1"/>
    </row>
    <row r="55" spans="1:28" s="2" customFormat="1" ht="16" hidden="1" x14ac:dyDescent="0.35">
      <c r="B55" s="14"/>
      <c r="C55" s="14"/>
      <c r="H55" s="29"/>
      <c r="I55" s="29"/>
      <c r="L55" s="1"/>
      <c r="M55" s="298"/>
      <c r="N55" s="79"/>
      <c r="O55" s="79"/>
      <c r="P55" s="79"/>
      <c r="Q55" s="79"/>
      <c r="R55" s="76"/>
      <c r="S55" s="17"/>
      <c r="T55" s="236"/>
      <c r="U55" s="159"/>
      <c r="V55" s="17"/>
      <c r="W55" s="1"/>
      <c r="X55" s="1"/>
      <c r="Y55" s="1"/>
      <c r="Z55" s="1"/>
      <c r="AA55" s="1"/>
      <c r="AB55" s="1"/>
    </row>
    <row r="56" spans="1:28" s="2" customFormat="1" ht="16" x14ac:dyDescent="0.35">
      <c r="B56" s="14"/>
      <c r="C56" s="14"/>
      <c r="H56" s="29"/>
      <c r="I56" s="29"/>
      <c r="L56" s="1"/>
      <c r="M56" s="298"/>
      <c r="N56" s="79"/>
      <c r="O56" s="79"/>
      <c r="P56" s="79"/>
      <c r="Q56" s="79"/>
      <c r="R56" s="76"/>
      <c r="S56" s="17"/>
      <c r="T56" s="236"/>
      <c r="U56" s="159"/>
      <c r="V56" s="17"/>
      <c r="W56" s="1"/>
      <c r="X56" s="1"/>
      <c r="Y56" s="1"/>
      <c r="Z56" s="1"/>
      <c r="AA56" s="1"/>
      <c r="AB56" s="1"/>
    </row>
    <row r="57" spans="1:28" s="2" customFormat="1" ht="16" x14ac:dyDescent="0.35">
      <c r="B57" s="14"/>
      <c r="C57" s="14"/>
      <c r="H57" s="29"/>
      <c r="I57" s="29"/>
      <c r="L57" s="1"/>
      <c r="M57" s="298"/>
      <c r="N57" s="79"/>
      <c r="O57" s="79"/>
      <c r="P57" s="79"/>
      <c r="Q57" s="79"/>
      <c r="R57" s="76"/>
      <c r="S57" s="17"/>
      <c r="T57" s="236"/>
      <c r="U57" s="159"/>
      <c r="V57" s="17"/>
      <c r="W57" s="1"/>
      <c r="X57" s="1"/>
      <c r="Y57" s="1"/>
      <c r="Z57" s="1"/>
      <c r="AA57" s="1"/>
      <c r="AB57" s="1"/>
    </row>
    <row r="58" spans="1:28" s="2" customFormat="1" ht="16" x14ac:dyDescent="0.35">
      <c r="B58" s="14"/>
      <c r="C58" s="14"/>
      <c r="H58" s="29"/>
      <c r="I58" s="29"/>
      <c r="L58" s="1"/>
      <c r="M58" s="298"/>
      <c r="N58" s="79"/>
      <c r="O58" s="79"/>
      <c r="P58" s="79"/>
      <c r="Q58" s="79"/>
      <c r="R58" s="76"/>
      <c r="S58" s="17"/>
      <c r="T58" s="236"/>
      <c r="U58" s="159"/>
      <c r="V58" s="17"/>
      <c r="W58" s="1"/>
      <c r="X58" s="1"/>
      <c r="Y58" s="1"/>
      <c r="Z58" s="1"/>
      <c r="AA58" s="1"/>
      <c r="AB58" s="1"/>
    </row>
    <row r="59" spans="1:28" s="2" customFormat="1" ht="16" x14ac:dyDescent="0.35">
      <c r="B59" s="14"/>
      <c r="C59" s="14"/>
      <c r="H59" s="29"/>
      <c r="I59" s="29"/>
      <c r="L59" s="1"/>
      <c r="M59" s="298"/>
      <c r="N59" s="79"/>
      <c r="O59" s="79"/>
      <c r="P59" s="79"/>
      <c r="Q59" s="79"/>
      <c r="R59" s="76"/>
      <c r="S59" s="17"/>
      <c r="T59" s="236"/>
      <c r="U59" s="159"/>
      <c r="V59" s="17"/>
      <c r="W59" s="1"/>
      <c r="X59" s="1"/>
      <c r="Y59" s="1"/>
      <c r="Z59" s="1"/>
      <c r="AA59" s="1"/>
      <c r="AB59" s="1"/>
    </row>
    <row r="60" spans="1:28" s="2" customFormat="1" ht="16" x14ac:dyDescent="0.35">
      <c r="B60" s="14"/>
      <c r="C60" s="14"/>
      <c r="H60" s="29"/>
      <c r="I60" s="29"/>
      <c r="L60" s="1"/>
      <c r="M60" s="298"/>
      <c r="N60" s="79"/>
      <c r="O60" s="79"/>
      <c r="P60" s="79"/>
      <c r="Q60" s="79"/>
      <c r="R60" s="76"/>
      <c r="S60" s="17"/>
      <c r="T60" s="236"/>
      <c r="U60" s="159"/>
      <c r="V60" s="17"/>
      <c r="W60" s="1"/>
      <c r="X60" s="1"/>
      <c r="Y60" s="1"/>
      <c r="Z60" s="1"/>
      <c r="AA60" s="1"/>
      <c r="AB60" s="1"/>
    </row>
    <row r="61" spans="1:28" s="2" customFormat="1" ht="16" x14ac:dyDescent="0.35">
      <c r="B61" s="14"/>
      <c r="C61" s="14"/>
      <c r="H61" s="29"/>
      <c r="I61" s="29"/>
      <c r="L61" s="1"/>
      <c r="M61" s="298"/>
      <c r="N61" s="79"/>
      <c r="O61" s="79"/>
      <c r="P61" s="79"/>
      <c r="Q61" s="79"/>
      <c r="R61" s="76"/>
      <c r="S61" s="17"/>
      <c r="T61" s="236"/>
      <c r="U61" s="159"/>
      <c r="V61" s="17"/>
      <c r="W61" s="1"/>
      <c r="X61" s="1"/>
      <c r="Y61" s="1"/>
      <c r="Z61" s="1"/>
      <c r="AA61" s="1"/>
      <c r="AB61" s="1"/>
    </row>
    <row r="62" spans="1:28" s="2" customFormat="1" ht="16" x14ac:dyDescent="0.35">
      <c r="B62" s="14"/>
      <c r="C62" s="14"/>
      <c r="H62" s="29"/>
      <c r="I62" s="29"/>
      <c r="L62" s="1"/>
      <c r="M62" s="298"/>
      <c r="N62" s="79"/>
      <c r="O62" s="79"/>
      <c r="P62" s="79"/>
      <c r="Q62" s="79"/>
      <c r="R62" s="76"/>
      <c r="S62" s="17"/>
      <c r="T62" s="236"/>
      <c r="U62" s="159"/>
      <c r="V62" s="17"/>
      <c r="W62" s="1"/>
      <c r="X62" s="1"/>
      <c r="Y62" s="1"/>
      <c r="Z62" s="1"/>
      <c r="AA62" s="1"/>
      <c r="AB62" s="1"/>
    </row>
    <row r="63" spans="1:28" s="2" customFormat="1" ht="16" x14ac:dyDescent="0.35">
      <c r="B63" s="14"/>
      <c r="C63" s="14"/>
      <c r="H63" s="29"/>
      <c r="I63" s="29"/>
      <c r="L63" s="1"/>
      <c r="M63" s="298"/>
      <c r="N63" s="79"/>
      <c r="O63" s="79"/>
      <c r="P63" s="79"/>
      <c r="Q63" s="79"/>
      <c r="R63" s="76"/>
      <c r="S63" s="17"/>
      <c r="T63" s="236"/>
      <c r="U63" s="159"/>
      <c r="V63" s="17"/>
      <c r="W63" s="1"/>
      <c r="X63" s="1"/>
      <c r="Y63" s="1"/>
      <c r="Z63" s="1"/>
      <c r="AA63" s="1"/>
      <c r="AB63" s="1"/>
    </row>
    <row r="64" spans="1:28" s="2" customFormat="1" ht="16" x14ac:dyDescent="0.35">
      <c r="B64" s="14"/>
      <c r="C64" s="14"/>
      <c r="H64" s="29"/>
      <c r="I64" s="29"/>
      <c r="L64" s="1"/>
      <c r="M64" s="298"/>
      <c r="N64" s="79"/>
      <c r="O64" s="79"/>
      <c r="P64" s="79"/>
      <c r="Q64" s="79"/>
      <c r="R64" s="76"/>
      <c r="S64" s="17"/>
      <c r="T64" s="236"/>
      <c r="U64" s="159"/>
      <c r="V64" s="17"/>
      <c r="W64" s="1"/>
      <c r="X64" s="1"/>
      <c r="Y64" s="1"/>
      <c r="Z64" s="1"/>
      <c r="AA64" s="1"/>
      <c r="AB64" s="1"/>
    </row>
    <row r="65" spans="2:28" s="2" customFormat="1" ht="16" x14ac:dyDescent="0.35">
      <c r="B65" s="14"/>
      <c r="C65" s="14"/>
      <c r="H65" s="29"/>
      <c r="I65" s="29"/>
      <c r="L65" s="1"/>
      <c r="M65" s="298"/>
      <c r="N65" s="79"/>
      <c r="O65" s="79"/>
      <c r="P65" s="79"/>
      <c r="Q65" s="79"/>
      <c r="R65" s="76"/>
      <c r="S65" s="17"/>
      <c r="T65" s="236"/>
      <c r="U65" s="159"/>
      <c r="V65" s="17"/>
      <c r="W65" s="1"/>
      <c r="X65" s="1"/>
      <c r="Y65" s="1"/>
      <c r="Z65" s="1"/>
      <c r="AA65" s="1"/>
      <c r="AB65" s="1"/>
    </row>
    <row r="66" spans="2:28" s="2" customFormat="1" ht="16" x14ac:dyDescent="0.35">
      <c r="B66" s="14"/>
      <c r="C66" s="14"/>
      <c r="H66" s="29"/>
      <c r="I66" s="29"/>
      <c r="L66" s="1"/>
      <c r="M66" s="298"/>
      <c r="N66" s="79"/>
      <c r="O66" s="79"/>
      <c r="P66" s="79"/>
      <c r="Q66" s="79"/>
      <c r="R66" s="76"/>
      <c r="S66" s="17"/>
      <c r="T66" s="236"/>
      <c r="U66" s="159"/>
      <c r="V66" s="17"/>
      <c r="W66" s="1"/>
      <c r="X66" s="1"/>
      <c r="Y66" s="1"/>
      <c r="Z66" s="1"/>
      <c r="AA66" s="1"/>
      <c r="AB66" s="1"/>
    </row>
    <row r="67" spans="2:28" s="2" customFormat="1" ht="16" x14ac:dyDescent="0.35">
      <c r="B67" s="14"/>
      <c r="C67" s="14"/>
      <c r="H67" s="29"/>
      <c r="I67" s="29"/>
      <c r="L67" s="1"/>
      <c r="M67" s="298"/>
      <c r="N67" s="79"/>
      <c r="O67" s="79"/>
      <c r="P67" s="79"/>
      <c r="Q67" s="79"/>
      <c r="R67" s="76"/>
      <c r="S67" s="17"/>
      <c r="T67" s="236"/>
      <c r="U67" s="159"/>
      <c r="V67" s="17"/>
      <c r="W67" s="1"/>
      <c r="X67" s="1"/>
      <c r="Y67" s="1"/>
      <c r="Z67" s="1"/>
      <c r="AA67" s="1"/>
      <c r="AB67" s="1"/>
    </row>
    <row r="68" spans="2:28" s="2" customFormat="1" ht="16" x14ac:dyDescent="0.35">
      <c r="B68" s="14"/>
      <c r="C68" s="14"/>
      <c r="H68" s="29"/>
      <c r="I68" s="29"/>
      <c r="L68" s="1"/>
      <c r="M68" s="298"/>
      <c r="N68" s="79"/>
      <c r="O68" s="79"/>
      <c r="P68" s="79"/>
      <c r="Q68" s="79"/>
      <c r="R68" s="76"/>
      <c r="S68" s="17"/>
      <c r="T68" s="236"/>
      <c r="U68" s="159"/>
      <c r="V68" s="17"/>
      <c r="W68" s="1"/>
      <c r="X68" s="1"/>
      <c r="Y68" s="1"/>
      <c r="Z68" s="1"/>
      <c r="AA68" s="1"/>
      <c r="AB68" s="1"/>
    </row>
    <row r="69" spans="2:28" s="2" customFormat="1" ht="16" x14ac:dyDescent="0.35">
      <c r="B69" s="14"/>
      <c r="C69" s="14"/>
      <c r="H69" s="29"/>
      <c r="I69" s="29"/>
      <c r="L69" s="1"/>
      <c r="M69" s="298"/>
      <c r="N69" s="79"/>
      <c r="O69" s="79"/>
      <c r="P69" s="79"/>
      <c r="Q69" s="79"/>
      <c r="R69" s="76"/>
      <c r="S69" s="17"/>
      <c r="T69" s="236"/>
      <c r="U69" s="159"/>
      <c r="V69" s="17"/>
      <c r="W69" s="1"/>
      <c r="X69" s="1"/>
      <c r="Y69" s="1"/>
      <c r="Z69" s="1"/>
      <c r="AA69" s="1"/>
      <c r="AB69" s="1"/>
    </row>
    <row r="70" spans="2:28" s="2" customFormat="1" ht="16" x14ac:dyDescent="0.35">
      <c r="B70" s="14"/>
      <c r="C70" s="14"/>
      <c r="H70" s="29"/>
      <c r="I70" s="29"/>
      <c r="L70" s="1"/>
      <c r="M70" s="298"/>
      <c r="N70" s="79"/>
      <c r="O70" s="79"/>
      <c r="P70" s="79"/>
      <c r="Q70" s="79"/>
      <c r="R70" s="76"/>
      <c r="S70" s="17"/>
      <c r="T70" s="236"/>
      <c r="U70" s="159"/>
      <c r="V70" s="17"/>
      <c r="W70" s="1"/>
      <c r="X70" s="1"/>
      <c r="Y70" s="1"/>
      <c r="Z70" s="1"/>
      <c r="AA70" s="1"/>
      <c r="AB70" s="1"/>
    </row>
    <row r="71" spans="2:28" s="2" customFormat="1" ht="16" x14ac:dyDescent="0.35">
      <c r="B71" s="14"/>
      <c r="C71" s="14"/>
      <c r="H71" s="29"/>
      <c r="I71" s="29"/>
      <c r="L71" s="1"/>
      <c r="M71" s="298"/>
      <c r="N71" s="79"/>
      <c r="O71" s="79"/>
      <c r="P71" s="79"/>
      <c r="Q71" s="79"/>
      <c r="R71" s="76"/>
      <c r="S71" s="17"/>
      <c r="T71" s="236"/>
      <c r="U71" s="159"/>
      <c r="V71" s="17"/>
      <c r="W71" s="1"/>
      <c r="X71" s="1"/>
      <c r="Y71" s="1"/>
      <c r="Z71" s="1"/>
      <c r="AA71" s="1"/>
      <c r="AB71" s="1"/>
    </row>
    <row r="72" spans="2:28" s="2" customFormat="1" ht="16" x14ac:dyDescent="0.35">
      <c r="B72" s="14"/>
      <c r="C72" s="14"/>
      <c r="H72" s="29"/>
      <c r="I72" s="29"/>
      <c r="L72" s="1"/>
      <c r="M72" s="298"/>
      <c r="N72" s="79"/>
      <c r="O72" s="79"/>
      <c r="P72" s="79"/>
      <c r="Q72" s="79"/>
      <c r="R72" s="76"/>
      <c r="S72" s="17"/>
      <c r="T72" s="236"/>
      <c r="U72" s="159"/>
      <c r="V72" s="17"/>
      <c r="W72" s="1"/>
      <c r="X72" s="1"/>
      <c r="Y72" s="1"/>
      <c r="Z72" s="1"/>
      <c r="AA72" s="1"/>
      <c r="AB72" s="1"/>
    </row>
    <row r="73" spans="2:28" s="2" customFormat="1" ht="16" x14ac:dyDescent="0.35">
      <c r="B73" s="14"/>
      <c r="C73" s="14"/>
      <c r="H73" s="29"/>
      <c r="I73" s="29"/>
      <c r="L73" s="1"/>
      <c r="M73" s="298"/>
      <c r="N73" s="79"/>
      <c r="O73" s="79"/>
      <c r="P73" s="79"/>
      <c r="Q73" s="79"/>
      <c r="R73" s="76"/>
      <c r="S73" s="17"/>
      <c r="T73" s="236"/>
      <c r="U73" s="159"/>
      <c r="V73" s="17"/>
      <c r="W73" s="1"/>
      <c r="X73" s="1"/>
      <c r="Y73" s="1"/>
      <c r="Z73" s="1"/>
      <c r="AA73" s="1"/>
      <c r="AB73" s="1"/>
    </row>
    <row r="74" spans="2:28" s="2" customFormat="1" ht="16" x14ac:dyDescent="0.35">
      <c r="B74" s="14"/>
      <c r="C74" s="14"/>
      <c r="H74" s="29"/>
      <c r="I74" s="29"/>
      <c r="L74" s="1"/>
      <c r="M74" s="298"/>
      <c r="N74" s="79"/>
      <c r="O74" s="79"/>
      <c r="P74" s="79"/>
      <c r="Q74" s="79"/>
      <c r="R74" s="76"/>
      <c r="S74" s="17"/>
      <c r="T74" s="236"/>
      <c r="U74" s="159"/>
      <c r="V74" s="17"/>
      <c r="W74" s="1"/>
      <c r="X74" s="1"/>
      <c r="Y74" s="1"/>
      <c r="Z74" s="1"/>
      <c r="AA74" s="1"/>
      <c r="AB74" s="1"/>
    </row>
    <row r="75" spans="2:28" s="2" customFormat="1" ht="16" x14ac:dyDescent="0.35">
      <c r="B75" s="14"/>
      <c r="C75" s="14"/>
      <c r="H75" s="29"/>
      <c r="I75" s="29"/>
      <c r="L75" s="1"/>
      <c r="M75" s="298"/>
      <c r="N75" s="79"/>
      <c r="O75" s="79"/>
      <c r="P75" s="79"/>
      <c r="Q75" s="79"/>
      <c r="R75" s="76"/>
      <c r="S75" s="17"/>
      <c r="T75" s="236"/>
      <c r="U75" s="159"/>
      <c r="V75" s="17"/>
      <c r="W75" s="1"/>
      <c r="X75" s="1"/>
      <c r="Y75" s="1"/>
      <c r="Z75" s="1"/>
      <c r="AA75" s="1"/>
      <c r="AB75" s="1"/>
    </row>
    <row r="76" spans="2:28" s="2" customFormat="1" ht="16" x14ac:dyDescent="0.35">
      <c r="B76" s="14"/>
      <c r="C76" s="14"/>
      <c r="H76" s="29"/>
      <c r="I76" s="29"/>
      <c r="L76" s="1"/>
      <c r="M76" s="298"/>
      <c r="N76" s="79"/>
      <c r="O76" s="79"/>
      <c r="P76" s="79"/>
      <c r="Q76" s="79"/>
      <c r="R76" s="76"/>
      <c r="S76" s="17"/>
      <c r="T76" s="236"/>
      <c r="U76" s="159"/>
      <c r="V76" s="17"/>
      <c r="W76" s="1"/>
      <c r="X76" s="1"/>
      <c r="Y76" s="1"/>
      <c r="Z76" s="1"/>
      <c r="AA76" s="1"/>
      <c r="AB76" s="1"/>
    </row>
    <row r="77" spans="2:28" s="2" customFormat="1" ht="16" x14ac:dyDescent="0.35">
      <c r="B77" s="14"/>
      <c r="C77" s="14"/>
      <c r="H77" s="29"/>
      <c r="I77" s="29"/>
      <c r="L77" s="1"/>
      <c r="M77" s="298"/>
      <c r="N77" s="79"/>
      <c r="O77" s="79"/>
      <c r="P77" s="79"/>
      <c r="Q77" s="79"/>
      <c r="R77" s="76"/>
      <c r="S77" s="17"/>
      <c r="T77" s="236"/>
      <c r="U77" s="159"/>
      <c r="V77" s="17"/>
      <c r="W77" s="1"/>
      <c r="X77" s="1"/>
      <c r="Y77" s="1"/>
      <c r="Z77" s="1"/>
      <c r="AA77" s="1"/>
      <c r="AB77" s="1"/>
    </row>
    <row r="78" spans="2:28" s="2" customFormat="1" ht="16" x14ac:dyDescent="0.35">
      <c r="B78" s="14"/>
      <c r="C78" s="14"/>
      <c r="H78" s="29"/>
      <c r="I78" s="29"/>
      <c r="L78" s="1"/>
      <c r="M78" s="298"/>
      <c r="N78" s="79"/>
      <c r="O78" s="79"/>
      <c r="P78" s="79"/>
      <c r="Q78" s="79"/>
      <c r="R78" s="76"/>
      <c r="S78" s="17"/>
      <c r="T78" s="236"/>
      <c r="U78" s="159"/>
      <c r="V78" s="17"/>
      <c r="W78" s="1"/>
      <c r="X78" s="1"/>
      <c r="Y78" s="1"/>
      <c r="Z78" s="1"/>
      <c r="AA78" s="1"/>
      <c r="AB78" s="1"/>
    </row>
    <row r="79" spans="2:28" s="2" customFormat="1" ht="16" x14ac:dyDescent="0.35">
      <c r="B79" s="14"/>
      <c r="C79" s="14"/>
      <c r="H79" s="29"/>
      <c r="I79" s="29"/>
      <c r="L79" s="1"/>
      <c r="M79" s="298"/>
      <c r="N79" s="79"/>
      <c r="O79" s="79"/>
      <c r="P79" s="79"/>
      <c r="Q79" s="79"/>
      <c r="R79" s="76"/>
      <c r="S79" s="17"/>
      <c r="T79" s="236"/>
      <c r="U79" s="159"/>
      <c r="V79" s="17"/>
      <c r="W79" s="1"/>
      <c r="X79" s="1"/>
      <c r="Y79" s="1"/>
      <c r="Z79" s="1"/>
      <c r="AA79" s="1"/>
      <c r="AB79" s="1"/>
    </row>
    <row r="80" spans="2:28" s="2" customFormat="1" ht="16" x14ac:dyDescent="0.35">
      <c r="B80" s="14"/>
      <c r="C80" s="14"/>
      <c r="H80" s="29"/>
      <c r="I80" s="29"/>
      <c r="L80" s="1"/>
      <c r="M80" s="298"/>
      <c r="N80" s="79"/>
      <c r="O80" s="79"/>
      <c r="P80" s="79"/>
      <c r="Q80" s="79"/>
      <c r="R80" s="76"/>
      <c r="S80" s="17"/>
      <c r="T80" s="236"/>
      <c r="U80" s="159"/>
      <c r="V80" s="17"/>
      <c r="W80" s="1"/>
      <c r="X80" s="1"/>
      <c r="Y80" s="1"/>
      <c r="Z80" s="1"/>
      <c r="AA80" s="1"/>
      <c r="AB80" s="1"/>
    </row>
  </sheetData>
  <autoFilter ref="A5:AK30" xr:uid="{640E549E-ED70-4B61-8F04-58E84EB6909D}"/>
  <mergeCells count="13">
    <mergeCell ref="Q28:Q30"/>
    <mergeCell ref="Q21:Q27"/>
    <mergeCell ref="Q18:Q20"/>
    <mergeCell ref="Q12:Q17"/>
    <mergeCell ref="A1:V1"/>
    <mergeCell ref="A2:V2"/>
    <mergeCell ref="A3:V3"/>
    <mergeCell ref="A4:E4"/>
    <mergeCell ref="F4:K4"/>
    <mergeCell ref="L4:M4"/>
    <mergeCell ref="N4:Q4"/>
    <mergeCell ref="R4:T4"/>
    <mergeCell ref="U4:V4"/>
  </mergeCells>
  <conditionalFormatting sqref="N6:Q6 Q7 N7:P31 N32:Q1048576">
    <cfRule type="containsText" dxfId="124" priority="1" operator="containsText" text="No">
      <formula>NOT(ISERROR(SEARCH("No",N6)))</formula>
    </cfRule>
    <cfRule type="containsText" dxfId="123" priority="2" operator="containsText" text="Yes">
      <formula>NOT(ISERROR(SEARCH("Yes",N6)))</formula>
    </cfRule>
  </conditionalFormatting>
  <conditionalFormatting sqref="R6:R30">
    <cfRule type="containsText" dxfId="122" priority="7" operator="containsText" text="Revisions Needed">
      <formula>NOT(ISERROR(SEARCH("Revisions Needed",R6)))</formula>
    </cfRule>
    <cfRule type="containsText" dxfId="121" priority="8" operator="containsText" text="Approved">
      <formula>NOT(ISERROR(SEARCH("Approved",R6)))</formula>
    </cfRule>
  </conditionalFormatting>
  <conditionalFormatting sqref="R6:R1048576 S7">
    <cfRule type="containsText" dxfId="120" priority="3" operator="containsText" text="Rejected">
      <formula>NOT(ISERROR(SEARCH("Rejected",R6)))</formula>
    </cfRule>
  </conditionalFormatting>
  <conditionalFormatting sqref="S7 R31:R1048576">
    <cfRule type="containsText" dxfId="119" priority="4" operator="containsText" text="Revisions Needed">
      <formula>NOT(ISERROR(SEARCH("Revisions Needed",R7)))</formula>
    </cfRule>
    <cfRule type="containsText" dxfId="118" priority="5" operator="containsText" text="Approved">
      <formula>NOT(ISERROR(SEARCH("Approved",R7)))</formula>
    </cfRule>
  </conditionalFormatting>
  <dataValidations count="4">
    <dataValidation type="list" allowBlank="1" showInputMessage="1" showErrorMessage="1" sqref="N31:N1048576 N6:N27 O6:P1048576" xr:uid="{9C12AD3E-6AA4-4FFA-A0D7-DB3E16FED9C4}">
      <formula1>"No, Yes"</formula1>
    </dataValidation>
    <dataValidation type="list" allowBlank="1" showInputMessage="1" showErrorMessage="1" sqref="C6:C1048576" xr:uid="{8840738C-F53F-45B2-9B09-4887949B1BA6}">
      <formula1>"Monthly, Yearly"</formula1>
    </dataValidation>
    <dataValidation type="list" allowBlank="1" sqref="R31:R1048576 S7" xr:uid="{CA3CD785-4488-4934-B28C-5C292AA14054}">
      <formula1>"Approved,Revisions Needed, Rejected"</formula1>
    </dataValidation>
    <dataValidation type="list" allowBlank="1" showInputMessage="1" showErrorMessage="1" sqref="R6:R30" xr:uid="{07FA9638-5D8C-4194-B6DB-812969A83847}">
      <formula1>"Approved,Revisions Needed, Rejected"</formula1>
    </dataValidation>
  </dataValidations>
  <pageMargins left="0.75" right="0.75" top="1" bottom="1" header="0.511811023622047" footer="0.511811023622047"/>
  <pageSetup paperSize="9" orientation="portrait" horizontalDpi="300" verticalDpi="300"/>
  <ignoredErrors>
    <ignoredError sqref="M27" formula="1"/>
  </ignoredErrors>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067FA-705E-4E44-B6CB-AF298CFDFCC6}">
  <sheetPr>
    <tabColor theme="6"/>
  </sheetPr>
  <dimension ref="A1:AB75"/>
  <sheetViews>
    <sheetView showGridLines="0" zoomScale="60" zoomScaleNormal="60" workbookViewId="0">
      <selection activeCell="Q6" sqref="Q6:Q8"/>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3.54296875" style="2" customWidth="1"/>
    <col min="7" max="7" width="12.453125" style="2" customWidth="1"/>
    <col min="8" max="8" width="12.81640625" style="29" customWidth="1"/>
    <col min="9" max="9" width="13.1796875" style="29" customWidth="1"/>
    <col min="10" max="10" width="15.54296875" style="2" customWidth="1"/>
    <col min="11" max="11" width="10.81640625" style="2" customWidth="1"/>
    <col min="12" max="12" width="36" style="1" customWidth="1"/>
    <col min="13" max="13" width="46.1796875" style="298" customWidth="1"/>
    <col min="14" max="14" width="12.81640625" style="76" customWidth="1"/>
    <col min="15" max="15" width="10.81640625" style="76" customWidth="1"/>
    <col min="16" max="16" width="13.1796875" style="76" customWidth="1"/>
    <col min="17" max="17" width="47.54296875" style="76" customWidth="1"/>
    <col min="18" max="18" width="20.54296875" style="2" customWidth="1"/>
    <col min="19" max="19" width="54.81640625" style="17" customWidth="1"/>
    <col min="20" max="20" width="43.7265625" style="236" customWidth="1"/>
    <col min="21" max="21" width="16.26953125" style="159" customWidth="1"/>
    <col min="22" max="22" width="76.54296875" style="17" customWidth="1"/>
    <col min="23" max="23" width="8.54296875" style="1"/>
    <col min="24" max="28" width="0" style="1" hidden="1" customWidth="1"/>
    <col min="29" max="16384" width="8.54296875" style="1"/>
  </cols>
  <sheetData>
    <row r="1" spans="1:28"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1"/>
    </row>
    <row r="2" spans="1:28" ht="37.5" customHeight="1" thickTop="1" thickBot="1" x14ac:dyDescent="0.4">
      <c r="A2" s="509" t="s">
        <v>568</v>
      </c>
      <c r="B2" s="510"/>
      <c r="C2" s="510"/>
      <c r="D2" s="510"/>
      <c r="E2" s="510"/>
      <c r="F2" s="510"/>
      <c r="G2" s="510"/>
      <c r="H2" s="510"/>
      <c r="I2" s="510"/>
      <c r="J2" s="510"/>
      <c r="K2" s="510"/>
      <c r="L2" s="510"/>
      <c r="M2" s="510"/>
      <c r="N2" s="510"/>
      <c r="O2" s="510"/>
      <c r="P2" s="510"/>
      <c r="Q2" s="510"/>
      <c r="R2" s="510"/>
      <c r="S2" s="510"/>
      <c r="T2" s="510"/>
      <c r="U2" s="510"/>
      <c r="V2" s="511"/>
    </row>
    <row r="3" spans="1:28"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row>
    <row r="4" spans="1:28" s="4" customFormat="1" ht="27.75" customHeight="1" thickTop="1" thickBot="1" x14ac:dyDescent="0.45">
      <c r="A4" s="513" t="s">
        <v>3</v>
      </c>
      <c r="B4" s="514"/>
      <c r="C4" s="514"/>
      <c r="D4" s="514"/>
      <c r="E4" s="514"/>
      <c r="F4" s="513" t="s">
        <v>4</v>
      </c>
      <c r="G4" s="514"/>
      <c r="H4" s="514"/>
      <c r="I4" s="514"/>
      <c r="J4" s="514"/>
      <c r="K4" s="515"/>
      <c r="L4" s="516" t="s">
        <v>5</v>
      </c>
      <c r="M4" s="516"/>
      <c r="N4" s="513" t="s">
        <v>6</v>
      </c>
      <c r="O4" s="514"/>
      <c r="P4" s="514"/>
      <c r="Q4" s="515"/>
      <c r="R4" s="513" t="s">
        <v>7</v>
      </c>
      <c r="S4" s="514"/>
      <c r="T4" s="515"/>
      <c r="U4" s="513" t="s">
        <v>8</v>
      </c>
      <c r="V4" s="515"/>
    </row>
    <row r="5" spans="1:28" ht="71.5" customHeight="1" thickTop="1" thickBot="1" x14ac:dyDescent="0.4">
      <c r="A5" s="10" t="s">
        <v>9</v>
      </c>
      <c r="B5" s="10" t="s">
        <v>10</v>
      </c>
      <c r="C5" s="10" t="s">
        <v>11</v>
      </c>
      <c r="D5" s="10" t="s">
        <v>12</v>
      </c>
      <c r="E5" s="10" t="s">
        <v>13</v>
      </c>
      <c r="F5" s="10" t="s">
        <v>14</v>
      </c>
      <c r="G5" s="10" t="s">
        <v>15</v>
      </c>
      <c r="H5" s="10" t="s">
        <v>16</v>
      </c>
      <c r="I5" s="10" t="s">
        <v>17</v>
      </c>
      <c r="J5" s="10" t="s">
        <v>18</v>
      </c>
      <c r="K5" s="10" t="s">
        <v>19</v>
      </c>
      <c r="L5" s="10" t="s">
        <v>20</v>
      </c>
      <c r="M5" s="10" t="s">
        <v>21</v>
      </c>
      <c r="N5" s="10" t="s">
        <v>22</v>
      </c>
      <c r="O5" s="10" t="s">
        <v>23</v>
      </c>
      <c r="P5" s="10" t="s">
        <v>24</v>
      </c>
      <c r="Q5" s="95" t="s">
        <v>25</v>
      </c>
      <c r="R5" s="23" t="s">
        <v>26</v>
      </c>
      <c r="S5" s="18" t="s">
        <v>27</v>
      </c>
      <c r="T5" s="18" t="s">
        <v>28</v>
      </c>
      <c r="U5" s="18" t="s">
        <v>29</v>
      </c>
      <c r="V5" s="433" t="s">
        <v>30</v>
      </c>
      <c r="X5" s="450" t="s">
        <v>31</v>
      </c>
      <c r="Y5" s="450" t="s">
        <v>32</v>
      </c>
      <c r="Z5" s="450" t="s">
        <v>33</v>
      </c>
      <c r="AA5" s="450" t="s">
        <v>34</v>
      </c>
      <c r="AB5" s="450" t="s">
        <v>35</v>
      </c>
    </row>
    <row r="6" spans="1:28" s="5" customFormat="1" ht="328" customHeight="1" thickTop="1" x14ac:dyDescent="0.35">
      <c r="A6" s="117">
        <v>1</v>
      </c>
      <c r="B6" s="244" t="s">
        <v>45</v>
      </c>
      <c r="C6" s="432" t="s">
        <v>46</v>
      </c>
      <c r="D6" s="117" t="s">
        <v>569</v>
      </c>
      <c r="E6" s="436" t="s">
        <v>570</v>
      </c>
      <c r="F6" s="117" t="s">
        <v>49</v>
      </c>
      <c r="G6" s="117" t="s">
        <v>71</v>
      </c>
      <c r="H6" s="25" t="s">
        <v>97</v>
      </c>
      <c r="I6" s="441" t="str">
        <f>ROUND(VALUE(SUBSTITUTE(H6," QAR",""))*(1-X6/100),0)&amp;" QAR"</f>
        <v>700 QAR</v>
      </c>
      <c r="J6" s="117" t="s">
        <v>74</v>
      </c>
      <c r="K6" s="426" t="s">
        <v>52</v>
      </c>
      <c r="L6" s="274" t="s">
        <v>571</v>
      </c>
      <c r="M6" s="458" t="str">
        <f>AB6&amp;CHAR(10)&amp;"Est. Savings: "&amp;IF(AND(X6&lt;&gt;"",Y6&lt;&gt;""),TEXT(ROUND((X6/100)*Y6,2),"0.00")&amp;" QAR",IF(AND(Z6&lt;&gt;"",AA6&lt;&gt;""),TEXT(ROUND(Z6*AA6,2),"0.00")&amp;" QAR",IFERROR(TEXT(ROUND((X6/100)*VALUE(SUBSTITUTE(H6," QAR","")),2),"0.00")&amp;" QAR","NA")))</f>
        <v>Private Grill Experience – Serves 10 pax.
Includes: 1.5kg meat per person; choice of 120 seekh; 20 yogurts; 20 cold drinks; 50 bread; 3 big vegetables/salad; 5 hummus; BBQ supplies.
Est. Savings: 300.00 QAR</v>
      </c>
      <c r="N6" s="120" t="s">
        <v>55</v>
      </c>
      <c r="O6" s="120" t="s">
        <v>55</v>
      </c>
      <c r="P6" s="162" t="s">
        <v>55</v>
      </c>
      <c r="Q6" s="556" t="s">
        <v>52</v>
      </c>
      <c r="R6" s="130" t="s">
        <v>291</v>
      </c>
      <c r="S6" s="168"/>
      <c r="T6" s="179"/>
      <c r="U6" s="179" t="s">
        <v>57</v>
      </c>
      <c r="V6" s="176"/>
      <c r="X6" s="5">
        <v>30</v>
      </c>
      <c r="AB6" s="201" t="s">
        <v>572</v>
      </c>
    </row>
    <row r="7" spans="1:28" s="5" customFormat="1" ht="281.5" customHeight="1" x14ac:dyDescent="0.35">
      <c r="A7" s="117">
        <v>2</v>
      </c>
      <c r="B7" s="244" t="s">
        <v>45</v>
      </c>
      <c r="C7" s="432" t="s">
        <v>46</v>
      </c>
      <c r="D7" s="117" t="s">
        <v>569</v>
      </c>
      <c r="E7" s="150" t="s">
        <v>573</v>
      </c>
      <c r="F7" s="117" t="s">
        <v>49</v>
      </c>
      <c r="G7" s="117" t="s">
        <v>71</v>
      </c>
      <c r="H7" s="25" t="s">
        <v>93</v>
      </c>
      <c r="I7" s="441" t="str">
        <f>ROUND(VALUE(SUBSTITUTE(H7," QAR",""))*(1-X7/100),0)&amp;" QAR"</f>
        <v>1400 QAR</v>
      </c>
      <c r="J7" s="117" t="s">
        <v>74</v>
      </c>
      <c r="K7" s="426" t="s">
        <v>52</v>
      </c>
      <c r="L7" s="142" t="s">
        <v>571</v>
      </c>
      <c r="M7" s="458" t="str">
        <f>AB7&amp;CHAR(10)&amp;"Est. Savings: "&amp;IF(AND(X7&lt;&gt;"",Y7&lt;&gt;""),TEXT(ROUND((X7/100)*Y7,2),"0.00")&amp;" QAR",IF(AND(Z7&lt;&gt;"",AA7&lt;&gt;""),TEXT(ROUND(Z7*AA7,2),"0.00")&amp;" QAR",IFERROR(TEXT(ROUND((X7/100)*VALUE(SUBSTITUTE(H7," QAR","")),2),"0.00")&amp;" QAR","NA")))</f>
        <v>Private Grill Experience – Serves 20 pax.
Includes: 1.5kg meat per person; choice of 240 seekh; 40 yogurts; 40 cold drinks; 100 bread; 6 big vegetables/salad; 10 hummus; BBQ supplies.
Est. Savings: 600.00 QAR</v>
      </c>
      <c r="N7" s="120" t="s">
        <v>55</v>
      </c>
      <c r="O7" s="120" t="s">
        <v>55</v>
      </c>
      <c r="P7" s="162" t="s">
        <v>55</v>
      </c>
      <c r="Q7" s="557"/>
      <c r="R7" s="130" t="s">
        <v>291</v>
      </c>
      <c r="S7" s="169"/>
      <c r="T7" s="174"/>
      <c r="U7" s="179" t="s">
        <v>57</v>
      </c>
      <c r="V7" s="126"/>
      <c r="X7" s="5">
        <v>30</v>
      </c>
      <c r="Z7"/>
      <c r="AA7"/>
      <c r="AB7" s="201" t="s">
        <v>574</v>
      </c>
    </row>
    <row r="8" spans="1:28" s="5" customFormat="1" ht="276" customHeight="1" x14ac:dyDescent="0.35">
      <c r="A8" s="117">
        <v>3</v>
      </c>
      <c r="B8" s="244" t="s">
        <v>45</v>
      </c>
      <c r="C8" s="432" t="s">
        <v>46</v>
      </c>
      <c r="D8" s="117" t="s">
        <v>569</v>
      </c>
      <c r="E8" s="150" t="s">
        <v>575</v>
      </c>
      <c r="F8" s="117" t="s">
        <v>49</v>
      </c>
      <c r="G8" s="117" t="s">
        <v>71</v>
      </c>
      <c r="H8" s="25" t="s">
        <v>154</v>
      </c>
      <c r="I8" s="441" t="s">
        <v>52</v>
      </c>
      <c r="J8" s="117" t="s">
        <v>74</v>
      </c>
      <c r="K8" s="426" t="s">
        <v>52</v>
      </c>
      <c r="L8" s="142" t="s">
        <v>437</v>
      </c>
      <c r="M8" s="458" t="str">
        <f>AB8&amp;CHAR(10)&amp;"Est. Savings: "&amp;IF(AND(X8&lt;&gt;"",Y8&lt;&gt;""),TEXT(ROUND((X8/100)*Y8,2),"0.00")&amp;" QAR",IF(AND(Z8&lt;&gt;"",AA8&lt;&gt;""),TEXT(ROUND(Z8*AA8,2),"0.00")&amp;" QAR",IFERROR(TEXT(ROUND((X8/100)*VALUE(SUBSTITUTE(H8," QAR","")),2),"0.00")&amp;" QAR","NA")))</f>
        <v>Minimum Spend to avail discount: 100 QAR
Est. Savings: 20.00 QAR</v>
      </c>
      <c r="N8" s="120" t="s">
        <v>55</v>
      </c>
      <c r="O8" s="120" t="s">
        <v>55</v>
      </c>
      <c r="P8" s="162" t="s">
        <v>55</v>
      </c>
      <c r="Q8" s="558"/>
      <c r="R8" s="130" t="s">
        <v>56</v>
      </c>
      <c r="S8" s="169"/>
      <c r="T8" s="174"/>
      <c r="U8" s="179" t="s">
        <v>57</v>
      </c>
      <c r="V8" s="171"/>
      <c r="X8" s="5">
        <v>20</v>
      </c>
      <c r="Y8" s="5">
        <v>100</v>
      </c>
      <c r="AB8" s="5" t="s">
        <v>576</v>
      </c>
    </row>
    <row r="9" spans="1:28" s="5" customFormat="1" ht="284.5" customHeight="1" x14ac:dyDescent="0.35">
      <c r="A9" s="117"/>
      <c r="B9" s="244"/>
      <c r="C9" s="432"/>
      <c r="D9" s="117"/>
      <c r="E9" s="150"/>
      <c r="F9" s="117"/>
      <c r="G9" s="117"/>
      <c r="H9" s="26"/>
      <c r="I9" s="441"/>
      <c r="J9" s="117"/>
      <c r="K9" s="426"/>
      <c r="L9" s="142"/>
      <c r="M9" s="451"/>
      <c r="N9" s="120"/>
      <c r="O9" s="120"/>
      <c r="P9" s="162"/>
      <c r="Q9" s="75"/>
      <c r="R9" s="130"/>
      <c r="S9" s="169"/>
      <c r="T9" s="174"/>
      <c r="U9" s="179"/>
      <c r="V9" s="171"/>
      <c r="Z9" s="5">
        <v>1</v>
      </c>
      <c r="AA9" s="5" t="e">
        <f>VALUE(SUBSTITUTE(H9," QAR",""))</f>
        <v>#VALUE!</v>
      </c>
      <c r="AB9" s="5" t="s">
        <v>52</v>
      </c>
    </row>
    <row r="10" spans="1:28" s="5" customFormat="1" ht="248.5" customHeight="1" x14ac:dyDescent="0.35">
      <c r="A10" s="117"/>
      <c r="B10" s="244"/>
      <c r="C10" s="432"/>
      <c r="D10" s="8"/>
      <c r="E10" s="150"/>
      <c r="F10" s="117"/>
      <c r="G10" s="117"/>
      <c r="H10" s="26"/>
      <c r="I10" s="441"/>
      <c r="J10" s="117"/>
      <c r="K10" s="426"/>
      <c r="L10" s="135"/>
      <c r="M10" s="452"/>
      <c r="N10" s="120"/>
      <c r="O10" s="120"/>
      <c r="P10" s="162"/>
      <c r="Q10" s="551"/>
      <c r="R10" s="102"/>
      <c r="S10" s="169"/>
      <c r="T10" s="174"/>
      <c r="U10" s="179"/>
      <c r="V10" s="435"/>
      <c r="Z10" s="5">
        <v>1</v>
      </c>
      <c r="AA10" s="5">
        <v>25</v>
      </c>
      <c r="AB10" s="5" t="s">
        <v>52</v>
      </c>
    </row>
    <row r="11" spans="1:28" s="5" customFormat="1" ht="211" customHeight="1" x14ac:dyDescent="0.35">
      <c r="A11" s="117"/>
      <c r="B11" s="244"/>
      <c r="C11" s="432"/>
      <c r="D11" s="8"/>
      <c r="E11" s="150"/>
      <c r="F11" s="117"/>
      <c r="G11" s="117"/>
      <c r="H11" s="26"/>
      <c r="I11" s="441"/>
      <c r="J11" s="117"/>
      <c r="K11" s="426"/>
      <c r="L11" s="135"/>
      <c r="M11" s="452"/>
      <c r="N11" s="120"/>
      <c r="O11" s="120"/>
      <c r="P11" s="162"/>
      <c r="Q11" s="543"/>
      <c r="R11" s="102"/>
      <c r="S11" s="169"/>
      <c r="T11" s="174"/>
      <c r="U11" s="179"/>
      <c r="V11" s="435"/>
      <c r="Z11" s="5">
        <v>1</v>
      </c>
      <c r="AA11" s="5">
        <v>75</v>
      </c>
      <c r="AB11" s="5" t="s">
        <v>52</v>
      </c>
    </row>
    <row r="12" spans="1:28" s="5" customFormat="1" ht="187" customHeight="1" x14ac:dyDescent="0.35">
      <c r="A12" s="117"/>
      <c r="B12" s="244"/>
      <c r="C12" s="432"/>
      <c r="D12" s="8"/>
      <c r="E12" s="8"/>
      <c r="F12" s="117"/>
      <c r="G12" s="117"/>
      <c r="H12" s="26"/>
      <c r="I12" s="441"/>
      <c r="J12" s="117"/>
      <c r="K12" s="426"/>
      <c r="L12" s="135"/>
      <c r="M12" s="452"/>
      <c r="N12" s="120"/>
      <c r="O12" s="120"/>
      <c r="P12" s="162"/>
      <c r="Q12" s="543"/>
      <c r="R12" s="102"/>
      <c r="S12" s="169"/>
      <c r="T12" s="265"/>
      <c r="U12" s="179"/>
      <c r="V12" s="435"/>
      <c r="Z12" s="5">
        <v>1</v>
      </c>
      <c r="AA12" s="5">
        <v>100</v>
      </c>
      <c r="AB12" s="5" t="s">
        <v>52</v>
      </c>
    </row>
    <row r="13" spans="1:28" s="5" customFormat="1" ht="202.5" customHeight="1" x14ac:dyDescent="0.35">
      <c r="A13" s="117"/>
      <c r="B13" s="244"/>
      <c r="C13" s="8"/>
      <c r="D13" s="8"/>
      <c r="E13" s="8"/>
      <c r="F13" s="117"/>
      <c r="G13" s="117"/>
      <c r="H13" s="26"/>
      <c r="I13" s="441"/>
      <c r="J13" s="117"/>
      <c r="K13" s="426"/>
      <c r="L13" s="135"/>
      <c r="M13" s="452"/>
      <c r="N13" s="120"/>
      <c r="O13" s="120"/>
      <c r="P13" s="162"/>
      <c r="Q13" s="543"/>
      <c r="R13" s="102"/>
      <c r="S13" s="434"/>
      <c r="T13" s="265"/>
      <c r="U13" s="179"/>
      <c r="V13" s="435"/>
      <c r="Z13" s="5">
        <v>1</v>
      </c>
      <c r="AA13" s="5">
        <v>300</v>
      </c>
      <c r="AB13" s="5" t="s">
        <v>52</v>
      </c>
    </row>
    <row r="14" spans="1:28" s="5" customFormat="1" ht="209.5" customHeight="1" x14ac:dyDescent="0.35">
      <c r="A14" s="117"/>
      <c r="B14" s="244"/>
      <c r="C14" s="8"/>
      <c r="D14" s="8"/>
      <c r="E14" s="8"/>
      <c r="F14" s="8"/>
      <c r="G14" s="8"/>
      <c r="H14" s="26"/>
      <c r="I14" s="441"/>
      <c r="J14" s="8"/>
      <c r="K14" s="8"/>
      <c r="L14" s="438"/>
      <c r="M14" s="453"/>
      <c r="N14" s="120"/>
      <c r="O14" s="120"/>
      <c r="P14" s="162"/>
      <c r="Q14" s="543"/>
      <c r="R14" s="102"/>
      <c r="S14" s="434"/>
      <c r="T14" s="174"/>
      <c r="U14" s="179"/>
      <c r="V14" s="435"/>
      <c r="X14" s="5">
        <v>10</v>
      </c>
      <c r="AB14" s="5" t="s">
        <v>52</v>
      </c>
    </row>
    <row r="15" spans="1:28" s="5" customFormat="1" ht="213" customHeight="1" x14ac:dyDescent="0.35">
      <c r="A15" s="117"/>
      <c r="B15" s="244"/>
      <c r="C15" s="8"/>
      <c r="D15" s="8"/>
      <c r="E15" s="8"/>
      <c r="F15" s="8"/>
      <c r="G15" s="8"/>
      <c r="H15" s="26"/>
      <c r="I15" s="441"/>
      <c r="J15" s="8"/>
      <c r="K15" s="8"/>
      <c r="L15" s="438"/>
      <c r="M15" s="453"/>
      <c r="N15" s="120"/>
      <c r="O15" s="120"/>
      <c r="P15" s="162"/>
      <c r="Q15" s="543"/>
      <c r="R15" s="102"/>
      <c r="S15" s="434"/>
      <c r="T15" s="174"/>
      <c r="U15" s="179"/>
      <c r="V15" s="435"/>
      <c r="X15" s="5">
        <v>20</v>
      </c>
      <c r="AB15" s="5" t="s">
        <v>52</v>
      </c>
    </row>
    <row r="16" spans="1:28" s="5" customFormat="1" ht="252.65" customHeight="1" x14ac:dyDescent="0.35">
      <c r="A16" s="117"/>
      <c r="B16" s="244"/>
      <c r="C16" s="8"/>
      <c r="D16" s="8"/>
      <c r="E16" s="8"/>
      <c r="F16" s="8"/>
      <c r="G16" s="8"/>
      <c r="H16" s="26"/>
      <c r="I16" s="441"/>
      <c r="J16" s="8"/>
      <c r="K16" s="8"/>
      <c r="L16" s="447"/>
      <c r="M16" s="453"/>
      <c r="N16" s="38"/>
      <c r="O16" s="120"/>
      <c r="P16" s="162"/>
      <c r="Q16" s="551"/>
      <c r="R16" s="102"/>
      <c r="S16" s="434"/>
      <c r="T16" s="449"/>
      <c r="U16" s="179"/>
      <c r="V16" s="435"/>
      <c r="Z16" s="5">
        <v>1</v>
      </c>
      <c r="AA16" s="5" t="e">
        <f>VALUE(SUBSTITUTE(H16," QAR",""))</f>
        <v>#VALUE!</v>
      </c>
      <c r="AB16" s="5" t="s">
        <v>52</v>
      </c>
    </row>
    <row r="17" spans="1:28" s="5" customFormat="1" ht="248.15" customHeight="1" x14ac:dyDescent="0.35">
      <c r="A17" s="117"/>
      <c r="B17" s="244"/>
      <c r="C17" s="8"/>
      <c r="D17" s="8"/>
      <c r="E17" s="8"/>
      <c r="F17" s="8"/>
      <c r="G17" s="8"/>
      <c r="H17" s="26"/>
      <c r="I17" s="441"/>
      <c r="J17" s="117"/>
      <c r="K17" s="426"/>
      <c r="L17" s="75"/>
      <c r="M17" s="454"/>
      <c r="N17" s="38"/>
      <c r="O17" s="120"/>
      <c r="P17" s="162"/>
      <c r="Q17" s="551"/>
      <c r="R17" s="102"/>
      <c r="S17" s="434"/>
      <c r="T17" s="174"/>
      <c r="U17" s="179"/>
      <c r="V17" s="435"/>
      <c r="X17" s="5">
        <v>15</v>
      </c>
      <c r="Y17" s="5">
        <v>300</v>
      </c>
      <c r="AB17" s="5" t="s">
        <v>52</v>
      </c>
    </row>
    <row r="18" spans="1:28" s="3" customFormat="1" ht="196" customHeight="1" x14ac:dyDescent="0.35">
      <c r="A18" s="117"/>
      <c r="B18" s="244"/>
      <c r="C18" s="8"/>
      <c r="D18" s="8"/>
      <c r="E18" s="8"/>
      <c r="F18" s="8"/>
      <c r="G18" s="8"/>
      <c r="H18" s="26"/>
      <c r="I18" s="441"/>
      <c r="J18" s="117"/>
      <c r="K18" s="426"/>
      <c r="L18" s="75"/>
      <c r="M18" s="454"/>
      <c r="N18" s="38"/>
      <c r="O18" s="120"/>
      <c r="P18" s="162"/>
      <c r="Q18" s="551"/>
      <c r="R18" s="102"/>
      <c r="S18" s="434"/>
      <c r="T18" s="174"/>
      <c r="U18" s="179"/>
      <c r="V18" s="435"/>
      <c r="X18" s="3">
        <v>20</v>
      </c>
      <c r="Y18" s="3">
        <v>300</v>
      </c>
      <c r="AB18" s="3" t="s">
        <v>52</v>
      </c>
    </row>
    <row r="19" spans="1:28" s="3" customFormat="1" ht="260.5" customHeight="1" x14ac:dyDescent="0.35">
      <c r="A19" s="117"/>
      <c r="B19" s="244"/>
      <c r="C19" s="8"/>
      <c r="D19" s="8"/>
      <c r="E19" s="8"/>
      <c r="F19" s="8"/>
      <c r="G19" s="8"/>
      <c r="H19" s="26"/>
      <c r="I19" s="448"/>
      <c r="J19" s="117"/>
      <c r="K19" s="426"/>
      <c r="L19" s="75"/>
      <c r="M19" s="454"/>
      <c r="N19" s="38"/>
      <c r="O19" s="120"/>
      <c r="P19" s="162"/>
      <c r="Q19" s="551"/>
      <c r="R19" s="102"/>
      <c r="S19" s="169"/>
      <c r="T19" s="174"/>
      <c r="U19" s="179"/>
      <c r="V19" s="34"/>
      <c r="Z19" s="3">
        <v>1</v>
      </c>
      <c r="AA19" s="3" t="e">
        <f>VALUE(SUBSTITUTE(H19," QAR",""))</f>
        <v>#VALUE!</v>
      </c>
      <c r="AB19" s="3" t="s">
        <v>52</v>
      </c>
    </row>
    <row r="20" spans="1:28" s="3" customFormat="1" ht="209.5" customHeight="1" x14ac:dyDescent="0.35">
      <c r="A20" s="8"/>
      <c r="B20" s="13"/>
      <c r="C20" s="144"/>
      <c r="D20" s="8"/>
      <c r="E20" s="8"/>
      <c r="F20" s="8"/>
      <c r="G20" s="8"/>
      <c r="H20" s="26"/>
      <c r="I20" s="457"/>
      <c r="J20" s="8"/>
      <c r="K20" s="132"/>
      <c r="L20" s="75"/>
      <c r="M20" s="455"/>
      <c r="N20" s="38"/>
      <c r="O20" s="120"/>
      <c r="P20" s="162"/>
      <c r="Q20" s="551"/>
      <c r="R20" s="102"/>
      <c r="S20" s="169"/>
      <c r="T20" s="174"/>
      <c r="U20" s="179"/>
      <c r="V20" s="34"/>
      <c r="Z20" s="3">
        <v>1</v>
      </c>
      <c r="AA20" s="3" t="e">
        <f>VALUE(SUBSTITUTE(H20," QAR",""))</f>
        <v>#VALUE!</v>
      </c>
      <c r="AB20" s="3" t="s">
        <v>52</v>
      </c>
    </row>
    <row r="21" spans="1:28" s="3" customFormat="1" ht="164.5" customHeight="1" x14ac:dyDescent="0.35">
      <c r="A21" s="8"/>
      <c r="B21" s="13"/>
      <c r="C21" s="144"/>
      <c r="D21" s="8"/>
      <c r="E21" s="8"/>
      <c r="F21" s="8"/>
      <c r="G21" s="8"/>
      <c r="H21" s="26"/>
      <c r="I21" s="448"/>
      <c r="J21" s="8"/>
      <c r="K21" s="8"/>
      <c r="L21" s="119"/>
      <c r="M21" s="453"/>
      <c r="N21" s="8"/>
      <c r="O21" s="8"/>
      <c r="P21" s="132"/>
      <c r="Q21" s="551"/>
      <c r="R21" s="102"/>
      <c r="S21" s="169"/>
      <c r="T21" s="174"/>
      <c r="U21" s="179"/>
      <c r="V21" s="34"/>
      <c r="X21" s="3">
        <v>15</v>
      </c>
      <c r="Y21" s="3">
        <v>300</v>
      </c>
      <c r="AB21" s="3" t="s">
        <v>52</v>
      </c>
    </row>
    <row r="22" spans="1:28" s="3" customFormat="1" ht="181.5" customHeight="1" x14ac:dyDescent="0.35">
      <c r="A22" s="8"/>
      <c r="B22" s="13"/>
      <c r="C22" s="144"/>
      <c r="D22" s="8"/>
      <c r="E22" s="8"/>
      <c r="F22" s="8"/>
      <c r="G22" s="8"/>
      <c r="H22" s="26"/>
      <c r="I22" s="448"/>
      <c r="J22" s="8"/>
      <c r="K22" s="8"/>
      <c r="L22" s="9"/>
      <c r="M22" s="453"/>
      <c r="N22" s="8"/>
      <c r="O22" s="8"/>
      <c r="P22" s="132"/>
      <c r="Q22" s="551"/>
      <c r="R22" s="102"/>
      <c r="S22" s="169"/>
      <c r="T22" s="174"/>
      <c r="U22" s="179"/>
      <c r="V22" s="34"/>
      <c r="X22" s="3">
        <v>20</v>
      </c>
      <c r="Y22" s="3">
        <v>300</v>
      </c>
      <c r="AB22" s="3" t="s">
        <v>52</v>
      </c>
    </row>
    <row r="23" spans="1:28" s="3" customFormat="1" ht="177.65" customHeight="1" x14ac:dyDescent="0.35">
      <c r="A23" s="8"/>
      <c r="B23" s="13"/>
      <c r="C23" s="144"/>
      <c r="D23" s="8"/>
      <c r="E23" s="8"/>
      <c r="F23" s="8"/>
      <c r="G23" s="8"/>
      <c r="H23" s="26"/>
      <c r="I23" s="448"/>
      <c r="J23" s="8"/>
      <c r="K23" s="8"/>
      <c r="L23" s="9"/>
      <c r="M23" s="453"/>
      <c r="N23" s="8"/>
      <c r="O23" s="8"/>
      <c r="P23" s="132"/>
      <c r="Q23" s="551"/>
      <c r="R23" s="102"/>
      <c r="S23" s="169"/>
      <c r="T23" s="174"/>
      <c r="U23" s="179"/>
      <c r="V23" s="34"/>
      <c r="Z23" s="3">
        <v>1</v>
      </c>
      <c r="AA23" s="3" t="e">
        <f>VALUE(SUBSTITUTE(H23," QAR",""))</f>
        <v>#VALUE!</v>
      </c>
      <c r="AB23" s="3" t="s">
        <v>52</v>
      </c>
    </row>
    <row r="24" spans="1:28" s="3" customFormat="1" ht="167.15" customHeight="1" x14ac:dyDescent="0.35">
      <c r="A24" s="8"/>
      <c r="B24" s="13"/>
      <c r="C24" s="144"/>
      <c r="D24" s="8"/>
      <c r="E24" s="8"/>
      <c r="F24" s="8"/>
      <c r="G24" s="8"/>
      <c r="H24" s="26"/>
      <c r="I24" s="448"/>
      <c r="J24" s="8"/>
      <c r="K24" s="8"/>
      <c r="L24" s="9"/>
      <c r="M24" s="453"/>
      <c r="N24" s="8"/>
      <c r="O24" s="8"/>
      <c r="P24" s="132"/>
      <c r="Q24" s="551"/>
      <c r="R24" s="102"/>
      <c r="S24" s="169"/>
      <c r="T24" s="174"/>
      <c r="U24" s="179"/>
      <c r="V24" s="34"/>
      <c r="Z24" s="3">
        <v>1</v>
      </c>
      <c r="AA24" s="3" t="e">
        <f>VALUE(SUBSTITUTE(H24," QAR",""))</f>
        <v>#VALUE!</v>
      </c>
      <c r="AB24" s="3" t="s">
        <v>52</v>
      </c>
    </row>
    <row r="25" spans="1:28" s="3" customFormat="1" ht="158.15" customHeight="1" x14ac:dyDescent="0.35">
      <c r="A25" s="8"/>
      <c r="B25" s="13"/>
      <c r="C25" s="144"/>
      <c r="D25" s="8"/>
      <c r="E25" s="8"/>
      <c r="F25" s="8"/>
      <c r="G25" s="8"/>
      <c r="H25" s="26"/>
      <c r="I25" s="448"/>
      <c r="J25" s="8"/>
      <c r="K25" s="8"/>
      <c r="L25" s="9"/>
      <c r="M25" s="453"/>
      <c r="N25" s="8"/>
      <c r="O25" s="8"/>
      <c r="P25" s="132"/>
      <c r="Q25" s="551"/>
      <c r="R25" s="102"/>
      <c r="S25" s="169"/>
      <c r="T25" s="174"/>
      <c r="U25" s="179"/>
      <c r="V25" s="34"/>
      <c r="Z25" s="3">
        <v>1</v>
      </c>
      <c r="AA25" s="3" t="e">
        <f>VALUE(SUBSTITUTE(H25," QAR",""))</f>
        <v>#VALUE!</v>
      </c>
      <c r="AB25" s="3" t="s">
        <v>52</v>
      </c>
    </row>
    <row r="26" spans="1:28" s="3" customFormat="1" ht="153" customHeight="1" x14ac:dyDescent="0.35">
      <c r="A26" s="8"/>
      <c r="B26" s="13"/>
      <c r="C26" s="144"/>
      <c r="D26" s="8"/>
      <c r="E26" s="8"/>
      <c r="F26" s="8"/>
      <c r="G26" s="8"/>
      <c r="H26" s="26"/>
      <c r="I26" s="448"/>
      <c r="J26" s="8"/>
      <c r="K26" s="8"/>
      <c r="L26" s="9"/>
      <c r="M26" s="456"/>
      <c r="N26" s="8"/>
      <c r="O26" s="8"/>
      <c r="P26" s="132"/>
      <c r="Q26" s="551"/>
      <c r="R26" s="102"/>
      <c r="S26" s="169"/>
      <c r="T26" s="174"/>
      <c r="U26" s="179"/>
      <c r="V26" s="34"/>
      <c r="Z26" s="3">
        <v>1</v>
      </c>
      <c r="AA26" s="3" t="e">
        <f>VALUE(SUBSTITUTE(H26," QAR",""))</f>
        <v>#VALUE!</v>
      </c>
      <c r="AB26" s="3" t="s">
        <v>52</v>
      </c>
    </row>
    <row r="27" spans="1:28" ht="79.5" customHeight="1" x14ac:dyDescent="0.4">
      <c r="A27" s="19"/>
      <c r="B27" s="20"/>
      <c r="C27" s="144"/>
      <c r="D27" s="19"/>
      <c r="E27" s="19"/>
      <c r="F27" s="19"/>
      <c r="G27" s="19"/>
      <c r="H27" s="28"/>
      <c r="I27" s="28"/>
      <c r="J27" s="19"/>
      <c r="K27" s="19"/>
      <c r="L27" s="21"/>
      <c r="M27" s="132"/>
      <c r="N27" s="38"/>
      <c r="O27" s="38"/>
      <c r="P27" s="136"/>
      <c r="Q27" s="38"/>
      <c r="R27" s="178"/>
      <c r="S27" s="170"/>
      <c r="T27" s="174"/>
      <c r="U27" s="175"/>
      <c r="V27" s="34"/>
    </row>
    <row r="28" spans="1:28" ht="16" x14ac:dyDescent="0.35">
      <c r="N28" s="79"/>
      <c r="O28" s="79"/>
      <c r="P28" s="79"/>
      <c r="Q28" s="79"/>
    </row>
    <row r="29" spans="1:28" ht="16" x14ac:dyDescent="0.35">
      <c r="N29" s="79"/>
      <c r="O29" s="79"/>
      <c r="P29" s="79"/>
      <c r="Q29" s="79"/>
    </row>
    <row r="30" spans="1:28" ht="16" x14ac:dyDescent="0.35">
      <c r="N30" s="79"/>
      <c r="O30" s="79"/>
      <c r="P30" s="79"/>
      <c r="Q30" s="79"/>
    </row>
    <row r="31" spans="1:28" ht="16" x14ac:dyDescent="0.35">
      <c r="N31" s="79"/>
      <c r="O31" s="79"/>
      <c r="P31" s="79"/>
      <c r="Q31" s="79"/>
    </row>
    <row r="32" spans="1:28" ht="16" x14ac:dyDescent="0.35">
      <c r="N32" s="79"/>
      <c r="O32" s="79"/>
      <c r="P32" s="79"/>
      <c r="Q32" s="79"/>
    </row>
    <row r="33" spans="14:17" ht="16" x14ac:dyDescent="0.35">
      <c r="N33" s="79"/>
      <c r="O33" s="79"/>
      <c r="P33" s="79"/>
      <c r="Q33" s="79"/>
    </row>
    <row r="34" spans="14:17" ht="16" x14ac:dyDescent="0.35">
      <c r="N34" s="79"/>
      <c r="O34" s="79"/>
      <c r="P34" s="79"/>
      <c r="Q34" s="79"/>
    </row>
    <row r="35" spans="14:17" ht="16" x14ac:dyDescent="0.35">
      <c r="N35" s="79"/>
      <c r="O35" s="79"/>
      <c r="P35" s="79"/>
      <c r="Q35" s="79"/>
    </row>
    <row r="36" spans="14:17" ht="16" x14ac:dyDescent="0.35">
      <c r="N36" s="79"/>
      <c r="O36" s="79"/>
      <c r="P36" s="79"/>
      <c r="Q36" s="79"/>
    </row>
    <row r="37" spans="14:17" ht="16" x14ac:dyDescent="0.35">
      <c r="N37" s="79"/>
      <c r="O37" s="79"/>
      <c r="P37" s="79"/>
      <c r="Q37" s="79"/>
    </row>
    <row r="38" spans="14:17" ht="16" x14ac:dyDescent="0.35">
      <c r="N38" s="79"/>
      <c r="O38" s="79"/>
      <c r="P38" s="79"/>
      <c r="Q38" s="79"/>
    </row>
    <row r="39" spans="14:17" ht="16" x14ac:dyDescent="0.35">
      <c r="N39" s="79"/>
      <c r="O39" s="79"/>
      <c r="P39" s="79"/>
      <c r="Q39" s="79"/>
    </row>
    <row r="40" spans="14:17" ht="16" x14ac:dyDescent="0.35">
      <c r="N40" s="79"/>
      <c r="O40" s="79"/>
      <c r="P40" s="79"/>
      <c r="Q40" s="79"/>
    </row>
    <row r="41" spans="14:17" ht="16" x14ac:dyDescent="0.35">
      <c r="N41" s="79"/>
      <c r="O41" s="79"/>
      <c r="P41" s="79"/>
      <c r="Q41" s="79"/>
    </row>
    <row r="42" spans="14:17" ht="16" x14ac:dyDescent="0.35">
      <c r="N42" s="79"/>
      <c r="O42" s="79"/>
      <c r="P42" s="79"/>
      <c r="Q42" s="79"/>
    </row>
    <row r="43" spans="14:17" ht="16" x14ac:dyDescent="0.35">
      <c r="N43" s="79"/>
      <c r="O43" s="79"/>
      <c r="P43" s="79"/>
      <c r="Q43" s="79"/>
    </row>
    <row r="44" spans="14:17" ht="16" x14ac:dyDescent="0.35">
      <c r="N44" s="79"/>
      <c r="O44" s="79"/>
      <c r="P44" s="79"/>
      <c r="Q44" s="79"/>
    </row>
    <row r="45" spans="14:17" ht="16" x14ac:dyDescent="0.35">
      <c r="N45" s="79"/>
      <c r="O45" s="79"/>
      <c r="P45" s="79"/>
      <c r="Q45" s="79"/>
    </row>
    <row r="46" spans="14:17" ht="16" x14ac:dyDescent="0.35">
      <c r="N46" s="79"/>
      <c r="O46" s="79"/>
      <c r="P46" s="79"/>
      <c r="Q46" s="79"/>
    </row>
    <row r="47" spans="14:17" ht="16" x14ac:dyDescent="0.35">
      <c r="N47" s="79"/>
      <c r="O47" s="79"/>
      <c r="P47" s="79"/>
      <c r="Q47" s="79"/>
    </row>
    <row r="48" spans="14:17" ht="16" x14ac:dyDescent="0.35">
      <c r="N48" s="79"/>
      <c r="O48" s="79"/>
      <c r="P48" s="79"/>
      <c r="Q48" s="79"/>
    </row>
    <row r="49" spans="14:17" ht="16" x14ac:dyDescent="0.35">
      <c r="N49" s="79"/>
      <c r="O49" s="79"/>
      <c r="P49" s="79"/>
      <c r="Q49" s="79"/>
    </row>
    <row r="50" spans="14:17" ht="16" x14ac:dyDescent="0.35">
      <c r="N50" s="79"/>
      <c r="O50" s="79"/>
      <c r="P50" s="79"/>
      <c r="Q50" s="79"/>
    </row>
    <row r="51" spans="14:17" ht="16" x14ac:dyDescent="0.35">
      <c r="N51" s="79"/>
      <c r="O51" s="79"/>
      <c r="P51" s="79"/>
      <c r="Q51" s="79"/>
    </row>
    <row r="52" spans="14:17" ht="16" x14ac:dyDescent="0.35">
      <c r="N52" s="79"/>
      <c r="O52" s="79"/>
      <c r="P52" s="79"/>
      <c r="Q52" s="79"/>
    </row>
    <row r="53" spans="14:17" ht="16" x14ac:dyDescent="0.35">
      <c r="N53" s="79"/>
      <c r="O53" s="79"/>
      <c r="P53" s="79"/>
      <c r="Q53" s="79"/>
    </row>
    <row r="54" spans="14:17" ht="16" x14ac:dyDescent="0.35">
      <c r="N54" s="79"/>
      <c r="O54" s="79"/>
      <c r="P54" s="79"/>
      <c r="Q54" s="79"/>
    </row>
    <row r="55" spans="14:17" ht="16" x14ac:dyDescent="0.35">
      <c r="N55" s="79"/>
      <c r="O55" s="79"/>
      <c r="P55" s="79"/>
      <c r="Q55" s="79"/>
    </row>
    <row r="56" spans="14:17" ht="16" x14ac:dyDescent="0.35">
      <c r="N56" s="79"/>
      <c r="O56" s="79"/>
      <c r="P56" s="79"/>
      <c r="Q56" s="79"/>
    </row>
    <row r="57" spans="14:17" ht="16" x14ac:dyDescent="0.35">
      <c r="N57" s="79"/>
      <c r="O57" s="79"/>
      <c r="P57" s="79"/>
      <c r="Q57" s="79"/>
    </row>
    <row r="58" spans="14:17" ht="16" x14ac:dyDescent="0.35">
      <c r="N58" s="79"/>
      <c r="O58" s="79"/>
      <c r="P58" s="79"/>
      <c r="Q58" s="79"/>
    </row>
    <row r="59" spans="14:17" ht="16" x14ac:dyDescent="0.35">
      <c r="N59" s="79"/>
      <c r="O59" s="79"/>
      <c r="P59" s="79"/>
      <c r="Q59" s="79"/>
    </row>
    <row r="60" spans="14:17" ht="16" x14ac:dyDescent="0.35">
      <c r="N60" s="79"/>
      <c r="O60" s="79"/>
      <c r="P60" s="79"/>
      <c r="Q60" s="79"/>
    </row>
    <row r="61" spans="14:17" ht="16" x14ac:dyDescent="0.35">
      <c r="N61" s="79"/>
      <c r="O61" s="79"/>
      <c r="P61" s="79"/>
      <c r="Q61" s="79"/>
    </row>
    <row r="62" spans="14:17" ht="16" x14ac:dyDescent="0.35">
      <c r="N62" s="79"/>
      <c r="O62" s="79"/>
      <c r="P62" s="79"/>
      <c r="Q62" s="79"/>
    </row>
    <row r="63" spans="14:17" ht="16" x14ac:dyDescent="0.35">
      <c r="N63" s="79"/>
      <c r="O63" s="79"/>
      <c r="P63" s="79"/>
      <c r="Q63" s="79"/>
    </row>
    <row r="64" spans="14:17" ht="16" x14ac:dyDescent="0.35">
      <c r="N64" s="79"/>
      <c r="O64" s="79"/>
      <c r="P64" s="79"/>
      <c r="Q64" s="79"/>
    </row>
    <row r="65" spans="14:17" ht="16" x14ac:dyDescent="0.35">
      <c r="N65" s="79"/>
      <c r="O65" s="79"/>
      <c r="P65" s="79"/>
      <c r="Q65" s="79"/>
    </row>
    <row r="66" spans="14:17" ht="16" x14ac:dyDescent="0.35">
      <c r="N66" s="79"/>
      <c r="O66" s="79"/>
      <c r="P66" s="79"/>
      <c r="Q66" s="79"/>
    </row>
    <row r="67" spans="14:17" ht="16" x14ac:dyDescent="0.35">
      <c r="N67" s="79"/>
      <c r="O67" s="79"/>
      <c r="P67" s="79"/>
      <c r="Q67" s="79"/>
    </row>
    <row r="68" spans="14:17" ht="16" x14ac:dyDescent="0.35">
      <c r="N68" s="79"/>
      <c r="O68" s="79"/>
      <c r="P68" s="79"/>
      <c r="Q68" s="79"/>
    </row>
    <row r="69" spans="14:17" ht="16" x14ac:dyDescent="0.35">
      <c r="N69" s="79"/>
      <c r="O69" s="79"/>
      <c r="P69" s="79"/>
      <c r="Q69" s="79"/>
    </row>
    <row r="70" spans="14:17" ht="16" x14ac:dyDescent="0.35">
      <c r="N70" s="79"/>
      <c r="O70" s="79"/>
      <c r="P70" s="79"/>
      <c r="Q70" s="79"/>
    </row>
    <row r="71" spans="14:17" ht="16" x14ac:dyDescent="0.35">
      <c r="N71" s="79"/>
      <c r="O71" s="79"/>
      <c r="P71" s="79"/>
      <c r="Q71" s="79"/>
    </row>
    <row r="72" spans="14:17" ht="16" x14ac:dyDescent="0.35">
      <c r="N72" s="79"/>
      <c r="O72" s="79"/>
      <c r="P72" s="79"/>
      <c r="Q72" s="79"/>
    </row>
    <row r="73" spans="14:17" ht="16" x14ac:dyDescent="0.35">
      <c r="N73" s="79"/>
      <c r="O73" s="79"/>
      <c r="P73" s="79"/>
      <c r="Q73" s="79"/>
    </row>
    <row r="74" spans="14:17" ht="16" x14ac:dyDescent="0.35">
      <c r="N74" s="79"/>
      <c r="O74" s="79"/>
      <c r="P74" s="79"/>
      <c r="Q74" s="79"/>
    </row>
    <row r="75" spans="14:17" ht="16" x14ac:dyDescent="0.35">
      <c r="N75" s="79"/>
      <c r="O75" s="79"/>
      <c r="P75" s="79"/>
      <c r="Q75" s="79"/>
    </row>
  </sheetData>
  <autoFilter ref="A1:S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13">
    <mergeCell ref="Q6:Q8"/>
    <mergeCell ref="Q10:Q15"/>
    <mergeCell ref="Q16:Q20"/>
    <mergeCell ref="Q21:Q26"/>
    <mergeCell ref="A1:V1"/>
    <mergeCell ref="A2:V2"/>
    <mergeCell ref="A3:V3"/>
    <mergeCell ref="A4:E4"/>
    <mergeCell ref="F4:K4"/>
    <mergeCell ref="L4:M4"/>
    <mergeCell ref="N4:Q4"/>
    <mergeCell ref="R4:T4"/>
    <mergeCell ref="U4:V4"/>
  </mergeCells>
  <conditionalFormatting sqref="N6:Q6 N7:P20 N21:Q21 N22:P26 N27:Q1048576">
    <cfRule type="containsText" dxfId="117" priority="1" operator="containsText" text="No">
      <formula>NOT(ISERROR(SEARCH("No",N6)))</formula>
    </cfRule>
    <cfRule type="containsText" dxfId="116" priority="2" operator="containsText" text="Yes">
      <formula>NOT(ISERROR(SEARCH("Yes",N6)))</formula>
    </cfRule>
  </conditionalFormatting>
  <conditionalFormatting sqref="R6:R1048576">
    <cfRule type="containsText" dxfId="115" priority="3" operator="containsText" text="Rejected">
      <formula>NOT(ISERROR(SEARCH("Rejected",R6)))</formula>
    </cfRule>
    <cfRule type="containsText" dxfId="114" priority="4" operator="containsText" text="Revisions Needed">
      <formula>NOT(ISERROR(SEARCH("Revisions Needed",R6)))</formula>
    </cfRule>
    <cfRule type="containsText" dxfId="113" priority="5" operator="containsText" text="Approved">
      <formula>NOT(ISERROR(SEARCH("Approved",R6)))</formula>
    </cfRule>
  </conditionalFormatting>
  <dataValidations count="3">
    <dataValidation type="list" allowBlank="1" showInputMessage="1" showErrorMessage="1" sqref="C6:C1048576" xr:uid="{CBAC26DD-7FA2-4A4B-ACD4-D6E1532CB597}">
      <formula1>"Monthly, Yearly"</formula1>
    </dataValidation>
    <dataValidation type="list" allowBlank="1" showInputMessage="1" showErrorMessage="1" sqref="N21:N1048576 N6:N15 O6:P1048576" xr:uid="{B37835BC-F339-4349-90D3-508D928BB4DC}">
      <formula1>"No, Yes"</formula1>
    </dataValidation>
    <dataValidation type="list" allowBlank="1" sqref="R6:R1048576" xr:uid="{0510BB61-F3B0-449B-B0DF-FAFD2DBDC77E}">
      <formula1>"Approved,Revisions Needed, Rejected"</formula1>
    </dataValidation>
  </dataValidation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46AB-5A86-40AB-8FAC-E2889214B870}">
  <sheetPr>
    <tabColor theme="6"/>
  </sheetPr>
  <dimension ref="A1:AB75"/>
  <sheetViews>
    <sheetView showGridLines="0" topLeftCell="A8" zoomScale="60" zoomScaleNormal="60" workbookViewId="0">
      <selection activeCell="O8" sqref="O8"/>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3.54296875" style="2" customWidth="1"/>
    <col min="7" max="7" width="12.453125" style="2" customWidth="1"/>
    <col min="8" max="8" width="12.81640625" style="29" customWidth="1"/>
    <col min="9" max="9" width="13.1796875" style="29" customWidth="1"/>
    <col min="10" max="10" width="15.54296875" style="2" customWidth="1"/>
    <col min="11" max="11" width="10.81640625" style="2" customWidth="1"/>
    <col min="12" max="12" width="36" style="1" customWidth="1"/>
    <col min="13" max="13" width="46.1796875" style="298" customWidth="1"/>
    <col min="14" max="14" width="12.81640625" style="76" customWidth="1"/>
    <col min="15" max="15" width="10.81640625" style="76" customWidth="1"/>
    <col min="16" max="16" width="13.1796875" style="76" customWidth="1"/>
    <col min="17" max="17" width="47.54296875" style="76" customWidth="1"/>
    <col min="18" max="18" width="20.54296875" style="2" customWidth="1"/>
    <col min="19" max="19" width="54.81640625" style="17" customWidth="1"/>
    <col min="20" max="20" width="43.7265625" style="236" customWidth="1"/>
    <col min="21" max="21" width="16.26953125" style="159" customWidth="1"/>
    <col min="22" max="22" width="76.54296875" style="17" customWidth="1"/>
    <col min="23" max="23" width="8.54296875" style="1"/>
    <col min="24" max="28" width="0" style="1" hidden="1" customWidth="1"/>
    <col min="29" max="16384" width="8.54296875" style="1"/>
  </cols>
  <sheetData>
    <row r="1" spans="1:28"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1"/>
    </row>
    <row r="2" spans="1:28" ht="37.5" customHeight="1" thickTop="1" thickBot="1" x14ac:dyDescent="0.4">
      <c r="A2" s="509" t="s">
        <v>577</v>
      </c>
      <c r="B2" s="510"/>
      <c r="C2" s="510"/>
      <c r="D2" s="510"/>
      <c r="E2" s="510"/>
      <c r="F2" s="510"/>
      <c r="G2" s="510"/>
      <c r="H2" s="510"/>
      <c r="I2" s="510"/>
      <c r="J2" s="510"/>
      <c r="K2" s="510"/>
      <c r="L2" s="510"/>
      <c r="M2" s="510"/>
      <c r="N2" s="510"/>
      <c r="O2" s="510"/>
      <c r="P2" s="510"/>
      <c r="Q2" s="510"/>
      <c r="R2" s="510"/>
      <c r="S2" s="510"/>
      <c r="T2" s="510"/>
      <c r="U2" s="510"/>
      <c r="V2" s="511"/>
    </row>
    <row r="3" spans="1:28"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row>
    <row r="4" spans="1:28" s="4" customFormat="1" ht="27.75" customHeight="1" thickTop="1" thickBot="1" x14ac:dyDescent="0.45">
      <c r="A4" s="513" t="s">
        <v>3</v>
      </c>
      <c r="B4" s="514"/>
      <c r="C4" s="514"/>
      <c r="D4" s="514"/>
      <c r="E4" s="514"/>
      <c r="F4" s="513" t="s">
        <v>4</v>
      </c>
      <c r="G4" s="514"/>
      <c r="H4" s="514"/>
      <c r="I4" s="514"/>
      <c r="J4" s="514"/>
      <c r="K4" s="515"/>
      <c r="L4" s="516" t="s">
        <v>5</v>
      </c>
      <c r="M4" s="516"/>
      <c r="N4" s="513" t="s">
        <v>6</v>
      </c>
      <c r="O4" s="514"/>
      <c r="P4" s="514"/>
      <c r="Q4" s="515"/>
      <c r="R4" s="513" t="s">
        <v>7</v>
      </c>
      <c r="S4" s="514"/>
      <c r="T4" s="515"/>
      <c r="U4" s="513" t="s">
        <v>8</v>
      </c>
      <c r="V4" s="515"/>
    </row>
    <row r="5" spans="1:28" ht="71.5" customHeight="1" thickTop="1" thickBot="1" x14ac:dyDescent="0.4">
      <c r="A5" s="10" t="s">
        <v>9</v>
      </c>
      <c r="B5" s="10" t="s">
        <v>10</v>
      </c>
      <c r="C5" s="10" t="s">
        <v>11</v>
      </c>
      <c r="D5" s="10" t="s">
        <v>12</v>
      </c>
      <c r="E5" s="10" t="s">
        <v>13</v>
      </c>
      <c r="F5" s="10" t="s">
        <v>14</v>
      </c>
      <c r="G5" s="10" t="s">
        <v>15</v>
      </c>
      <c r="H5" s="10" t="s">
        <v>16</v>
      </c>
      <c r="I5" s="10" t="s">
        <v>17</v>
      </c>
      <c r="J5" s="10" t="s">
        <v>18</v>
      </c>
      <c r="K5" s="10" t="s">
        <v>19</v>
      </c>
      <c r="L5" s="10" t="s">
        <v>20</v>
      </c>
      <c r="M5" s="10" t="s">
        <v>21</v>
      </c>
      <c r="N5" s="10" t="s">
        <v>22</v>
      </c>
      <c r="O5" s="10" t="s">
        <v>23</v>
      </c>
      <c r="P5" s="10" t="s">
        <v>24</v>
      </c>
      <c r="Q5" s="10" t="s">
        <v>25</v>
      </c>
      <c r="R5" s="23" t="s">
        <v>26</v>
      </c>
      <c r="S5" s="18" t="s">
        <v>27</v>
      </c>
      <c r="T5" s="18" t="s">
        <v>28</v>
      </c>
      <c r="U5" s="18" t="s">
        <v>29</v>
      </c>
      <c r="V5" s="433" t="s">
        <v>30</v>
      </c>
      <c r="X5" s="450" t="s">
        <v>31</v>
      </c>
      <c r="Y5" s="450" t="s">
        <v>32</v>
      </c>
      <c r="Z5" s="450" t="s">
        <v>33</v>
      </c>
      <c r="AA5" s="450" t="s">
        <v>34</v>
      </c>
      <c r="AB5" s="450" t="s">
        <v>35</v>
      </c>
    </row>
    <row r="6" spans="1:28" s="5" customFormat="1" ht="328" customHeight="1" x14ac:dyDescent="0.35">
      <c r="A6" s="117">
        <v>1</v>
      </c>
      <c r="B6" s="244" t="s">
        <v>45</v>
      </c>
      <c r="C6" s="432" t="s">
        <v>46</v>
      </c>
      <c r="D6" s="117" t="s">
        <v>578</v>
      </c>
      <c r="E6" s="436" t="s">
        <v>579</v>
      </c>
      <c r="F6" s="117" t="s">
        <v>49</v>
      </c>
      <c r="G6" s="117" t="s">
        <v>71</v>
      </c>
      <c r="H6" s="25" t="s">
        <v>154</v>
      </c>
      <c r="I6" s="441" t="s">
        <v>52</v>
      </c>
      <c r="J6" s="117" t="s">
        <v>74</v>
      </c>
      <c r="K6" s="426"/>
      <c r="L6" s="274" t="s">
        <v>580</v>
      </c>
      <c r="M6" s="451" t="str">
        <f>AB6&amp;CHAR(10)&amp;"Est. Savings: "&amp;IF(AND(X6&lt;&gt;"",Y6&lt;&gt;""),TEXT(ROUND((X6/100)*Y6,2),"0.00")&amp;" QAR",IF(AND(Z6&lt;&gt;"",AA6&lt;&gt;""),TEXT(ROUND(Z6*AA6,2),"0.00")&amp;" QAR","NA"))</f>
        <v>NA
Est. Savings: 22.50 QAR</v>
      </c>
      <c r="N6" s="120" t="s">
        <v>150</v>
      </c>
      <c r="O6" s="120" t="s">
        <v>55</v>
      </c>
      <c r="P6" s="162" t="s">
        <v>150</v>
      </c>
      <c r="Q6" s="552" t="s">
        <v>581</v>
      </c>
      <c r="R6" s="130" t="s">
        <v>56</v>
      </c>
      <c r="S6" s="168"/>
      <c r="T6" s="179"/>
      <c r="U6" s="179" t="s">
        <v>152</v>
      </c>
      <c r="V6" s="176"/>
      <c r="X6" s="5">
        <v>15</v>
      </c>
      <c r="Y6" s="5">
        <v>150</v>
      </c>
      <c r="AB6" s="5" t="s">
        <v>52</v>
      </c>
    </row>
    <row r="7" spans="1:28" s="5" customFormat="1" ht="281.5" customHeight="1" x14ac:dyDescent="0.35">
      <c r="A7" s="117">
        <v>2</v>
      </c>
      <c r="B7" s="244" t="s">
        <v>45</v>
      </c>
      <c r="C7" s="432" t="s">
        <v>46</v>
      </c>
      <c r="D7" s="117" t="s">
        <v>578</v>
      </c>
      <c r="E7" s="150" t="s">
        <v>582</v>
      </c>
      <c r="F7" s="117" t="s">
        <v>49</v>
      </c>
      <c r="G7" s="117" t="s">
        <v>88</v>
      </c>
      <c r="H7" s="25">
        <v>90</v>
      </c>
      <c r="I7" s="441" t="s">
        <v>52</v>
      </c>
      <c r="J7" s="117" t="s">
        <v>74</v>
      </c>
      <c r="K7" s="426"/>
      <c r="L7" s="142" t="s">
        <v>580</v>
      </c>
      <c r="M7" s="451" t="str">
        <f t="shared" ref="M7:M26" si="0">AB7&amp;CHAR(10)&amp;"Est. Savings: "&amp;IF(AND(X7&lt;&gt;"",Y7&lt;&gt;""),TEXT(ROUND((X7/100)*Y7,2),"0.00")&amp;" QAR",IF(AND(Z7&lt;&gt;"",AA7&lt;&gt;""),TEXT(ROUND(Z7*AA7,2),"0.00")&amp;" QAR","NA"))</f>
        <v>Family meal starting price: QAR 70; 2 Crunchy Chicken Sandwiches: QAR 20 per sandwich
Est. Savings: 40.00 QAR</v>
      </c>
      <c r="N7" s="120" t="s">
        <v>150</v>
      </c>
      <c r="O7" s="120" t="s">
        <v>55</v>
      </c>
      <c r="P7" s="162" t="s">
        <v>150</v>
      </c>
      <c r="Q7" s="545"/>
      <c r="R7" s="130" t="s">
        <v>56</v>
      </c>
      <c r="S7" s="169"/>
      <c r="T7" s="174"/>
      <c r="U7" s="179" t="s">
        <v>152</v>
      </c>
      <c r="V7" s="126"/>
      <c r="Z7" s="5">
        <v>2</v>
      </c>
      <c r="AA7" s="5">
        <v>20</v>
      </c>
      <c r="AB7" s="5" t="s">
        <v>583</v>
      </c>
    </row>
    <row r="8" spans="1:28" s="5" customFormat="1" ht="276" customHeight="1" x14ac:dyDescent="0.35">
      <c r="A8" s="117">
        <v>3</v>
      </c>
      <c r="B8" s="244" t="s">
        <v>45</v>
      </c>
      <c r="C8" s="432" t="s">
        <v>46</v>
      </c>
      <c r="D8" s="117" t="s">
        <v>578</v>
      </c>
      <c r="E8" s="150" t="s">
        <v>584</v>
      </c>
      <c r="F8" s="117" t="s">
        <v>49</v>
      </c>
      <c r="G8" s="117" t="s">
        <v>88</v>
      </c>
      <c r="H8" s="25" t="s">
        <v>169</v>
      </c>
      <c r="I8" s="441" t="s">
        <v>52</v>
      </c>
      <c r="J8" s="117" t="s">
        <v>74</v>
      </c>
      <c r="K8" s="426"/>
      <c r="L8" s="142" t="s">
        <v>585</v>
      </c>
      <c r="M8" s="451" t="str">
        <f t="shared" si="0"/>
        <v>2 Flatbreads: QAR 18; Get 1 Free (value QAR 9)
Est. Savings: 9.00 QAR</v>
      </c>
      <c r="N8" s="120" t="s">
        <v>150</v>
      </c>
      <c r="O8" s="120" t="s">
        <v>55</v>
      </c>
      <c r="P8" s="162" t="s">
        <v>150</v>
      </c>
      <c r="Q8" s="545"/>
      <c r="R8" s="130" t="s">
        <v>56</v>
      </c>
      <c r="S8" s="169"/>
      <c r="T8" s="174"/>
      <c r="U8" s="179" t="s">
        <v>152</v>
      </c>
      <c r="V8" s="171"/>
      <c r="Z8" s="5">
        <v>1</v>
      </c>
      <c r="AA8" s="5">
        <f>VALUE(SUBSTITUTE(H8," QAR",""))/2</f>
        <v>9</v>
      </c>
      <c r="AB8" s="5" t="s">
        <v>586</v>
      </c>
    </row>
    <row r="9" spans="1:28" s="5" customFormat="1" ht="284.5" customHeight="1" x14ac:dyDescent="0.35">
      <c r="A9" s="117">
        <v>4</v>
      </c>
      <c r="B9" s="244" t="s">
        <v>45</v>
      </c>
      <c r="C9" s="432" t="s">
        <v>46</v>
      </c>
      <c r="D9" s="117" t="s">
        <v>578</v>
      </c>
      <c r="E9" s="150" t="s">
        <v>587</v>
      </c>
      <c r="F9" s="117" t="s">
        <v>49</v>
      </c>
      <c r="G9" s="117" t="s">
        <v>50</v>
      </c>
      <c r="H9" s="26" t="s">
        <v>405</v>
      </c>
      <c r="I9" s="441" t="s">
        <v>52</v>
      </c>
      <c r="J9" s="117" t="s">
        <v>74</v>
      </c>
      <c r="K9" s="426"/>
      <c r="L9" s="142" t="s">
        <v>580</v>
      </c>
      <c r="M9" s="451" t="str">
        <f t="shared" si="0"/>
        <v>NA
Est. Savings: 20.00 QAR</v>
      </c>
      <c r="N9" s="120" t="s">
        <v>150</v>
      </c>
      <c r="O9" s="120" t="s">
        <v>55</v>
      </c>
      <c r="P9" s="162" t="s">
        <v>150</v>
      </c>
      <c r="Q9" s="546"/>
      <c r="R9" s="130" t="s">
        <v>56</v>
      </c>
      <c r="S9" s="169"/>
      <c r="T9" s="174"/>
      <c r="U9" s="179" t="s">
        <v>152</v>
      </c>
      <c r="V9" s="171"/>
      <c r="Z9" s="5">
        <v>1</v>
      </c>
      <c r="AA9" s="5">
        <f>VALUE(SUBSTITUTE(H9," QAR",""))</f>
        <v>20</v>
      </c>
      <c r="AB9" s="5" t="s">
        <v>52</v>
      </c>
    </row>
    <row r="10" spans="1:28" s="5" customFormat="1" ht="248.5" customHeight="1" x14ac:dyDescent="0.35">
      <c r="A10" s="117">
        <v>5</v>
      </c>
      <c r="B10" s="244" t="s">
        <v>45</v>
      </c>
      <c r="C10" s="432" t="s">
        <v>46</v>
      </c>
      <c r="D10" s="8" t="s">
        <v>588</v>
      </c>
      <c r="E10" s="150" t="s">
        <v>589</v>
      </c>
      <c r="F10" s="117" t="s">
        <v>590</v>
      </c>
      <c r="G10" s="117" t="s">
        <v>457</v>
      </c>
      <c r="H10" s="26" t="s">
        <v>591</v>
      </c>
      <c r="I10" s="441" t="s">
        <v>52</v>
      </c>
      <c r="J10" s="117" t="s">
        <v>74</v>
      </c>
      <c r="K10" s="426"/>
      <c r="L10" s="135" t="s">
        <v>540</v>
      </c>
      <c r="M10" s="452" t="str">
        <f t="shared" si="0"/>
        <v>NA
Est. Savings: 25.00 QAR</v>
      </c>
      <c r="N10" s="120" t="s">
        <v>55</v>
      </c>
      <c r="O10" s="120" t="s">
        <v>55</v>
      </c>
      <c r="P10" s="162" t="s">
        <v>150</v>
      </c>
      <c r="Q10" s="551" t="s">
        <v>592</v>
      </c>
      <c r="R10" s="102" t="s">
        <v>56</v>
      </c>
      <c r="S10" s="169"/>
      <c r="T10" s="174"/>
      <c r="U10" s="179" t="s">
        <v>152</v>
      </c>
      <c r="V10" s="435"/>
      <c r="Z10" s="5">
        <v>1</v>
      </c>
      <c r="AA10" s="5">
        <v>25</v>
      </c>
      <c r="AB10" s="5" t="s">
        <v>52</v>
      </c>
    </row>
    <row r="11" spans="1:28" s="5" customFormat="1" ht="211" customHeight="1" x14ac:dyDescent="0.35">
      <c r="A11" s="117">
        <v>6</v>
      </c>
      <c r="B11" s="244" t="s">
        <v>45</v>
      </c>
      <c r="C11" s="432" t="s">
        <v>46</v>
      </c>
      <c r="D11" s="8" t="s">
        <v>588</v>
      </c>
      <c r="E11" s="150" t="s">
        <v>593</v>
      </c>
      <c r="F11" s="117" t="s">
        <v>590</v>
      </c>
      <c r="G11" s="117" t="s">
        <v>457</v>
      </c>
      <c r="H11" s="26" t="s">
        <v>414</v>
      </c>
      <c r="I11" s="441" t="s">
        <v>52</v>
      </c>
      <c r="J11" s="117" t="s">
        <v>74</v>
      </c>
      <c r="K11" s="426"/>
      <c r="L11" s="135" t="s">
        <v>594</v>
      </c>
      <c r="M11" s="452" t="str">
        <f t="shared" si="0"/>
        <v>NA
Est. Savings: 75.00 QAR</v>
      </c>
      <c r="N11" s="120" t="s">
        <v>55</v>
      </c>
      <c r="O11" s="120" t="s">
        <v>55</v>
      </c>
      <c r="P11" s="162" t="s">
        <v>150</v>
      </c>
      <c r="Q11" s="543"/>
      <c r="R11" s="102" t="s">
        <v>56</v>
      </c>
      <c r="S11" s="169"/>
      <c r="T11" s="174"/>
      <c r="U11" s="179" t="s">
        <v>152</v>
      </c>
      <c r="V11" s="435"/>
      <c r="Z11" s="5">
        <v>1</v>
      </c>
      <c r="AA11" s="5">
        <v>75</v>
      </c>
      <c r="AB11" s="5" t="s">
        <v>52</v>
      </c>
    </row>
    <row r="12" spans="1:28" s="5" customFormat="1" ht="187" customHeight="1" x14ac:dyDescent="0.35">
      <c r="A12" s="117">
        <v>7</v>
      </c>
      <c r="B12" s="244" t="s">
        <v>45</v>
      </c>
      <c r="C12" s="432" t="s">
        <v>46</v>
      </c>
      <c r="D12" s="8" t="s">
        <v>588</v>
      </c>
      <c r="E12" s="8" t="s">
        <v>595</v>
      </c>
      <c r="F12" s="117" t="s">
        <v>590</v>
      </c>
      <c r="G12" s="117" t="s">
        <v>457</v>
      </c>
      <c r="H12" s="26" t="s">
        <v>104</v>
      </c>
      <c r="I12" s="441" t="s">
        <v>52</v>
      </c>
      <c r="J12" s="117" t="s">
        <v>74</v>
      </c>
      <c r="K12" s="426"/>
      <c r="L12" s="135" t="s">
        <v>540</v>
      </c>
      <c r="M12" s="452" t="str">
        <f t="shared" si="0"/>
        <v>NA
Est. Savings: 100.00 QAR</v>
      </c>
      <c r="N12" s="120" t="s">
        <v>55</v>
      </c>
      <c r="O12" s="120" t="s">
        <v>55</v>
      </c>
      <c r="P12" s="162" t="s">
        <v>150</v>
      </c>
      <c r="Q12" s="543"/>
      <c r="R12" s="102" t="s">
        <v>56</v>
      </c>
      <c r="S12" s="169"/>
      <c r="T12" s="265"/>
      <c r="U12" s="179" t="s">
        <v>152</v>
      </c>
      <c r="V12" s="435"/>
      <c r="Z12" s="5">
        <v>1</v>
      </c>
      <c r="AA12" s="5">
        <v>100</v>
      </c>
      <c r="AB12" s="5" t="s">
        <v>52</v>
      </c>
    </row>
    <row r="13" spans="1:28" s="5" customFormat="1" ht="202.5" customHeight="1" x14ac:dyDescent="0.35">
      <c r="A13" s="117">
        <v>8</v>
      </c>
      <c r="B13" s="244" t="s">
        <v>45</v>
      </c>
      <c r="C13" s="8" t="s">
        <v>46</v>
      </c>
      <c r="D13" s="8" t="s">
        <v>588</v>
      </c>
      <c r="E13" s="8" t="s">
        <v>596</v>
      </c>
      <c r="F13" s="117" t="s">
        <v>590</v>
      </c>
      <c r="G13" s="117" t="s">
        <v>457</v>
      </c>
      <c r="H13" s="26" t="s">
        <v>294</v>
      </c>
      <c r="I13" s="441" t="s">
        <v>52</v>
      </c>
      <c r="J13" s="117" t="s">
        <v>74</v>
      </c>
      <c r="K13" s="426"/>
      <c r="L13" s="135" t="s">
        <v>540</v>
      </c>
      <c r="M13" s="452" t="str">
        <f t="shared" si="0"/>
        <v>NA
Est. Savings: 300.00 QAR</v>
      </c>
      <c r="N13" s="120" t="s">
        <v>55</v>
      </c>
      <c r="O13" s="120" t="s">
        <v>55</v>
      </c>
      <c r="P13" s="162" t="s">
        <v>150</v>
      </c>
      <c r="Q13" s="543"/>
      <c r="R13" s="102" t="s">
        <v>56</v>
      </c>
      <c r="S13" s="434"/>
      <c r="T13" s="265"/>
      <c r="U13" s="179" t="s">
        <v>152</v>
      </c>
      <c r="V13" s="435"/>
      <c r="Z13" s="5">
        <v>1</v>
      </c>
      <c r="AA13" s="5">
        <v>300</v>
      </c>
      <c r="AB13" s="5" t="s">
        <v>52</v>
      </c>
    </row>
    <row r="14" spans="1:28" s="5" customFormat="1" ht="209.5" customHeight="1" x14ac:dyDescent="0.35">
      <c r="A14" s="117">
        <v>9</v>
      </c>
      <c r="B14" s="244" t="s">
        <v>45</v>
      </c>
      <c r="C14" s="8" t="s">
        <v>46</v>
      </c>
      <c r="D14" s="8" t="s">
        <v>588</v>
      </c>
      <c r="E14" s="8" t="s">
        <v>597</v>
      </c>
      <c r="F14" s="8" t="s">
        <v>590</v>
      </c>
      <c r="G14" s="8" t="s">
        <v>71</v>
      </c>
      <c r="H14" s="26" t="s">
        <v>154</v>
      </c>
      <c r="I14" s="441" t="s">
        <v>52</v>
      </c>
      <c r="J14" s="8" t="s">
        <v>74</v>
      </c>
      <c r="K14" s="8"/>
      <c r="L14" s="438" t="s">
        <v>594</v>
      </c>
      <c r="M14" s="453" t="str">
        <f t="shared" si="0"/>
        <v>NA
Est. Savings: NA</v>
      </c>
      <c r="N14" s="120" t="s">
        <v>55</v>
      </c>
      <c r="O14" s="120" t="s">
        <v>55</v>
      </c>
      <c r="P14" s="162" t="s">
        <v>150</v>
      </c>
      <c r="Q14" s="543"/>
      <c r="R14" s="102" t="s">
        <v>56</v>
      </c>
      <c r="S14" s="434"/>
      <c r="T14" s="174"/>
      <c r="U14" s="179" t="s">
        <v>152</v>
      </c>
      <c r="V14" s="435"/>
      <c r="X14" s="5">
        <v>10</v>
      </c>
      <c r="AB14" s="5" t="s">
        <v>52</v>
      </c>
    </row>
    <row r="15" spans="1:28" s="5" customFormat="1" ht="213" customHeight="1" x14ac:dyDescent="0.35">
      <c r="A15" s="117">
        <v>10</v>
      </c>
      <c r="B15" s="244" t="s">
        <v>45</v>
      </c>
      <c r="C15" s="8" t="s">
        <v>46</v>
      </c>
      <c r="D15" s="8" t="s">
        <v>588</v>
      </c>
      <c r="E15" s="8" t="s">
        <v>598</v>
      </c>
      <c r="F15" s="8" t="s">
        <v>262</v>
      </c>
      <c r="G15" s="8" t="s">
        <v>71</v>
      </c>
      <c r="H15" s="26" t="s">
        <v>154</v>
      </c>
      <c r="I15" s="441" t="s">
        <v>52</v>
      </c>
      <c r="J15" s="8" t="s">
        <v>74</v>
      </c>
      <c r="K15" s="8"/>
      <c r="L15" s="438" t="s">
        <v>540</v>
      </c>
      <c r="M15" s="453" t="str">
        <f t="shared" si="0"/>
        <v>NA
Est. Savings: NA</v>
      </c>
      <c r="N15" s="120" t="s">
        <v>55</v>
      </c>
      <c r="O15" s="120" t="s">
        <v>55</v>
      </c>
      <c r="P15" s="162" t="s">
        <v>150</v>
      </c>
      <c r="Q15" s="543"/>
      <c r="R15" s="102" t="s">
        <v>56</v>
      </c>
      <c r="S15" s="434"/>
      <c r="T15" s="174"/>
      <c r="U15" s="179" t="s">
        <v>152</v>
      </c>
      <c r="V15" s="435"/>
      <c r="X15" s="5">
        <v>20</v>
      </c>
      <c r="AB15" s="5" t="s">
        <v>52</v>
      </c>
    </row>
    <row r="16" spans="1:28" s="5" customFormat="1" ht="252.65" customHeight="1" x14ac:dyDescent="0.35">
      <c r="A16" s="117">
        <v>11</v>
      </c>
      <c r="B16" s="244" t="s">
        <v>45</v>
      </c>
      <c r="C16" s="8" t="s">
        <v>46</v>
      </c>
      <c r="D16" s="8" t="s">
        <v>599</v>
      </c>
      <c r="E16" s="8" t="s">
        <v>600</v>
      </c>
      <c r="F16" s="8" t="s">
        <v>49</v>
      </c>
      <c r="G16" s="8" t="s">
        <v>50</v>
      </c>
      <c r="H16" s="26" t="s">
        <v>601</v>
      </c>
      <c r="I16" s="441" t="s">
        <v>52</v>
      </c>
      <c r="J16" s="8" t="s">
        <v>74</v>
      </c>
      <c r="K16" s="8"/>
      <c r="L16" s="447" t="s">
        <v>585</v>
      </c>
      <c r="M16" s="453" t="str">
        <f t="shared" si="0"/>
        <v>NA
Est. Savings: 29.00 QAR</v>
      </c>
      <c r="N16" s="38" t="s">
        <v>150</v>
      </c>
      <c r="O16" s="120" t="s">
        <v>55</v>
      </c>
      <c r="P16" s="162" t="s">
        <v>150</v>
      </c>
      <c r="Q16" s="551" t="s">
        <v>602</v>
      </c>
      <c r="R16" s="102" t="s">
        <v>56</v>
      </c>
      <c r="S16" s="434"/>
      <c r="T16" s="449"/>
      <c r="U16" s="179" t="s">
        <v>152</v>
      </c>
      <c r="V16" s="435"/>
      <c r="Z16" s="5">
        <v>1</v>
      </c>
      <c r="AA16" s="5">
        <f>VALUE(SUBSTITUTE(H16," QAR",""))</f>
        <v>29</v>
      </c>
      <c r="AB16" s="5" t="s">
        <v>52</v>
      </c>
    </row>
    <row r="17" spans="1:28" s="5" customFormat="1" ht="248.15" customHeight="1" x14ac:dyDescent="0.35">
      <c r="A17" s="117">
        <v>12</v>
      </c>
      <c r="B17" s="244" t="s">
        <v>45</v>
      </c>
      <c r="C17" s="8" t="s">
        <v>46</v>
      </c>
      <c r="D17" s="8" t="s">
        <v>599</v>
      </c>
      <c r="E17" s="8" t="s">
        <v>603</v>
      </c>
      <c r="F17" s="8" t="s">
        <v>49</v>
      </c>
      <c r="G17" s="8" t="s">
        <v>71</v>
      </c>
      <c r="H17" s="26" t="s">
        <v>154</v>
      </c>
      <c r="I17" s="441" t="s">
        <v>52</v>
      </c>
      <c r="J17" s="117" t="s">
        <v>74</v>
      </c>
      <c r="K17" s="426"/>
      <c r="L17" s="75" t="s">
        <v>604</v>
      </c>
      <c r="M17" s="454" t="str">
        <f t="shared" si="0"/>
        <v>NA
Est. Savings: 45.00 QAR</v>
      </c>
      <c r="N17" s="38" t="s">
        <v>150</v>
      </c>
      <c r="O17" s="120" t="s">
        <v>55</v>
      </c>
      <c r="P17" s="162" t="s">
        <v>150</v>
      </c>
      <c r="Q17" s="551"/>
      <c r="R17" s="102" t="s">
        <v>56</v>
      </c>
      <c r="S17" s="434"/>
      <c r="T17" s="174"/>
      <c r="U17" s="179" t="s">
        <v>152</v>
      </c>
      <c r="V17" s="435"/>
      <c r="X17" s="5">
        <v>15</v>
      </c>
      <c r="Y17" s="5">
        <v>300</v>
      </c>
      <c r="AB17" s="5" t="s">
        <v>52</v>
      </c>
    </row>
    <row r="18" spans="1:28" s="3" customFormat="1" ht="196" customHeight="1" x14ac:dyDescent="0.35">
      <c r="A18" s="117">
        <v>13</v>
      </c>
      <c r="B18" s="244" t="s">
        <v>45</v>
      </c>
      <c r="C18" s="8" t="s">
        <v>46</v>
      </c>
      <c r="D18" s="8" t="s">
        <v>599</v>
      </c>
      <c r="E18" s="8" t="s">
        <v>605</v>
      </c>
      <c r="F18" s="8" t="s">
        <v>49</v>
      </c>
      <c r="G18" s="8" t="s">
        <v>71</v>
      </c>
      <c r="H18" s="26" t="s">
        <v>154</v>
      </c>
      <c r="I18" s="441" t="s">
        <v>52</v>
      </c>
      <c r="J18" s="117" t="s">
        <v>74</v>
      </c>
      <c r="K18" s="426"/>
      <c r="L18" s="75" t="s">
        <v>606</v>
      </c>
      <c r="M18" s="454" t="str">
        <f t="shared" si="0"/>
        <v>NA
Est. Savings: 60.00 QAR</v>
      </c>
      <c r="N18" s="38" t="s">
        <v>150</v>
      </c>
      <c r="O18" s="120" t="s">
        <v>55</v>
      </c>
      <c r="P18" s="162" t="s">
        <v>150</v>
      </c>
      <c r="Q18" s="551"/>
      <c r="R18" s="102" t="s">
        <v>56</v>
      </c>
      <c r="S18" s="434"/>
      <c r="T18" s="174"/>
      <c r="U18" s="179" t="s">
        <v>152</v>
      </c>
      <c r="V18" s="435"/>
      <c r="X18" s="3">
        <v>20</v>
      </c>
      <c r="Y18" s="3">
        <v>300</v>
      </c>
      <c r="AB18" s="3" t="s">
        <v>52</v>
      </c>
    </row>
    <row r="19" spans="1:28" s="3" customFormat="1" ht="260.5" customHeight="1" x14ac:dyDescent="0.35">
      <c r="A19" s="117">
        <v>14</v>
      </c>
      <c r="B19" s="244" t="s">
        <v>45</v>
      </c>
      <c r="C19" s="8" t="s">
        <v>46</v>
      </c>
      <c r="D19" s="8" t="s">
        <v>599</v>
      </c>
      <c r="E19" s="8" t="s">
        <v>607</v>
      </c>
      <c r="F19" s="8" t="s">
        <v>49</v>
      </c>
      <c r="G19" s="8" t="s">
        <v>50</v>
      </c>
      <c r="H19" s="26" t="s">
        <v>608</v>
      </c>
      <c r="I19" s="448" t="s">
        <v>52</v>
      </c>
      <c r="J19" s="117" t="s">
        <v>74</v>
      </c>
      <c r="K19" s="426"/>
      <c r="L19" s="75" t="s">
        <v>585</v>
      </c>
      <c r="M19" s="454" t="str">
        <f t="shared" si="0"/>
        <v>NA
Est. Savings: 55.00 QAR</v>
      </c>
      <c r="N19" s="38" t="s">
        <v>150</v>
      </c>
      <c r="O19" s="120" t="s">
        <v>55</v>
      </c>
      <c r="P19" s="162" t="s">
        <v>150</v>
      </c>
      <c r="Q19" s="551"/>
      <c r="R19" s="102" t="s">
        <v>56</v>
      </c>
      <c r="S19" s="169"/>
      <c r="T19" s="174"/>
      <c r="U19" s="179" t="s">
        <v>152</v>
      </c>
      <c r="V19" s="34"/>
      <c r="Z19" s="3">
        <v>1</v>
      </c>
      <c r="AA19" s="3">
        <f>VALUE(SUBSTITUTE(H19," QAR",""))</f>
        <v>55</v>
      </c>
      <c r="AB19" s="3" t="s">
        <v>52</v>
      </c>
    </row>
    <row r="20" spans="1:28" s="3" customFormat="1" ht="209.5" customHeight="1" x14ac:dyDescent="0.35">
      <c r="A20" s="8">
        <v>15</v>
      </c>
      <c r="B20" s="13" t="s">
        <v>45</v>
      </c>
      <c r="C20" s="144" t="s">
        <v>46</v>
      </c>
      <c r="D20" s="8" t="s">
        <v>599</v>
      </c>
      <c r="E20" s="8" t="s">
        <v>609</v>
      </c>
      <c r="F20" s="8" t="s">
        <v>49</v>
      </c>
      <c r="G20" s="8" t="s">
        <v>50</v>
      </c>
      <c r="H20" s="26" t="s">
        <v>610</v>
      </c>
      <c r="I20" s="457" t="s">
        <v>52</v>
      </c>
      <c r="J20" s="8" t="s">
        <v>74</v>
      </c>
      <c r="K20" s="132"/>
      <c r="L20" s="75" t="s">
        <v>585</v>
      </c>
      <c r="M20" s="455" t="str">
        <f t="shared" si="0"/>
        <v>NA
Est. Savings: 25.00 QAR</v>
      </c>
      <c r="N20" s="38" t="s">
        <v>150</v>
      </c>
      <c r="O20" s="120" t="s">
        <v>55</v>
      </c>
      <c r="P20" s="162" t="s">
        <v>150</v>
      </c>
      <c r="Q20" s="551"/>
      <c r="R20" s="102" t="s">
        <v>56</v>
      </c>
      <c r="S20" s="169"/>
      <c r="T20" s="174"/>
      <c r="U20" s="179" t="s">
        <v>152</v>
      </c>
      <c r="V20" s="34"/>
      <c r="Z20" s="3">
        <v>1</v>
      </c>
      <c r="AA20" s="3">
        <f>VALUE(SUBSTITUTE(H20," QAR",""))</f>
        <v>25</v>
      </c>
      <c r="AB20" s="3" t="s">
        <v>52</v>
      </c>
    </row>
    <row r="21" spans="1:28" s="3" customFormat="1" ht="164.5" customHeight="1" x14ac:dyDescent="0.35">
      <c r="A21" s="8">
        <v>16</v>
      </c>
      <c r="B21" s="13" t="s">
        <v>45</v>
      </c>
      <c r="C21" s="144" t="s">
        <v>46</v>
      </c>
      <c r="D21" s="8" t="s">
        <v>611</v>
      </c>
      <c r="E21" s="8" t="s">
        <v>603</v>
      </c>
      <c r="F21" s="8" t="s">
        <v>49</v>
      </c>
      <c r="G21" s="8" t="s">
        <v>71</v>
      </c>
      <c r="H21" s="26" t="s">
        <v>154</v>
      </c>
      <c r="I21" s="448" t="s">
        <v>52</v>
      </c>
      <c r="J21" s="8" t="s">
        <v>74</v>
      </c>
      <c r="K21" s="8"/>
      <c r="L21" s="119" t="s">
        <v>612</v>
      </c>
      <c r="M21" s="453" t="str">
        <f t="shared" si="0"/>
        <v>NA
Est. Savings: 45.00 QAR</v>
      </c>
      <c r="N21" s="8" t="s">
        <v>150</v>
      </c>
      <c r="O21" s="8" t="s">
        <v>55</v>
      </c>
      <c r="P21" s="132" t="s">
        <v>150</v>
      </c>
      <c r="Q21" s="551" t="s">
        <v>613</v>
      </c>
      <c r="R21" s="102" t="s">
        <v>56</v>
      </c>
      <c r="S21" s="169"/>
      <c r="T21" s="174"/>
      <c r="U21" s="179" t="s">
        <v>152</v>
      </c>
      <c r="V21" s="34"/>
      <c r="X21" s="3">
        <v>15</v>
      </c>
      <c r="Y21" s="3">
        <v>300</v>
      </c>
      <c r="AB21" s="3" t="s">
        <v>52</v>
      </c>
    </row>
    <row r="22" spans="1:28" s="3" customFormat="1" ht="181.5" customHeight="1" x14ac:dyDescent="0.35">
      <c r="A22" s="8">
        <v>17</v>
      </c>
      <c r="B22" s="13" t="s">
        <v>45</v>
      </c>
      <c r="C22" s="144" t="s">
        <v>46</v>
      </c>
      <c r="D22" s="8" t="s">
        <v>611</v>
      </c>
      <c r="E22" s="8" t="s">
        <v>605</v>
      </c>
      <c r="F22" s="8" t="s">
        <v>49</v>
      </c>
      <c r="G22" s="8" t="s">
        <v>71</v>
      </c>
      <c r="H22" s="26" t="s">
        <v>154</v>
      </c>
      <c r="I22" s="448" t="s">
        <v>52</v>
      </c>
      <c r="J22" s="8" t="s">
        <v>74</v>
      </c>
      <c r="K22" s="8"/>
      <c r="L22" s="9" t="s">
        <v>614</v>
      </c>
      <c r="M22" s="453" t="str">
        <f t="shared" si="0"/>
        <v>NA
Est. Savings: 60.00 QAR</v>
      </c>
      <c r="N22" s="8" t="s">
        <v>150</v>
      </c>
      <c r="O22" s="8" t="s">
        <v>55</v>
      </c>
      <c r="P22" s="132" t="s">
        <v>150</v>
      </c>
      <c r="Q22" s="551"/>
      <c r="R22" s="102" t="s">
        <v>56</v>
      </c>
      <c r="S22" s="169"/>
      <c r="T22" s="174"/>
      <c r="U22" s="179" t="s">
        <v>152</v>
      </c>
      <c r="V22" s="34"/>
      <c r="X22" s="3">
        <v>20</v>
      </c>
      <c r="Y22" s="3">
        <v>300</v>
      </c>
      <c r="AB22" s="3" t="s">
        <v>52</v>
      </c>
    </row>
    <row r="23" spans="1:28" s="3" customFormat="1" ht="177.65" customHeight="1" x14ac:dyDescent="0.35">
      <c r="A23" s="8">
        <v>18</v>
      </c>
      <c r="B23" s="13" t="s">
        <v>45</v>
      </c>
      <c r="C23" s="144" t="s">
        <v>46</v>
      </c>
      <c r="D23" s="8" t="s">
        <v>611</v>
      </c>
      <c r="E23" s="8" t="s">
        <v>615</v>
      </c>
      <c r="F23" s="8" t="s">
        <v>49</v>
      </c>
      <c r="G23" s="8" t="s">
        <v>50</v>
      </c>
      <c r="H23" s="26" t="s">
        <v>409</v>
      </c>
      <c r="I23" s="448" t="s">
        <v>52</v>
      </c>
      <c r="J23" s="8" t="s">
        <v>74</v>
      </c>
      <c r="K23" s="8"/>
      <c r="L23" s="9" t="s">
        <v>616</v>
      </c>
      <c r="M23" s="453" t="str">
        <f t="shared" si="0"/>
        <v>NA
Est. Savings: 26.00 QAR</v>
      </c>
      <c r="N23" s="8" t="s">
        <v>150</v>
      </c>
      <c r="O23" s="8" t="s">
        <v>55</v>
      </c>
      <c r="P23" s="132" t="s">
        <v>150</v>
      </c>
      <c r="Q23" s="551"/>
      <c r="R23" s="102" t="s">
        <v>56</v>
      </c>
      <c r="S23" s="169"/>
      <c r="T23" s="174"/>
      <c r="U23" s="179" t="s">
        <v>152</v>
      </c>
      <c r="V23" s="34"/>
      <c r="Z23" s="3">
        <v>1</v>
      </c>
      <c r="AA23" s="3">
        <f>VALUE(SUBSTITUTE(H23," QAR",""))</f>
        <v>26</v>
      </c>
      <c r="AB23" s="3" t="s">
        <v>52</v>
      </c>
    </row>
    <row r="24" spans="1:28" s="3" customFormat="1" ht="167.15" customHeight="1" x14ac:dyDescent="0.35">
      <c r="A24" s="8">
        <v>19</v>
      </c>
      <c r="B24" s="13" t="s">
        <v>45</v>
      </c>
      <c r="C24" s="144" t="s">
        <v>46</v>
      </c>
      <c r="D24" s="8" t="s">
        <v>611</v>
      </c>
      <c r="E24" s="8" t="s">
        <v>617</v>
      </c>
      <c r="F24" s="8" t="s">
        <v>49</v>
      </c>
      <c r="G24" s="8" t="s">
        <v>50</v>
      </c>
      <c r="H24" s="26" t="s">
        <v>618</v>
      </c>
      <c r="I24" s="448" t="s">
        <v>52</v>
      </c>
      <c r="J24" s="8" t="s">
        <v>74</v>
      </c>
      <c r="K24" s="8"/>
      <c r="L24" s="9" t="s">
        <v>585</v>
      </c>
      <c r="M24" s="453" t="str">
        <f t="shared" si="0"/>
        <v>NA
Est. Savings: 58.00 QAR</v>
      </c>
      <c r="N24" s="8" t="s">
        <v>150</v>
      </c>
      <c r="O24" s="8" t="s">
        <v>55</v>
      </c>
      <c r="P24" s="132" t="s">
        <v>150</v>
      </c>
      <c r="Q24" s="551"/>
      <c r="R24" s="102" t="s">
        <v>56</v>
      </c>
      <c r="S24" s="169"/>
      <c r="T24" s="174"/>
      <c r="U24" s="179" t="s">
        <v>152</v>
      </c>
      <c r="V24" s="34"/>
      <c r="Z24" s="3">
        <v>1</v>
      </c>
      <c r="AA24" s="3">
        <f>VALUE(SUBSTITUTE(H24," QAR",""))</f>
        <v>58</v>
      </c>
      <c r="AB24" s="3" t="s">
        <v>52</v>
      </c>
    </row>
    <row r="25" spans="1:28" s="3" customFormat="1" ht="158.15" customHeight="1" x14ac:dyDescent="0.35">
      <c r="A25" s="8">
        <v>20</v>
      </c>
      <c r="B25" s="13" t="s">
        <v>45</v>
      </c>
      <c r="C25" s="144" t="s">
        <v>46</v>
      </c>
      <c r="D25" s="8" t="s">
        <v>611</v>
      </c>
      <c r="E25" s="8" t="s">
        <v>619</v>
      </c>
      <c r="F25" s="8" t="s">
        <v>49</v>
      </c>
      <c r="G25" s="8" t="s">
        <v>50</v>
      </c>
      <c r="H25" s="26" t="s">
        <v>620</v>
      </c>
      <c r="I25" s="448" t="s">
        <v>52</v>
      </c>
      <c r="J25" s="8" t="s">
        <v>74</v>
      </c>
      <c r="K25" s="8"/>
      <c r="L25" s="9" t="s">
        <v>585</v>
      </c>
      <c r="M25" s="453" t="str">
        <f t="shared" si="0"/>
        <v>NA
Est. Savings: 52.00 QAR</v>
      </c>
      <c r="N25" s="8" t="s">
        <v>150</v>
      </c>
      <c r="O25" s="8" t="s">
        <v>55</v>
      </c>
      <c r="P25" s="132" t="s">
        <v>150</v>
      </c>
      <c r="Q25" s="551"/>
      <c r="R25" s="102" t="s">
        <v>56</v>
      </c>
      <c r="S25" s="169"/>
      <c r="T25" s="174"/>
      <c r="U25" s="179" t="s">
        <v>152</v>
      </c>
      <c r="V25" s="34"/>
      <c r="Z25" s="3">
        <v>1</v>
      </c>
      <c r="AA25" s="3">
        <f>VALUE(SUBSTITUTE(H25," QAR",""))</f>
        <v>52</v>
      </c>
      <c r="AB25" s="3" t="s">
        <v>52</v>
      </c>
    </row>
    <row r="26" spans="1:28" s="3" customFormat="1" ht="153" customHeight="1" x14ac:dyDescent="0.35">
      <c r="A26" s="8">
        <v>21</v>
      </c>
      <c r="B26" s="13" t="s">
        <v>45</v>
      </c>
      <c r="C26" s="144" t="s">
        <v>46</v>
      </c>
      <c r="D26" s="8" t="s">
        <v>611</v>
      </c>
      <c r="E26" s="8" t="s">
        <v>621</v>
      </c>
      <c r="F26" s="8" t="s">
        <v>49</v>
      </c>
      <c r="G26" s="8" t="s">
        <v>50</v>
      </c>
      <c r="H26" s="26" t="s">
        <v>62</v>
      </c>
      <c r="I26" s="448" t="s">
        <v>52</v>
      </c>
      <c r="J26" s="8" t="s">
        <v>74</v>
      </c>
      <c r="K26" s="8"/>
      <c r="L26" s="9" t="s">
        <v>585</v>
      </c>
      <c r="M26" s="456" t="str">
        <f t="shared" si="0"/>
        <v>NA
Est. Savings: 38.00 QAR</v>
      </c>
      <c r="N26" s="8" t="s">
        <v>150</v>
      </c>
      <c r="O26" s="8" t="s">
        <v>55</v>
      </c>
      <c r="P26" s="132" t="s">
        <v>150</v>
      </c>
      <c r="Q26" s="551"/>
      <c r="R26" s="102" t="s">
        <v>56</v>
      </c>
      <c r="S26" s="169"/>
      <c r="T26" s="174"/>
      <c r="U26" s="179" t="s">
        <v>152</v>
      </c>
      <c r="V26" s="34"/>
      <c r="Z26" s="3">
        <v>1</v>
      </c>
      <c r="AA26" s="3">
        <f>VALUE(SUBSTITUTE(H26," QAR",""))</f>
        <v>38</v>
      </c>
      <c r="AB26" s="3" t="s">
        <v>52</v>
      </c>
    </row>
    <row r="27" spans="1:28" ht="79.5" customHeight="1" x14ac:dyDescent="0.4">
      <c r="A27" s="19"/>
      <c r="B27" s="20"/>
      <c r="C27" s="144"/>
      <c r="D27" s="19"/>
      <c r="E27" s="19"/>
      <c r="F27" s="19"/>
      <c r="G27" s="19"/>
      <c r="H27" s="28"/>
      <c r="I27" s="28"/>
      <c r="J27" s="19"/>
      <c r="K27" s="19"/>
      <c r="L27" s="21"/>
      <c r="M27" s="132"/>
      <c r="N27" s="38"/>
      <c r="O27" s="38"/>
      <c r="P27" s="136"/>
      <c r="Q27" s="38"/>
      <c r="R27" s="178"/>
      <c r="S27" s="170"/>
      <c r="T27" s="174"/>
      <c r="U27" s="175"/>
      <c r="V27" s="34"/>
    </row>
    <row r="28" spans="1:28" ht="16" x14ac:dyDescent="0.35">
      <c r="N28" s="79"/>
      <c r="O28" s="79"/>
      <c r="P28" s="79"/>
      <c r="Q28" s="79"/>
    </row>
    <row r="29" spans="1:28" ht="16" x14ac:dyDescent="0.35">
      <c r="N29" s="79"/>
      <c r="O29" s="79"/>
      <c r="P29" s="79"/>
      <c r="Q29" s="79"/>
    </row>
    <row r="30" spans="1:28" ht="16" x14ac:dyDescent="0.35">
      <c r="N30" s="79"/>
      <c r="O30" s="79"/>
      <c r="P30" s="79"/>
      <c r="Q30" s="79"/>
    </row>
    <row r="31" spans="1:28" ht="16" x14ac:dyDescent="0.35">
      <c r="N31" s="79"/>
      <c r="O31" s="79"/>
      <c r="P31" s="79"/>
      <c r="Q31" s="79"/>
    </row>
    <row r="32" spans="1:28" ht="16" x14ac:dyDescent="0.35">
      <c r="N32" s="79"/>
      <c r="O32" s="79"/>
      <c r="P32" s="79"/>
      <c r="Q32" s="79"/>
    </row>
    <row r="33" spans="14:17" ht="16" x14ac:dyDescent="0.35">
      <c r="N33" s="79"/>
      <c r="O33" s="79"/>
      <c r="P33" s="79"/>
      <c r="Q33" s="79"/>
    </row>
    <row r="34" spans="14:17" ht="16" x14ac:dyDescent="0.35">
      <c r="N34" s="79"/>
      <c r="O34" s="79"/>
      <c r="P34" s="79"/>
      <c r="Q34" s="79"/>
    </row>
    <row r="35" spans="14:17" ht="16" x14ac:dyDescent="0.35">
      <c r="N35" s="79"/>
      <c r="O35" s="79"/>
      <c r="P35" s="79"/>
      <c r="Q35" s="79"/>
    </row>
    <row r="36" spans="14:17" ht="16" x14ac:dyDescent="0.35">
      <c r="N36" s="79"/>
      <c r="O36" s="79"/>
      <c r="P36" s="79"/>
      <c r="Q36" s="79"/>
    </row>
    <row r="37" spans="14:17" ht="16" x14ac:dyDescent="0.35">
      <c r="N37" s="79"/>
      <c r="O37" s="79"/>
      <c r="P37" s="79"/>
      <c r="Q37" s="79"/>
    </row>
    <row r="38" spans="14:17" ht="16" x14ac:dyDescent="0.35">
      <c r="N38" s="79"/>
      <c r="O38" s="79"/>
      <c r="P38" s="79"/>
      <c r="Q38" s="79"/>
    </row>
    <row r="39" spans="14:17" ht="16" x14ac:dyDescent="0.35">
      <c r="N39" s="79"/>
      <c r="O39" s="79"/>
      <c r="P39" s="79"/>
      <c r="Q39" s="79"/>
    </row>
    <row r="40" spans="14:17" ht="16" x14ac:dyDescent="0.35">
      <c r="N40" s="79"/>
      <c r="O40" s="79"/>
      <c r="P40" s="79"/>
      <c r="Q40" s="79"/>
    </row>
    <row r="41" spans="14:17" ht="16" x14ac:dyDescent="0.35">
      <c r="N41" s="79"/>
      <c r="O41" s="79"/>
      <c r="P41" s="79"/>
      <c r="Q41" s="79"/>
    </row>
    <row r="42" spans="14:17" ht="16" x14ac:dyDescent="0.35">
      <c r="N42" s="79"/>
      <c r="O42" s="79"/>
      <c r="P42" s="79"/>
      <c r="Q42" s="79"/>
    </row>
    <row r="43" spans="14:17" ht="16" x14ac:dyDescent="0.35">
      <c r="N43" s="79"/>
      <c r="O43" s="79"/>
      <c r="P43" s="79"/>
      <c r="Q43" s="79"/>
    </row>
    <row r="44" spans="14:17" ht="16" x14ac:dyDescent="0.35">
      <c r="N44" s="79"/>
      <c r="O44" s="79"/>
      <c r="P44" s="79"/>
      <c r="Q44" s="79"/>
    </row>
    <row r="45" spans="14:17" ht="16" x14ac:dyDescent="0.35">
      <c r="N45" s="79"/>
      <c r="O45" s="79"/>
      <c r="P45" s="79"/>
      <c r="Q45" s="79"/>
    </row>
    <row r="46" spans="14:17" ht="16" x14ac:dyDescent="0.35">
      <c r="N46" s="79"/>
      <c r="O46" s="79"/>
      <c r="P46" s="79"/>
      <c r="Q46" s="79"/>
    </row>
    <row r="47" spans="14:17" ht="16" x14ac:dyDescent="0.35">
      <c r="N47" s="79"/>
      <c r="O47" s="79"/>
      <c r="P47" s="79"/>
      <c r="Q47" s="79"/>
    </row>
    <row r="48" spans="14:17" ht="16" x14ac:dyDescent="0.35">
      <c r="N48" s="79"/>
      <c r="O48" s="79"/>
      <c r="P48" s="79"/>
      <c r="Q48" s="79"/>
    </row>
    <row r="49" spans="14:17" ht="16" x14ac:dyDescent="0.35">
      <c r="N49" s="79"/>
      <c r="O49" s="79"/>
      <c r="P49" s="79"/>
      <c r="Q49" s="79"/>
    </row>
    <row r="50" spans="14:17" ht="16" x14ac:dyDescent="0.35">
      <c r="N50" s="79"/>
      <c r="O50" s="79"/>
      <c r="P50" s="79"/>
      <c r="Q50" s="79"/>
    </row>
    <row r="51" spans="14:17" ht="16" x14ac:dyDescent="0.35">
      <c r="N51" s="79"/>
      <c r="O51" s="79"/>
      <c r="P51" s="79"/>
      <c r="Q51" s="79"/>
    </row>
    <row r="52" spans="14:17" ht="16" x14ac:dyDescent="0.35">
      <c r="N52" s="79"/>
      <c r="O52" s="79"/>
      <c r="P52" s="79"/>
      <c r="Q52" s="79"/>
    </row>
    <row r="53" spans="14:17" ht="16" x14ac:dyDescent="0.35">
      <c r="N53" s="79"/>
      <c r="O53" s="79"/>
      <c r="P53" s="79"/>
      <c r="Q53" s="79"/>
    </row>
    <row r="54" spans="14:17" ht="16" x14ac:dyDescent="0.35">
      <c r="N54" s="79"/>
      <c r="O54" s="79"/>
      <c r="P54" s="79"/>
      <c r="Q54" s="79"/>
    </row>
    <row r="55" spans="14:17" ht="16" x14ac:dyDescent="0.35">
      <c r="N55" s="79"/>
      <c r="O55" s="79"/>
      <c r="P55" s="79"/>
      <c r="Q55" s="79"/>
    </row>
    <row r="56" spans="14:17" ht="16" x14ac:dyDescent="0.35">
      <c r="N56" s="79"/>
      <c r="O56" s="79"/>
      <c r="P56" s="79"/>
      <c r="Q56" s="79"/>
    </row>
    <row r="57" spans="14:17" ht="16" x14ac:dyDescent="0.35">
      <c r="N57" s="79"/>
      <c r="O57" s="79"/>
      <c r="P57" s="79"/>
      <c r="Q57" s="79"/>
    </row>
    <row r="58" spans="14:17" ht="16" x14ac:dyDescent="0.35">
      <c r="N58" s="79"/>
      <c r="O58" s="79"/>
      <c r="P58" s="79"/>
      <c r="Q58" s="79"/>
    </row>
    <row r="59" spans="14:17" ht="16" x14ac:dyDescent="0.35">
      <c r="N59" s="79"/>
      <c r="O59" s="79"/>
      <c r="P59" s="79"/>
      <c r="Q59" s="79"/>
    </row>
    <row r="60" spans="14:17" ht="16" x14ac:dyDescent="0.35">
      <c r="N60" s="79"/>
      <c r="O60" s="79"/>
      <c r="P60" s="79"/>
      <c r="Q60" s="79"/>
    </row>
    <row r="61" spans="14:17" ht="16" x14ac:dyDescent="0.35">
      <c r="N61" s="79"/>
      <c r="O61" s="79"/>
      <c r="P61" s="79"/>
      <c r="Q61" s="79"/>
    </row>
    <row r="62" spans="14:17" ht="16" x14ac:dyDescent="0.35">
      <c r="N62" s="79"/>
      <c r="O62" s="79"/>
      <c r="P62" s="79"/>
      <c r="Q62" s="79"/>
    </row>
    <row r="63" spans="14:17" ht="16" x14ac:dyDescent="0.35">
      <c r="N63" s="79"/>
      <c r="O63" s="79"/>
      <c r="P63" s="79"/>
      <c r="Q63" s="79"/>
    </row>
    <row r="64" spans="14:17" ht="16" x14ac:dyDescent="0.35">
      <c r="N64" s="79"/>
      <c r="O64" s="79"/>
      <c r="P64" s="79"/>
      <c r="Q64" s="79"/>
    </row>
    <row r="65" spans="14:17" ht="16" x14ac:dyDescent="0.35">
      <c r="N65" s="79"/>
      <c r="O65" s="79"/>
      <c r="P65" s="79"/>
      <c r="Q65" s="79"/>
    </row>
    <row r="66" spans="14:17" ht="16" x14ac:dyDescent="0.35">
      <c r="N66" s="79"/>
      <c r="O66" s="79"/>
      <c r="P66" s="79"/>
      <c r="Q66" s="79"/>
    </row>
    <row r="67" spans="14:17" ht="16" x14ac:dyDescent="0.35">
      <c r="N67" s="79"/>
      <c r="O67" s="79"/>
      <c r="P67" s="79"/>
      <c r="Q67" s="79"/>
    </row>
    <row r="68" spans="14:17" ht="16" x14ac:dyDescent="0.35">
      <c r="N68" s="79"/>
      <c r="O68" s="79"/>
      <c r="P68" s="79"/>
      <c r="Q68" s="79"/>
    </row>
    <row r="69" spans="14:17" ht="16" x14ac:dyDescent="0.35">
      <c r="N69" s="79"/>
      <c r="O69" s="79"/>
      <c r="P69" s="79"/>
      <c r="Q69" s="79"/>
    </row>
    <row r="70" spans="14:17" ht="16" x14ac:dyDescent="0.35">
      <c r="N70" s="79"/>
      <c r="O70" s="79"/>
      <c r="P70" s="79"/>
      <c r="Q70" s="79"/>
    </row>
    <row r="71" spans="14:17" ht="16" x14ac:dyDescent="0.35">
      <c r="N71" s="79"/>
      <c r="O71" s="79"/>
      <c r="P71" s="79"/>
      <c r="Q71" s="79"/>
    </row>
    <row r="72" spans="14:17" ht="16" x14ac:dyDescent="0.35">
      <c r="N72" s="79"/>
      <c r="O72" s="79"/>
      <c r="P72" s="79"/>
      <c r="Q72" s="79"/>
    </row>
    <row r="73" spans="14:17" ht="16" x14ac:dyDescent="0.35">
      <c r="N73" s="79"/>
      <c r="O73" s="79"/>
      <c r="P73" s="79"/>
      <c r="Q73" s="79"/>
    </row>
    <row r="74" spans="14:17" ht="16" x14ac:dyDescent="0.35">
      <c r="N74" s="79"/>
      <c r="O74" s="79"/>
      <c r="P74" s="79"/>
      <c r="Q74" s="79"/>
    </row>
    <row r="75" spans="14:17" ht="16" x14ac:dyDescent="0.35">
      <c r="N75" s="79"/>
      <c r="O75" s="79"/>
      <c r="P75" s="79"/>
      <c r="Q75" s="79"/>
    </row>
  </sheetData>
  <autoFilter ref="A1:S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13">
    <mergeCell ref="Q6:Q9"/>
    <mergeCell ref="Q10:Q15"/>
    <mergeCell ref="Q16:Q20"/>
    <mergeCell ref="Q21:Q26"/>
    <mergeCell ref="A1:V1"/>
    <mergeCell ref="A2:V2"/>
    <mergeCell ref="A3:V3"/>
    <mergeCell ref="A4:E4"/>
    <mergeCell ref="F4:K4"/>
    <mergeCell ref="L4:M4"/>
    <mergeCell ref="N4:Q4"/>
    <mergeCell ref="R4:T4"/>
    <mergeCell ref="U4:V4"/>
  </mergeCells>
  <conditionalFormatting sqref="N6:Q6 N7:P20 N21:Q21 N22:P26 N27:Q1048576">
    <cfRule type="containsText" dxfId="112" priority="1" operator="containsText" text="No">
      <formula>NOT(ISERROR(SEARCH("No",N6)))</formula>
    </cfRule>
    <cfRule type="containsText" dxfId="111" priority="2" operator="containsText" text="Yes">
      <formula>NOT(ISERROR(SEARCH("Yes",N6)))</formula>
    </cfRule>
  </conditionalFormatting>
  <conditionalFormatting sqref="R6:R1048576">
    <cfRule type="containsText" dxfId="110" priority="3" operator="containsText" text="Rejected">
      <formula>NOT(ISERROR(SEARCH("Rejected",R6)))</formula>
    </cfRule>
    <cfRule type="containsText" dxfId="109" priority="4" operator="containsText" text="Revisions Needed">
      <formula>NOT(ISERROR(SEARCH("Revisions Needed",R6)))</formula>
    </cfRule>
    <cfRule type="containsText" dxfId="108" priority="5" operator="containsText" text="Approved">
      <formula>NOT(ISERROR(SEARCH("Approved",R6)))</formula>
    </cfRule>
  </conditionalFormatting>
  <dataValidations count="3">
    <dataValidation type="list" allowBlank="1" showInputMessage="1" showErrorMessage="1" sqref="C6:C1048576" xr:uid="{872A398C-CCCB-4517-9525-1B2A119CC4A0}">
      <formula1>"Monthly, Yearly"</formula1>
    </dataValidation>
    <dataValidation type="list" allowBlank="1" showInputMessage="1" showErrorMessage="1" sqref="N21:N1048576 N6:N15 O6:P1048576" xr:uid="{1FCA3E5A-2858-4971-9369-DC372C00B477}">
      <formula1>"No, Yes"</formula1>
    </dataValidation>
    <dataValidation type="list" allowBlank="1" sqref="R6:R1048576" xr:uid="{A1966FA3-90CA-4A3E-8CAA-4674AD7A3F33}">
      <formula1>"Approved,Revisions Needed, Rejected"</formula1>
    </dataValidation>
  </dataValidations>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BEAD0-21E2-45AC-AE5E-F1053DE71832}">
  <sheetPr>
    <tabColor theme="6"/>
  </sheetPr>
  <dimension ref="A1:V359"/>
  <sheetViews>
    <sheetView showGridLines="0" topLeftCell="A5" zoomScale="60" zoomScaleNormal="60" workbookViewId="0">
      <selection activeCell="E14" sqref="E14"/>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3.54296875" style="2" customWidth="1"/>
    <col min="7" max="7" width="12.453125" style="2" customWidth="1"/>
    <col min="8" max="8" width="12.81640625" style="29" customWidth="1"/>
    <col min="9" max="9" width="13.1796875" style="29" customWidth="1"/>
    <col min="10" max="10" width="15.54296875" style="2" customWidth="1"/>
    <col min="11" max="11" width="10.81640625" style="2" customWidth="1"/>
    <col min="12" max="12" width="36" style="1" customWidth="1"/>
    <col min="13" max="13" width="46.1796875" style="440" customWidth="1"/>
    <col min="14" max="14" width="12.81640625" style="76" customWidth="1"/>
    <col min="15" max="15" width="10.81640625" style="76" customWidth="1"/>
    <col min="16" max="16" width="13.1796875" style="76" customWidth="1"/>
    <col min="17" max="17" width="47.54296875" style="76" customWidth="1"/>
    <col min="18" max="18" width="20.54296875" style="2" customWidth="1"/>
    <col min="19" max="19" width="54.81640625" style="17" customWidth="1"/>
    <col min="20" max="20" width="43.7265625" style="236" customWidth="1"/>
    <col min="21" max="21" width="16.26953125" style="159" customWidth="1"/>
    <col min="22" max="22" width="76.54296875" style="17" customWidth="1"/>
    <col min="23" max="16384" width="8.54296875" style="1"/>
  </cols>
  <sheetData>
    <row r="1" spans="1:22"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1"/>
    </row>
    <row r="2" spans="1:22" ht="37.5" customHeight="1" thickTop="1" thickBot="1" x14ac:dyDescent="0.4">
      <c r="A2" s="509" t="s">
        <v>622</v>
      </c>
      <c r="B2" s="510"/>
      <c r="C2" s="510"/>
      <c r="D2" s="510"/>
      <c r="E2" s="510"/>
      <c r="F2" s="510"/>
      <c r="G2" s="510"/>
      <c r="H2" s="510"/>
      <c r="I2" s="510"/>
      <c r="J2" s="510"/>
      <c r="K2" s="510"/>
      <c r="L2" s="510"/>
      <c r="M2" s="510"/>
      <c r="N2" s="510"/>
      <c r="O2" s="510"/>
      <c r="P2" s="510"/>
      <c r="Q2" s="510"/>
      <c r="R2" s="510"/>
      <c r="S2" s="510"/>
      <c r="T2" s="510"/>
      <c r="U2" s="510"/>
      <c r="V2" s="511"/>
    </row>
    <row r="3" spans="1:22"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row>
    <row r="4" spans="1:22" s="4" customFormat="1" ht="27.75" customHeight="1" thickTop="1" thickBot="1" x14ac:dyDescent="0.45">
      <c r="A4" s="513" t="s">
        <v>3</v>
      </c>
      <c r="B4" s="514"/>
      <c r="C4" s="514"/>
      <c r="D4" s="514"/>
      <c r="E4" s="514"/>
      <c r="F4" s="513" t="s">
        <v>4</v>
      </c>
      <c r="G4" s="514"/>
      <c r="H4" s="514"/>
      <c r="I4" s="514"/>
      <c r="J4" s="514"/>
      <c r="K4" s="515"/>
      <c r="L4" s="516" t="s">
        <v>5</v>
      </c>
      <c r="M4" s="516"/>
      <c r="N4" s="513" t="s">
        <v>6</v>
      </c>
      <c r="O4" s="514"/>
      <c r="P4" s="514"/>
      <c r="Q4" s="515"/>
      <c r="R4" s="513" t="s">
        <v>7</v>
      </c>
      <c r="S4" s="514"/>
      <c r="T4" s="515"/>
      <c r="U4" s="513" t="s">
        <v>8</v>
      </c>
      <c r="V4" s="515"/>
    </row>
    <row r="5" spans="1:22" ht="71.5" customHeight="1" thickTop="1" thickBot="1" x14ac:dyDescent="0.4">
      <c r="A5" s="10" t="s">
        <v>9</v>
      </c>
      <c r="B5" s="10" t="s">
        <v>10</v>
      </c>
      <c r="C5" s="10" t="s">
        <v>11</v>
      </c>
      <c r="D5" s="10" t="s">
        <v>12</v>
      </c>
      <c r="E5" s="10" t="s">
        <v>13</v>
      </c>
      <c r="F5" s="10" t="s">
        <v>14</v>
      </c>
      <c r="G5" s="10" t="s">
        <v>15</v>
      </c>
      <c r="H5" s="10" t="s">
        <v>16</v>
      </c>
      <c r="I5" s="10" t="s">
        <v>17</v>
      </c>
      <c r="J5" s="10" t="s">
        <v>18</v>
      </c>
      <c r="K5" s="10" t="s">
        <v>19</v>
      </c>
      <c r="L5" s="10" t="s">
        <v>20</v>
      </c>
      <c r="M5" s="10" t="s">
        <v>21</v>
      </c>
      <c r="N5" s="10" t="s">
        <v>22</v>
      </c>
      <c r="O5" s="10" t="s">
        <v>23</v>
      </c>
      <c r="P5" s="10" t="s">
        <v>24</v>
      </c>
      <c r="Q5" s="10" t="s">
        <v>25</v>
      </c>
      <c r="R5" s="23" t="s">
        <v>26</v>
      </c>
      <c r="S5" s="18" t="s">
        <v>27</v>
      </c>
      <c r="T5" s="18" t="s">
        <v>28</v>
      </c>
      <c r="U5" s="18" t="s">
        <v>29</v>
      </c>
      <c r="V5" s="433" t="s">
        <v>30</v>
      </c>
    </row>
    <row r="6" spans="1:22" s="5" customFormat="1" ht="409" customHeight="1" x14ac:dyDescent="0.35">
      <c r="A6" s="117">
        <v>1</v>
      </c>
      <c r="B6" s="244" t="s">
        <v>45</v>
      </c>
      <c r="C6" s="432" t="s">
        <v>46</v>
      </c>
      <c r="D6" s="117" t="s">
        <v>623</v>
      </c>
      <c r="E6" s="436" t="s">
        <v>624</v>
      </c>
      <c r="F6" s="117" t="s">
        <v>49</v>
      </c>
      <c r="G6" s="117" t="s">
        <v>88</v>
      </c>
      <c r="H6" s="25" t="s">
        <v>625</v>
      </c>
      <c r="I6" s="441" t="s">
        <v>626</v>
      </c>
      <c r="J6" s="117" t="s">
        <v>74</v>
      </c>
      <c r="K6" s="426"/>
      <c r="L6" s="274" t="s">
        <v>627</v>
      </c>
      <c r="M6" s="444" t="s">
        <v>628</v>
      </c>
      <c r="N6" s="120" t="s">
        <v>55</v>
      </c>
      <c r="O6" s="120" t="s">
        <v>150</v>
      </c>
      <c r="P6" s="162" t="s">
        <v>55</v>
      </c>
      <c r="Q6" s="552" t="s">
        <v>629</v>
      </c>
      <c r="R6" s="130" t="s">
        <v>56</v>
      </c>
      <c r="S6" s="168"/>
      <c r="T6" s="179"/>
      <c r="U6" s="179" t="s">
        <v>57</v>
      </c>
      <c r="V6" s="176"/>
    </row>
    <row r="7" spans="1:22" s="5" customFormat="1" ht="409" customHeight="1" x14ac:dyDescent="0.35">
      <c r="A7" s="117">
        <v>2</v>
      </c>
      <c r="B7" s="244" t="s">
        <v>45</v>
      </c>
      <c r="C7" s="432" t="s">
        <v>46</v>
      </c>
      <c r="D7" s="117" t="s">
        <v>623</v>
      </c>
      <c r="E7" s="150" t="s">
        <v>630</v>
      </c>
      <c r="F7" s="117" t="s">
        <v>49</v>
      </c>
      <c r="G7" s="117" t="s">
        <v>88</v>
      </c>
      <c r="H7" s="25" t="s">
        <v>631</v>
      </c>
      <c r="I7" s="441" t="s">
        <v>632</v>
      </c>
      <c r="J7" s="117" t="s">
        <v>74</v>
      </c>
      <c r="K7" s="426"/>
      <c r="L7" s="142" t="s">
        <v>627</v>
      </c>
      <c r="M7" s="443" t="s">
        <v>633</v>
      </c>
      <c r="N7" s="120" t="s">
        <v>55</v>
      </c>
      <c r="O7" s="120" t="s">
        <v>150</v>
      </c>
      <c r="P7" s="162" t="s">
        <v>55</v>
      </c>
      <c r="Q7" s="545"/>
      <c r="R7" s="130" t="s">
        <v>56</v>
      </c>
      <c r="S7" s="169"/>
      <c r="T7" s="174"/>
      <c r="U7" s="179" t="s">
        <v>57</v>
      </c>
      <c r="V7" s="126"/>
    </row>
    <row r="8" spans="1:22" s="5" customFormat="1" ht="409.6" customHeight="1" x14ac:dyDescent="0.35">
      <c r="A8" s="117">
        <v>3</v>
      </c>
      <c r="B8" s="244" t="s">
        <v>45</v>
      </c>
      <c r="C8" s="432" t="s">
        <v>46</v>
      </c>
      <c r="D8" s="117" t="s">
        <v>623</v>
      </c>
      <c r="E8" s="150" t="s">
        <v>634</v>
      </c>
      <c r="F8" s="117" t="s">
        <v>49</v>
      </c>
      <c r="G8" s="117" t="s">
        <v>88</v>
      </c>
      <c r="H8" s="25" t="s">
        <v>631</v>
      </c>
      <c r="I8" s="441" t="s">
        <v>632</v>
      </c>
      <c r="J8" s="117" t="s">
        <v>74</v>
      </c>
      <c r="K8" s="426"/>
      <c r="L8" s="142" t="s">
        <v>627</v>
      </c>
      <c r="M8" s="442" t="s">
        <v>635</v>
      </c>
      <c r="N8" s="120" t="s">
        <v>55</v>
      </c>
      <c r="O8" s="120" t="s">
        <v>150</v>
      </c>
      <c r="P8" s="162" t="s">
        <v>55</v>
      </c>
      <c r="Q8" s="545"/>
      <c r="R8" s="130" t="s">
        <v>56</v>
      </c>
      <c r="S8" s="169"/>
      <c r="T8" s="174"/>
      <c r="U8" s="179" t="s">
        <v>57</v>
      </c>
      <c r="V8" s="171"/>
    </row>
    <row r="9" spans="1:22" s="5" customFormat="1" ht="409.5" customHeight="1" x14ac:dyDescent="0.35">
      <c r="A9" s="117">
        <v>4</v>
      </c>
      <c r="B9" s="244" t="s">
        <v>45</v>
      </c>
      <c r="C9" s="432" t="s">
        <v>46</v>
      </c>
      <c r="D9" s="117" t="s">
        <v>623</v>
      </c>
      <c r="E9" s="150" t="s">
        <v>636</v>
      </c>
      <c r="F9" s="117" t="s">
        <v>49</v>
      </c>
      <c r="G9" s="117" t="s">
        <v>88</v>
      </c>
      <c r="H9" s="26" t="s">
        <v>637</v>
      </c>
      <c r="I9" s="441" t="s">
        <v>638</v>
      </c>
      <c r="J9" s="117" t="s">
        <v>74</v>
      </c>
      <c r="K9" s="426"/>
      <c r="L9" s="142" t="s">
        <v>627</v>
      </c>
      <c r="M9" s="442" t="s">
        <v>639</v>
      </c>
      <c r="N9" s="120" t="s">
        <v>55</v>
      </c>
      <c r="O9" s="120" t="s">
        <v>150</v>
      </c>
      <c r="P9" s="162" t="s">
        <v>55</v>
      </c>
      <c r="Q9" s="546"/>
      <c r="R9" s="130" t="s">
        <v>56</v>
      </c>
      <c r="S9" s="169"/>
      <c r="T9" s="174"/>
      <c r="U9" s="179" t="s">
        <v>57</v>
      </c>
      <c r="V9" s="171"/>
    </row>
    <row r="10" spans="1:22" s="5" customFormat="1" ht="302.14999999999998" customHeight="1" x14ac:dyDescent="0.35">
      <c r="A10" s="117">
        <v>5</v>
      </c>
      <c r="B10" s="244" t="s">
        <v>45</v>
      </c>
      <c r="C10" s="432" t="s">
        <v>46</v>
      </c>
      <c r="D10" s="8" t="s">
        <v>640</v>
      </c>
      <c r="E10" s="150" t="s">
        <v>641</v>
      </c>
      <c r="F10" s="117" t="s">
        <v>49</v>
      </c>
      <c r="G10" s="117" t="s">
        <v>50</v>
      </c>
      <c r="H10" s="26" t="s">
        <v>642</v>
      </c>
      <c r="I10" s="25" t="s">
        <v>52</v>
      </c>
      <c r="J10" s="117" t="s">
        <v>74</v>
      </c>
      <c r="K10" s="426"/>
      <c r="L10" s="135" t="s">
        <v>281</v>
      </c>
      <c r="M10" s="153" t="s">
        <v>643</v>
      </c>
      <c r="N10" s="120" t="s">
        <v>150</v>
      </c>
      <c r="O10" s="120" t="s">
        <v>150</v>
      </c>
      <c r="P10" s="162" t="s">
        <v>55</v>
      </c>
      <c r="Q10" s="551" t="s">
        <v>644</v>
      </c>
      <c r="R10" s="102" t="s">
        <v>56</v>
      </c>
      <c r="S10" s="169"/>
      <c r="T10" s="174"/>
      <c r="U10" s="179" t="s">
        <v>152</v>
      </c>
      <c r="V10" s="435"/>
    </row>
    <row r="11" spans="1:22" s="5" customFormat="1" ht="211" customHeight="1" x14ac:dyDescent="0.35">
      <c r="A11" s="117">
        <v>6</v>
      </c>
      <c r="B11" s="244" t="s">
        <v>45</v>
      </c>
      <c r="C11" s="432" t="s">
        <v>46</v>
      </c>
      <c r="D11" s="8" t="s">
        <v>640</v>
      </c>
      <c r="E11" s="150" t="s">
        <v>645</v>
      </c>
      <c r="F11" s="117" t="s">
        <v>49</v>
      </c>
      <c r="G11" s="117" t="s">
        <v>50</v>
      </c>
      <c r="H11" s="26" t="s">
        <v>154</v>
      </c>
      <c r="I11" s="25" t="s">
        <v>52</v>
      </c>
      <c r="J11" s="117" t="s">
        <v>74</v>
      </c>
      <c r="K11" s="426"/>
      <c r="L11" s="135" t="s">
        <v>281</v>
      </c>
      <c r="M11" s="38" t="s">
        <v>52</v>
      </c>
      <c r="N11" s="120" t="s">
        <v>150</v>
      </c>
      <c r="O11" s="120" t="s">
        <v>150</v>
      </c>
      <c r="P11" s="162" t="s">
        <v>55</v>
      </c>
      <c r="Q11" s="543"/>
      <c r="R11" s="102" t="s">
        <v>56</v>
      </c>
      <c r="S11" s="169"/>
      <c r="T11" s="174"/>
      <c r="U11" s="179" t="s">
        <v>152</v>
      </c>
      <c r="V11" s="435"/>
    </row>
    <row r="12" spans="1:22" s="5" customFormat="1" ht="187" customHeight="1" x14ac:dyDescent="0.35">
      <c r="A12" s="117">
        <v>7</v>
      </c>
      <c r="B12" s="244" t="s">
        <v>45</v>
      </c>
      <c r="C12" s="432" t="s">
        <v>46</v>
      </c>
      <c r="D12" s="8" t="s">
        <v>640</v>
      </c>
      <c r="E12" s="8" t="s">
        <v>646</v>
      </c>
      <c r="F12" s="117" t="s">
        <v>49</v>
      </c>
      <c r="G12" s="117" t="s">
        <v>50</v>
      </c>
      <c r="H12" s="26" t="s">
        <v>647</v>
      </c>
      <c r="I12" s="25" t="s">
        <v>52</v>
      </c>
      <c r="J12" s="117" t="s">
        <v>74</v>
      </c>
      <c r="K12" s="426"/>
      <c r="L12" s="135" t="s">
        <v>648</v>
      </c>
      <c r="M12" s="153" t="s">
        <v>649</v>
      </c>
      <c r="N12" s="120" t="s">
        <v>150</v>
      </c>
      <c r="O12" s="120" t="s">
        <v>150</v>
      </c>
      <c r="P12" s="162" t="s">
        <v>55</v>
      </c>
      <c r="Q12" s="543"/>
      <c r="R12" s="102" t="s">
        <v>56</v>
      </c>
      <c r="S12" s="169"/>
      <c r="T12" s="265"/>
      <c r="U12" s="179" t="s">
        <v>152</v>
      </c>
      <c r="V12" s="435"/>
    </row>
    <row r="13" spans="1:22" s="5" customFormat="1" ht="202.5" customHeight="1" x14ac:dyDescent="0.35">
      <c r="A13" s="117">
        <v>8</v>
      </c>
      <c r="B13" s="244" t="s">
        <v>45</v>
      </c>
      <c r="C13" s="8" t="s">
        <v>67</v>
      </c>
      <c r="D13" s="8" t="s">
        <v>640</v>
      </c>
      <c r="E13" s="8" t="s">
        <v>650</v>
      </c>
      <c r="F13" s="117" t="s">
        <v>49</v>
      </c>
      <c r="G13" s="117" t="s">
        <v>50</v>
      </c>
      <c r="H13" s="26" t="s">
        <v>524</v>
      </c>
      <c r="I13" s="25" t="s">
        <v>52</v>
      </c>
      <c r="J13" s="117" t="s">
        <v>74</v>
      </c>
      <c r="K13" s="426"/>
      <c r="L13" s="135" t="s">
        <v>651</v>
      </c>
      <c r="M13" s="153" t="s">
        <v>652</v>
      </c>
      <c r="N13" s="120" t="s">
        <v>150</v>
      </c>
      <c r="O13" s="120" t="s">
        <v>150</v>
      </c>
      <c r="P13" s="162" t="s">
        <v>55</v>
      </c>
      <c r="Q13" s="543"/>
      <c r="R13" s="102" t="s">
        <v>56</v>
      </c>
      <c r="S13" s="434"/>
      <c r="T13" s="265"/>
      <c r="U13" s="179" t="s">
        <v>152</v>
      </c>
      <c r="V13" s="435"/>
    </row>
    <row r="14" spans="1:22" s="5" customFormat="1" ht="209.5" customHeight="1" x14ac:dyDescent="0.35">
      <c r="A14" s="117">
        <v>9</v>
      </c>
      <c r="B14" s="244" t="s">
        <v>45</v>
      </c>
      <c r="C14" s="8" t="s">
        <v>46</v>
      </c>
      <c r="D14" s="8" t="s">
        <v>653</v>
      </c>
      <c r="E14" s="8" t="s">
        <v>654</v>
      </c>
      <c r="F14" s="8" t="s">
        <v>364</v>
      </c>
      <c r="G14" s="8" t="s">
        <v>50</v>
      </c>
      <c r="H14" s="26" t="s">
        <v>479</v>
      </c>
      <c r="I14" s="25" t="s">
        <v>52</v>
      </c>
      <c r="J14" s="8" t="s">
        <v>53</v>
      </c>
      <c r="K14" s="8">
        <v>2</v>
      </c>
      <c r="L14" s="438" t="s">
        <v>655</v>
      </c>
      <c r="M14" s="8" t="s">
        <v>656</v>
      </c>
      <c r="N14" s="120" t="s">
        <v>150</v>
      </c>
      <c r="O14" s="120" t="s">
        <v>55</v>
      </c>
      <c r="P14" s="162" t="s">
        <v>55</v>
      </c>
      <c r="Q14" s="517" t="s">
        <v>657</v>
      </c>
      <c r="R14" s="102" t="s">
        <v>56</v>
      </c>
      <c r="S14" s="434"/>
      <c r="T14" s="174"/>
      <c r="U14" s="179" t="s">
        <v>152</v>
      </c>
      <c r="V14" s="435"/>
    </row>
    <row r="15" spans="1:22" s="5" customFormat="1" ht="213" customHeight="1" x14ac:dyDescent="0.35">
      <c r="A15" s="117">
        <v>10</v>
      </c>
      <c r="B15" s="244" t="s">
        <v>45</v>
      </c>
      <c r="C15" s="8" t="s">
        <v>67</v>
      </c>
      <c r="D15" s="8" t="s">
        <v>653</v>
      </c>
      <c r="E15" s="8" t="s">
        <v>658</v>
      </c>
      <c r="F15" s="8" t="s">
        <v>364</v>
      </c>
      <c r="G15" s="8" t="s">
        <v>50</v>
      </c>
      <c r="H15" s="26" t="s">
        <v>659</v>
      </c>
      <c r="I15" s="25" t="s">
        <v>52</v>
      </c>
      <c r="J15" s="8" t="s">
        <v>74</v>
      </c>
      <c r="K15" s="8"/>
      <c r="L15" s="438" t="s">
        <v>660</v>
      </c>
      <c r="M15" s="8" t="s">
        <v>661</v>
      </c>
      <c r="N15" s="120" t="s">
        <v>150</v>
      </c>
      <c r="O15" s="120" t="s">
        <v>55</v>
      </c>
      <c r="P15" s="162" t="s">
        <v>55</v>
      </c>
      <c r="Q15" s="546"/>
      <c r="R15" s="102" t="s">
        <v>56</v>
      </c>
      <c r="S15" s="434"/>
      <c r="T15" s="174"/>
      <c r="U15" s="179" t="s">
        <v>152</v>
      </c>
      <c r="V15" s="435"/>
    </row>
    <row r="16" spans="1:22" s="5" customFormat="1" ht="409.5" customHeight="1" x14ac:dyDescent="0.35">
      <c r="A16" s="117">
        <v>11</v>
      </c>
      <c r="B16" s="244" t="s">
        <v>45</v>
      </c>
      <c r="C16" s="8" t="s">
        <v>46</v>
      </c>
      <c r="D16" s="8" t="s">
        <v>662</v>
      </c>
      <c r="E16" s="8" t="s">
        <v>663</v>
      </c>
      <c r="F16" s="8" t="s">
        <v>364</v>
      </c>
      <c r="G16" s="8" t="s">
        <v>71</v>
      </c>
      <c r="H16" s="26" t="s">
        <v>154</v>
      </c>
      <c r="I16" s="25" t="s">
        <v>52</v>
      </c>
      <c r="J16" s="8" t="s">
        <v>74</v>
      </c>
      <c r="K16" s="8"/>
      <c r="L16" s="447" t="s">
        <v>664</v>
      </c>
      <c r="M16" s="8" t="s">
        <v>665</v>
      </c>
      <c r="N16" s="38" t="s">
        <v>55</v>
      </c>
      <c r="O16" s="120" t="s">
        <v>55</v>
      </c>
      <c r="P16" s="162" t="s">
        <v>55</v>
      </c>
      <c r="Q16" s="120" t="s">
        <v>52</v>
      </c>
      <c r="R16" s="102" t="s">
        <v>56</v>
      </c>
      <c r="S16" s="434"/>
      <c r="T16" s="449"/>
      <c r="U16" s="179" t="s">
        <v>152</v>
      </c>
      <c r="V16" s="435"/>
    </row>
    <row r="17" spans="1:22" s="5" customFormat="1" ht="298" customHeight="1" x14ac:dyDescent="0.35">
      <c r="A17" s="117">
        <v>12</v>
      </c>
      <c r="B17" s="244" t="s">
        <v>45</v>
      </c>
      <c r="C17" s="8" t="s">
        <v>46</v>
      </c>
      <c r="D17" s="8" t="s">
        <v>666</v>
      </c>
      <c r="E17" s="8" t="s">
        <v>667</v>
      </c>
      <c r="F17" s="8" t="s">
        <v>364</v>
      </c>
      <c r="G17" s="8" t="s">
        <v>50</v>
      </c>
      <c r="H17" s="26" t="s">
        <v>551</v>
      </c>
      <c r="I17" s="25" t="s">
        <v>52</v>
      </c>
      <c r="J17" s="117" t="s">
        <v>53</v>
      </c>
      <c r="K17" s="426">
        <v>2</v>
      </c>
      <c r="L17" s="75" t="s">
        <v>498</v>
      </c>
      <c r="M17" s="197" t="s">
        <v>52</v>
      </c>
      <c r="N17" s="38" t="s">
        <v>55</v>
      </c>
      <c r="O17" s="120" t="s">
        <v>55</v>
      </c>
      <c r="P17" s="162" t="s">
        <v>55</v>
      </c>
      <c r="Q17" s="120" t="s">
        <v>52</v>
      </c>
      <c r="R17" s="102" t="s">
        <v>56</v>
      </c>
      <c r="S17" s="434"/>
      <c r="T17" s="174"/>
      <c r="U17" s="179" t="s">
        <v>76</v>
      </c>
      <c r="V17" s="435"/>
    </row>
    <row r="18" spans="1:22" s="3" customFormat="1" ht="196" customHeight="1" x14ac:dyDescent="0.35">
      <c r="A18" s="117">
        <v>13</v>
      </c>
      <c r="B18" s="244" t="s">
        <v>45</v>
      </c>
      <c r="C18" s="8" t="s">
        <v>46</v>
      </c>
      <c r="D18" s="8" t="s">
        <v>666</v>
      </c>
      <c r="E18" s="8" t="s">
        <v>668</v>
      </c>
      <c r="F18" s="8" t="s">
        <v>364</v>
      </c>
      <c r="G18" s="8" t="s">
        <v>71</v>
      </c>
      <c r="H18" s="26" t="s">
        <v>669</v>
      </c>
      <c r="I18" s="441" t="s">
        <v>670</v>
      </c>
      <c r="J18" s="117" t="s">
        <v>53</v>
      </c>
      <c r="K18" s="426">
        <v>2</v>
      </c>
      <c r="L18" s="75" t="s">
        <v>648</v>
      </c>
      <c r="M18" s="197" t="s">
        <v>52</v>
      </c>
      <c r="N18" s="38" t="s">
        <v>55</v>
      </c>
      <c r="O18" s="120" t="s">
        <v>55</v>
      </c>
      <c r="P18" s="162" t="s">
        <v>55</v>
      </c>
      <c r="Q18" s="120" t="s">
        <v>52</v>
      </c>
      <c r="R18" s="102" t="s">
        <v>56</v>
      </c>
      <c r="S18" s="434"/>
      <c r="T18" s="174"/>
      <c r="U18" s="179" t="s">
        <v>76</v>
      </c>
      <c r="V18" s="435"/>
    </row>
    <row r="19" spans="1:22" s="3" customFormat="1" ht="334" customHeight="1" x14ac:dyDescent="0.35">
      <c r="A19" s="117">
        <v>14</v>
      </c>
      <c r="B19" s="244" t="s">
        <v>45</v>
      </c>
      <c r="C19" s="8" t="s">
        <v>46</v>
      </c>
      <c r="D19" s="8" t="s">
        <v>666</v>
      </c>
      <c r="E19" s="8" t="s">
        <v>671</v>
      </c>
      <c r="F19" s="8" t="s">
        <v>364</v>
      </c>
      <c r="G19" s="8" t="s">
        <v>71</v>
      </c>
      <c r="H19" s="26" t="s">
        <v>672</v>
      </c>
      <c r="I19" s="448" t="s">
        <v>673</v>
      </c>
      <c r="J19" s="117" t="s">
        <v>53</v>
      </c>
      <c r="K19" s="426">
        <v>2</v>
      </c>
      <c r="L19" s="75" t="s">
        <v>648</v>
      </c>
      <c r="M19" s="197" t="s">
        <v>52</v>
      </c>
      <c r="N19" s="38" t="s">
        <v>55</v>
      </c>
      <c r="O19" s="120" t="s">
        <v>55</v>
      </c>
      <c r="P19" s="162" t="s">
        <v>55</v>
      </c>
      <c r="Q19" s="120" t="s">
        <v>52</v>
      </c>
      <c r="R19" s="102" t="s">
        <v>56</v>
      </c>
      <c r="S19" s="169"/>
      <c r="T19" s="174"/>
      <c r="U19" s="179" t="s">
        <v>76</v>
      </c>
      <c r="V19" s="34"/>
    </row>
    <row r="20" spans="1:22" s="3" customFormat="1" ht="209.5" customHeight="1" x14ac:dyDescent="0.35">
      <c r="A20" s="8"/>
      <c r="B20" s="13"/>
      <c r="C20" s="144"/>
      <c r="D20" s="8"/>
      <c r="E20" s="8"/>
      <c r="F20" s="8"/>
      <c r="G20" s="8"/>
      <c r="H20" s="26"/>
      <c r="I20" s="27"/>
      <c r="J20" s="8"/>
      <c r="K20" s="132"/>
      <c r="L20" s="446"/>
      <c r="M20" s="445"/>
      <c r="N20" s="8"/>
      <c r="O20" s="8"/>
      <c r="P20" s="132"/>
      <c r="Q20" s="38"/>
      <c r="R20" s="102"/>
      <c r="S20" s="169"/>
      <c r="T20" s="174"/>
      <c r="U20" s="174"/>
      <c r="V20" s="34"/>
    </row>
    <row r="21" spans="1:22" s="3" customFormat="1" ht="164.5" customHeight="1" x14ac:dyDescent="0.35">
      <c r="A21" s="8"/>
      <c r="B21" s="13"/>
      <c r="C21" s="144"/>
      <c r="D21" s="8"/>
      <c r="E21" s="8"/>
      <c r="F21" s="8"/>
      <c r="G21" s="8"/>
      <c r="H21" s="26"/>
      <c r="I21" s="26"/>
      <c r="J21" s="8"/>
      <c r="K21" s="8"/>
      <c r="L21" s="119"/>
      <c r="M21" s="438"/>
      <c r="N21" s="8"/>
      <c r="O21" s="8"/>
      <c r="P21" s="132"/>
      <c r="Q21" s="38"/>
      <c r="R21" s="102"/>
      <c r="S21" s="169"/>
      <c r="T21" s="174"/>
      <c r="U21" s="174"/>
      <c r="V21" s="34"/>
    </row>
    <row r="22" spans="1:22" s="3" customFormat="1" ht="181.5" customHeight="1" x14ac:dyDescent="0.35">
      <c r="A22" s="8"/>
      <c r="B22" s="13"/>
      <c r="C22" s="144"/>
      <c r="D22" s="8"/>
      <c r="E22" s="8"/>
      <c r="F22" s="8"/>
      <c r="G22" s="8"/>
      <c r="H22" s="26"/>
      <c r="I22" s="26"/>
      <c r="J22" s="8"/>
      <c r="K22" s="8"/>
      <c r="L22" s="9"/>
      <c r="M22" s="438"/>
      <c r="N22" s="8"/>
      <c r="O22" s="8"/>
      <c r="P22" s="132"/>
      <c r="Q22" s="38"/>
      <c r="R22" s="102"/>
      <c r="S22" s="169"/>
      <c r="T22" s="174"/>
      <c r="U22" s="174"/>
      <c r="V22" s="34"/>
    </row>
    <row r="23" spans="1:22" s="3" customFormat="1" ht="177.65" customHeight="1" x14ac:dyDescent="0.35">
      <c r="A23" s="8"/>
      <c r="B23" s="13"/>
      <c r="C23" s="144"/>
      <c r="D23" s="8"/>
      <c r="E23" s="8"/>
      <c r="F23" s="8"/>
      <c r="G23" s="8"/>
      <c r="H23" s="26"/>
      <c r="I23" s="26"/>
      <c r="J23" s="8"/>
      <c r="K23" s="8"/>
      <c r="L23" s="9"/>
      <c r="M23" s="438"/>
      <c r="N23" s="8"/>
      <c r="O23" s="8"/>
      <c r="P23" s="132"/>
      <c r="Q23" s="38"/>
      <c r="R23" s="102"/>
      <c r="S23" s="169"/>
      <c r="T23" s="174"/>
      <c r="U23" s="174"/>
      <c r="V23" s="34"/>
    </row>
    <row r="24" spans="1:22" s="3" customFormat="1" ht="79.5" customHeight="1" x14ac:dyDescent="0.35">
      <c r="A24" s="8"/>
      <c r="B24" s="12"/>
      <c r="C24" s="144"/>
      <c r="D24" s="8"/>
      <c r="E24" s="8"/>
      <c r="F24" s="8"/>
      <c r="G24" s="8"/>
      <c r="H24" s="26"/>
      <c r="I24" s="26"/>
      <c r="J24" s="8"/>
      <c r="K24" s="8"/>
      <c r="L24" s="9"/>
      <c r="M24" s="438"/>
      <c r="N24" s="8"/>
      <c r="O24" s="8"/>
      <c r="P24" s="132"/>
      <c r="Q24" s="38"/>
      <c r="R24" s="102"/>
      <c r="S24" s="169"/>
      <c r="T24" s="174"/>
      <c r="U24" s="174"/>
      <c r="V24" s="34"/>
    </row>
    <row r="25" spans="1:22" s="3" customFormat="1" ht="79.5" customHeight="1" x14ac:dyDescent="0.35">
      <c r="A25" s="8"/>
      <c r="B25" s="12"/>
      <c r="C25" s="144"/>
      <c r="D25" s="8"/>
      <c r="E25" s="8"/>
      <c r="F25" s="8"/>
      <c r="G25" s="8"/>
      <c r="H25" s="26"/>
      <c r="I25" s="26"/>
      <c r="J25" s="8"/>
      <c r="K25" s="8"/>
      <c r="L25" s="9"/>
      <c r="M25" s="438"/>
      <c r="N25" s="80"/>
      <c r="O25" s="80"/>
      <c r="P25" s="190"/>
      <c r="Q25" s="38"/>
      <c r="R25" s="102"/>
      <c r="S25" s="169"/>
      <c r="T25" s="174"/>
      <c r="U25" s="174"/>
      <c r="V25" s="34"/>
    </row>
    <row r="26" spans="1:22" s="3" customFormat="1" ht="79.5" customHeight="1" x14ac:dyDescent="0.35">
      <c r="A26" s="8"/>
      <c r="B26" s="12"/>
      <c r="C26" s="144"/>
      <c r="D26" s="8"/>
      <c r="E26" s="8"/>
      <c r="F26" s="8"/>
      <c r="G26" s="8"/>
      <c r="H26" s="26"/>
      <c r="I26" s="26"/>
      <c r="J26" s="8"/>
      <c r="K26" s="8"/>
      <c r="L26" s="9"/>
      <c r="M26" s="439"/>
      <c r="N26" s="38"/>
      <c r="O26" s="38"/>
      <c r="P26" s="136"/>
      <c r="Q26" s="38"/>
      <c r="R26" s="102"/>
      <c r="S26" s="169"/>
      <c r="T26" s="174"/>
      <c r="U26" s="174"/>
      <c r="V26" s="34"/>
    </row>
    <row r="27" spans="1:22" ht="79.5" customHeight="1" x14ac:dyDescent="0.4">
      <c r="A27" s="19"/>
      <c r="B27" s="20"/>
      <c r="C27" s="144"/>
      <c r="D27" s="19"/>
      <c r="E27" s="19"/>
      <c r="F27" s="19"/>
      <c r="G27" s="19"/>
      <c r="H27" s="28"/>
      <c r="I27" s="28"/>
      <c r="J27" s="19"/>
      <c r="K27" s="19"/>
      <c r="L27" s="21"/>
      <c r="M27" s="439"/>
      <c r="N27" s="38"/>
      <c r="O27" s="38"/>
      <c r="P27" s="136"/>
      <c r="Q27" s="38"/>
      <c r="R27" s="178"/>
      <c r="S27" s="170"/>
      <c r="T27" s="174"/>
      <c r="U27" s="175"/>
      <c r="V27" s="34"/>
    </row>
    <row r="28" spans="1:22" ht="16" x14ac:dyDescent="0.35">
      <c r="N28" s="79"/>
      <c r="O28" s="79"/>
      <c r="P28" s="79"/>
      <c r="Q28" s="79"/>
      <c r="T28" s="235"/>
    </row>
    <row r="29" spans="1:22" ht="16" x14ac:dyDescent="0.35">
      <c r="N29" s="79"/>
      <c r="O29" s="79"/>
      <c r="P29" s="79"/>
      <c r="Q29" s="79"/>
      <c r="T29" s="235"/>
    </row>
    <row r="30" spans="1:22" ht="16" x14ac:dyDescent="0.35">
      <c r="N30" s="79"/>
      <c r="O30" s="79"/>
      <c r="P30" s="79"/>
      <c r="Q30" s="79"/>
      <c r="T30" s="235"/>
    </row>
    <row r="31" spans="1:22" ht="16" x14ac:dyDescent="0.35">
      <c r="N31" s="79"/>
      <c r="O31" s="79"/>
      <c r="P31" s="79"/>
      <c r="Q31" s="79"/>
      <c r="T31" s="235"/>
    </row>
    <row r="32" spans="1:22" ht="16" x14ac:dyDescent="0.35">
      <c r="N32" s="79"/>
      <c r="O32" s="79"/>
      <c r="P32" s="79"/>
      <c r="Q32" s="79"/>
      <c r="T32" s="235"/>
    </row>
    <row r="33" spans="14:20" ht="16" x14ac:dyDescent="0.35">
      <c r="N33" s="79"/>
      <c r="O33" s="79"/>
      <c r="P33" s="79"/>
      <c r="Q33" s="79"/>
      <c r="T33" s="235"/>
    </row>
    <row r="34" spans="14:20" ht="16" x14ac:dyDescent="0.35">
      <c r="N34" s="79"/>
      <c r="O34" s="79"/>
      <c r="P34" s="79"/>
      <c r="Q34" s="79"/>
      <c r="T34" s="235"/>
    </row>
    <row r="35" spans="14:20" ht="16" x14ac:dyDescent="0.35">
      <c r="N35" s="79"/>
      <c r="O35" s="79"/>
      <c r="P35" s="79"/>
      <c r="Q35" s="79"/>
      <c r="T35" s="235"/>
    </row>
    <row r="36" spans="14:20" ht="16" x14ac:dyDescent="0.35">
      <c r="N36" s="79"/>
      <c r="O36" s="79"/>
      <c r="P36" s="79"/>
      <c r="Q36" s="79"/>
      <c r="T36" s="235"/>
    </row>
    <row r="37" spans="14:20" ht="16" x14ac:dyDescent="0.35">
      <c r="N37" s="79"/>
      <c r="O37" s="79"/>
      <c r="P37" s="79"/>
      <c r="Q37" s="79"/>
      <c r="T37" s="235"/>
    </row>
    <row r="38" spans="14:20" ht="16" x14ac:dyDescent="0.35">
      <c r="N38" s="79"/>
      <c r="O38" s="79"/>
      <c r="P38" s="79"/>
      <c r="Q38" s="79"/>
      <c r="T38" s="235"/>
    </row>
    <row r="39" spans="14:20" ht="16" x14ac:dyDescent="0.35">
      <c r="N39" s="79"/>
      <c r="O39" s="79"/>
      <c r="P39" s="79"/>
      <c r="Q39" s="79"/>
      <c r="T39" s="235"/>
    </row>
    <row r="40" spans="14:20" ht="16" x14ac:dyDescent="0.35">
      <c r="N40" s="79"/>
      <c r="O40" s="79"/>
      <c r="P40" s="79"/>
      <c r="Q40" s="79"/>
      <c r="T40" s="235"/>
    </row>
    <row r="41" spans="14:20" ht="16" x14ac:dyDescent="0.35">
      <c r="N41" s="79"/>
      <c r="O41" s="79"/>
      <c r="P41" s="79"/>
      <c r="Q41" s="79"/>
      <c r="T41" s="235"/>
    </row>
    <row r="42" spans="14:20" ht="16" x14ac:dyDescent="0.35">
      <c r="N42" s="79"/>
      <c r="O42" s="79"/>
      <c r="P42" s="79"/>
      <c r="Q42" s="79"/>
      <c r="T42" s="235"/>
    </row>
    <row r="43" spans="14:20" ht="16" x14ac:dyDescent="0.35">
      <c r="N43" s="79"/>
      <c r="O43" s="79"/>
      <c r="P43" s="79"/>
      <c r="Q43" s="79"/>
      <c r="T43" s="235"/>
    </row>
    <row r="44" spans="14:20" ht="16" x14ac:dyDescent="0.35">
      <c r="N44" s="79"/>
      <c r="O44" s="79"/>
      <c r="P44" s="79"/>
      <c r="Q44" s="79"/>
      <c r="T44" s="235"/>
    </row>
    <row r="45" spans="14:20" ht="16" x14ac:dyDescent="0.35">
      <c r="N45" s="79"/>
      <c r="O45" s="79"/>
      <c r="P45" s="79"/>
      <c r="Q45" s="79"/>
      <c r="T45" s="235"/>
    </row>
    <row r="46" spans="14:20" ht="16" x14ac:dyDescent="0.35">
      <c r="N46" s="79"/>
      <c r="O46" s="79"/>
      <c r="P46" s="79"/>
      <c r="Q46" s="79"/>
      <c r="T46" s="235"/>
    </row>
    <row r="47" spans="14:20" ht="16" x14ac:dyDescent="0.35">
      <c r="N47" s="79"/>
      <c r="O47" s="79"/>
      <c r="P47" s="79"/>
      <c r="Q47" s="79"/>
      <c r="T47" s="235"/>
    </row>
    <row r="48" spans="14:20" ht="16" x14ac:dyDescent="0.35">
      <c r="N48" s="79"/>
      <c r="O48" s="79"/>
      <c r="P48" s="79"/>
      <c r="Q48" s="79"/>
      <c r="T48" s="235"/>
    </row>
    <row r="49" spans="14:20" ht="16" x14ac:dyDescent="0.35">
      <c r="N49" s="79"/>
      <c r="O49" s="79"/>
      <c r="P49" s="79"/>
      <c r="Q49" s="79"/>
      <c r="T49" s="235"/>
    </row>
    <row r="50" spans="14:20" ht="16" x14ac:dyDescent="0.35">
      <c r="N50" s="79"/>
      <c r="O50" s="79"/>
      <c r="P50" s="79"/>
      <c r="Q50" s="79"/>
      <c r="T50" s="235"/>
    </row>
    <row r="51" spans="14:20" ht="16" x14ac:dyDescent="0.35">
      <c r="N51" s="79"/>
      <c r="O51" s="79"/>
      <c r="P51" s="79"/>
      <c r="Q51" s="79"/>
      <c r="T51" s="235"/>
    </row>
    <row r="52" spans="14:20" ht="16" x14ac:dyDescent="0.35">
      <c r="N52" s="79"/>
      <c r="O52" s="79"/>
      <c r="P52" s="79"/>
      <c r="Q52" s="79"/>
      <c r="T52" s="235"/>
    </row>
    <row r="53" spans="14:20" ht="16" x14ac:dyDescent="0.35">
      <c r="N53" s="79"/>
      <c r="O53" s="79"/>
      <c r="P53" s="79"/>
      <c r="Q53" s="79"/>
      <c r="T53" s="235"/>
    </row>
    <row r="54" spans="14:20" ht="16" x14ac:dyDescent="0.35">
      <c r="N54" s="79"/>
      <c r="O54" s="79"/>
      <c r="P54" s="79"/>
      <c r="Q54" s="79"/>
      <c r="T54" s="235"/>
    </row>
    <row r="55" spans="14:20" ht="16" x14ac:dyDescent="0.35">
      <c r="N55" s="79"/>
      <c r="O55" s="79"/>
      <c r="P55" s="79"/>
      <c r="Q55" s="79"/>
      <c r="T55" s="235"/>
    </row>
    <row r="56" spans="14:20" ht="16" x14ac:dyDescent="0.35">
      <c r="N56" s="79"/>
      <c r="O56" s="79"/>
      <c r="P56" s="79"/>
      <c r="Q56" s="79"/>
      <c r="T56" s="235"/>
    </row>
    <row r="57" spans="14:20" ht="16" x14ac:dyDescent="0.35">
      <c r="N57" s="79"/>
      <c r="O57" s="79"/>
      <c r="P57" s="79"/>
      <c r="Q57" s="79"/>
      <c r="T57" s="235"/>
    </row>
    <row r="58" spans="14:20" ht="16" x14ac:dyDescent="0.35">
      <c r="N58" s="79"/>
      <c r="O58" s="79"/>
      <c r="P58" s="79"/>
      <c r="Q58" s="79"/>
      <c r="T58" s="235"/>
    </row>
    <row r="59" spans="14:20" ht="16" x14ac:dyDescent="0.35">
      <c r="N59" s="79"/>
      <c r="O59" s="79"/>
      <c r="P59" s="79"/>
      <c r="Q59" s="79"/>
      <c r="T59" s="235"/>
    </row>
    <row r="60" spans="14:20" ht="16" x14ac:dyDescent="0.35">
      <c r="N60" s="79"/>
      <c r="O60" s="79"/>
      <c r="P60" s="79"/>
      <c r="Q60" s="79"/>
      <c r="T60" s="235"/>
    </row>
    <row r="61" spans="14:20" ht="16" x14ac:dyDescent="0.35">
      <c r="N61" s="79"/>
      <c r="O61" s="79"/>
      <c r="P61" s="79"/>
      <c r="Q61" s="79"/>
      <c r="T61" s="235"/>
    </row>
    <row r="62" spans="14:20" ht="16" x14ac:dyDescent="0.35">
      <c r="N62" s="79"/>
      <c r="O62" s="79"/>
      <c r="P62" s="79"/>
      <c r="Q62" s="79"/>
      <c r="T62" s="235"/>
    </row>
    <row r="63" spans="14:20" ht="16" x14ac:dyDescent="0.35">
      <c r="N63" s="79"/>
      <c r="O63" s="79"/>
      <c r="P63" s="79"/>
      <c r="Q63" s="79"/>
      <c r="T63" s="235"/>
    </row>
    <row r="64" spans="14:20" ht="16" x14ac:dyDescent="0.35">
      <c r="N64" s="79"/>
      <c r="O64" s="79"/>
      <c r="P64" s="79"/>
      <c r="Q64" s="79"/>
      <c r="T64" s="235"/>
    </row>
    <row r="65" spans="14:20" ht="16" x14ac:dyDescent="0.35">
      <c r="N65" s="79"/>
      <c r="O65" s="79"/>
      <c r="P65" s="79"/>
      <c r="Q65" s="79"/>
      <c r="T65" s="235"/>
    </row>
    <row r="66" spans="14:20" ht="16" x14ac:dyDescent="0.35">
      <c r="N66" s="79"/>
      <c r="O66" s="79"/>
      <c r="P66" s="79"/>
      <c r="Q66" s="79"/>
      <c r="T66" s="235"/>
    </row>
    <row r="67" spans="14:20" ht="16" x14ac:dyDescent="0.35">
      <c r="N67" s="79"/>
      <c r="O67" s="79"/>
      <c r="P67" s="79"/>
      <c r="Q67" s="79"/>
      <c r="T67" s="235"/>
    </row>
    <row r="68" spans="14:20" ht="16" x14ac:dyDescent="0.35">
      <c r="N68" s="79"/>
      <c r="O68" s="79"/>
      <c r="P68" s="79"/>
      <c r="Q68" s="79"/>
      <c r="T68" s="235"/>
    </row>
    <row r="69" spans="14:20" ht="16" x14ac:dyDescent="0.35">
      <c r="N69" s="79"/>
      <c r="O69" s="79"/>
      <c r="P69" s="79"/>
      <c r="Q69" s="79"/>
      <c r="T69" s="235"/>
    </row>
    <row r="70" spans="14:20" ht="16" x14ac:dyDescent="0.35">
      <c r="N70" s="79"/>
      <c r="O70" s="79"/>
      <c r="P70" s="79"/>
      <c r="Q70" s="79"/>
      <c r="T70" s="235"/>
    </row>
    <row r="71" spans="14:20" ht="16" x14ac:dyDescent="0.35">
      <c r="N71" s="79"/>
      <c r="O71" s="79"/>
      <c r="P71" s="79"/>
      <c r="Q71" s="79"/>
      <c r="T71" s="235"/>
    </row>
    <row r="72" spans="14:20" ht="16" x14ac:dyDescent="0.35">
      <c r="N72" s="79"/>
      <c r="O72" s="79"/>
      <c r="P72" s="79"/>
      <c r="Q72" s="79"/>
      <c r="T72" s="235"/>
    </row>
    <row r="73" spans="14:20" ht="16" x14ac:dyDescent="0.35">
      <c r="N73" s="79"/>
      <c r="O73" s="79"/>
      <c r="P73" s="79"/>
      <c r="Q73" s="79"/>
      <c r="T73" s="235"/>
    </row>
    <row r="74" spans="14:20" ht="16" x14ac:dyDescent="0.35">
      <c r="N74" s="79"/>
      <c r="O74" s="79"/>
      <c r="P74" s="79"/>
      <c r="Q74" s="79"/>
      <c r="T74" s="235"/>
    </row>
    <row r="75" spans="14:20" ht="16" x14ac:dyDescent="0.35">
      <c r="N75" s="79"/>
      <c r="O75" s="79"/>
      <c r="P75" s="79"/>
      <c r="Q75" s="79"/>
      <c r="T75" s="235"/>
    </row>
    <row r="76" spans="14:20" x14ac:dyDescent="0.35">
      <c r="T76" s="235"/>
    </row>
    <row r="77" spans="14:20" x14ac:dyDescent="0.35">
      <c r="T77" s="235"/>
    </row>
    <row r="78" spans="14:20" x14ac:dyDescent="0.35">
      <c r="T78" s="235"/>
    </row>
    <row r="79" spans="14:20" x14ac:dyDescent="0.35">
      <c r="T79" s="235"/>
    </row>
    <row r="80" spans="14:20" x14ac:dyDescent="0.35">
      <c r="T80" s="235"/>
    </row>
    <row r="81" spans="20:20" x14ac:dyDescent="0.35">
      <c r="T81" s="235"/>
    </row>
    <row r="82" spans="20:20" x14ac:dyDescent="0.35">
      <c r="T82" s="235"/>
    </row>
    <row r="83" spans="20:20" x14ac:dyDescent="0.35">
      <c r="T83" s="235"/>
    </row>
    <row r="84" spans="20:20" x14ac:dyDescent="0.35">
      <c r="T84" s="235"/>
    </row>
    <row r="85" spans="20:20" x14ac:dyDescent="0.35">
      <c r="T85" s="235"/>
    </row>
    <row r="86" spans="20:20" x14ac:dyDescent="0.35">
      <c r="T86" s="235"/>
    </row>
    <row r="87" spans="20:20" x14ac:dyDescent="0.35">
      <c r="T87" s="235"/>
    </row>
    <row r="88" spans="20:20" x14ac:dyDescent="0.35">
      <c r="T88" s="235"/>
    </row>
    <row r="89" spans="20:20" x14ac:dyDescent="0.35">
      <c r="T89" s="235"/>
    </row>
    <row r="90" spans="20:20" x14ac:dyDescent="0.35">
      <c r="T90" s="235"/>
    </row>
    <row r="91" spans="20:20" x14ac:dyDescent="0.35">
      <c r="T91" s="235"/>
    </row>
    <row r="92" spans="20:20" x14ac:dyDescent="0.35">
      <c r="T92" s="235"/>
    </row>
    <row r="93" spans="20:20" x14ac:dyDescent="0.35">
      <c r="T93" s="235"/>
    </row>
    <row r="94" spans="20:20" x14ac:dyDescent="0.35">
      <c r="T94" s="235"/>
    </row>
    <row r="95" spans="20:20" x14ac:dyDescent="0.35">
      <c r="T95" s="235"/>
    </row>
    <row r="96" spans="20:20" x14ac:dyDescent="0.35">
      <c r="T96" s="235"/>
    </row>
    <row r="97" spans="20:20" x14ac:dyDescent="0.35">
      <c r="T97" s="235"/>
    </row>
    <row r="98" spans="20:20" x14ac:dyDescent="0.35">
      <c r="T98" s="235"/>
    </row>
    <row r="99" spans="20:20" x14ac:dyDescent="0.35">
      <c r="T99" s="235"/>
    </row>
    <row r="100" spans="20:20" x14ac:dyDescent="0.35">
      <c r="T100" s="235"/>
    </row>
    <row r="101" spans="20:20" x14ac:dyDescent="0.35">
      <c r="T101" s="235"/>
    </row>
    <row r="102" spans="20:20" x14ac:dyDescent="0.35">
      <c r="T102" s="235"/>
    </row>
    <row r="103" spans="20:20" x14ac:dyDescent="0.35">
      <c r="T103" s="235"/>
    </row>
    <row r="104" spans="20:20" x14ac:dyDescent="0.35">
      <c r="T104" s="235"/>
    </row>
    <row r="105" spans="20:20" x14ac:dyDescent="0.35">
      <c r="T105" s="235"/>
    </row>
    <row r="106" spans="20:20" x14ac:dyDescent="0.35">
      <c r="T106" s="235"/>
    </row>
    <row r="107" spans="20:20" x14ac:dyDescent="0.35">
      <c r="T107" s="235"/>
    </row>
    <row r="108" spans="20:20" x14ac:dyDescent="0.35">
      <c r="T108" s="235"/>
    </row>
    <row r="109" spans="20:20" x14ac:dyDescent="0.35">
      <c r="T109" s="235"/>
    </row>
    <row r="110" spans="20:20" x14ac:dyDescent="0.35">
      <c r="T110" s="235"/>
    </row>
    <row r="111" spans="20:20" x14ac:dyDescent="0.35">
      <c r="T111" s="235"/>
    </row>
    <row r="112" spans="20:20" x14ac:dyDescent="0.35">
      <c r="T112" s="235"/>
    </row>
    <row r="113" spans="20:20" x14ac:dyDescent="0.35">
      <c r="T113" s="235"/>
    </row>
    <row r="114" spans="20:20" x14ac:dyDescent="0.35">
      <c r="T114" s="235"/>
    </row>
    <row r="115" spans="20:20" x14ac:dyDescent="0.35">
      <c r="T115" s="235"/>
    </row>
    <row r="116" spans="20:20" x14ac:dyDescent="0.35">
      <c r="T116" s="235"/>
    </row>
    <row r="117" spans="20:20" x14ac:dyDescent="0.35">
      <c r="T117" s="235"/>
    </row>
    <row r="118" spans="20:20" x14ac:dyDescent="0.35">
      <c r="T118" s="235"/>
    </row>
    <row r="119" spans="20:20" x14ac:dyDescent="0.35">
      <c r="T119" s="235"/>
    </row>
    <row r="120" spans="20:20" x14ac:dyDescent="0.35">
      <c r="T120" s="235"/>
    </row>
    <row r="121" spans="20:20" x14ac:dyDescent="0.35">
      <c r="T121" s="235"/>
    </row>
    <row r="122" spans="20:20" x14ac:dyDescent="0.35">
      <c r="T122" s="235"/>
    </row>
    <row r="123" spans="20:20" x14ac:dyDescent="0.35">
      <c r="T123" s="235"/>
    </row>
    <row r="124" spans="20:20" x14ac:dyDescent="0.35">
      <c r="T124" s="235"/>
    </row>
    <row r="125" spans="20:20" x14ac:dyDescent="0.35">
      <c r="T125" s="235"/>
    </row>
    <row r="126" spans="20:20" x14ac:dyDescent="0.35">
      <c r="T126" s="235"/>
    </row>
    <row r="127" spans="20:20" x14ac:dyDescent="0.35">
      <c r="T127" s="235"/>
    </row>
    <row r="128" spans="20:20" x14ac:dyDescent="0.35">
      <c r="T128" s="235"/>
    </row>
    <row r="129" spans="20:20" x14ac:dyDescent="0.35">
      <c r="T129" s="235"/>
    </row>
    <row r="130" spans="20:20" x14ac:dyDescent="0.35">
      <c r="T130" s="235"/>
    </row>
    <row r="131" spans="20:20" x14ac:dyDescent="0.35">
      <c r="T131" s="235"/>
    </row>
    <row r="132" spans="20:20" x14ac:dyDescent="0.35">
      <c r="T132" s="235"/>
    </row>
    <row r="133" spans="20:20" x14ac:dyDescent="0.35">
      <c r="T133" s="235"/>
    </row>
    <row r="134" spans="20:20" x14ac:dyDescent="0.35">
      <c r="T134" s="235"/>
    </row>
    <row r="135" spans="20:20" x14ac:dyDescent="0.35">
      <c r="T135" s="235"/>
    </row>
    <row r="136" spans="20:20" x14ac:dyDescent="0.35">
      <c r="T136" s="235"/>
    </row>
    <row r="137" spans="20:20" x14ac:dyDescent="0.35">
      <c r="T137" s="235"/>
    </row>
    <row r="138" spans="20:20" x14ac:dyDescent="0.35">
      <c r="T138" s="235"/>
    </row>
    <row r="139" spans="20:20" x14ac:dyDescent="0.35">
      <c r="T139" s="235"/>
    </row>
    <row r="140" spans="20:20" x14ac:dyDescent="0.35">
      <c r="T140" s="235"/>
    </row>
    <row r="141" spans="20:20" x14ac:dyDescent="0.35">
      <c r="T141" s="235"/>
    </row>
    <row r="142" spans="20:20" x14ac:dyDescent="0.35">
      <c r="T142" s="235"/>
    </row>
    <row r="143" spans="20:20" x14ac:dyDescent="0.35">
      <c r="T143" s="235"/>
    </row>
    <row r="144" spans="20:20" x14ac:dyDescent="0.35">
      <c r="T144" s="235"/>
    </row>
    <row r="145" spans="20:20" x14ac:dyDescent="0.35">
      <c r="T145" s="235"/>
    </row>
    <row r="146" spans="20:20" x14ac:dyDescent="0.35">
      <c r="T146" s="235"/>
    </row>
    <row r="147" spans="20:20" x14ac:dyDescent="0.35">
      <c r="T147" s="235"/>
    </row>
    <row r="148" spans="20:20" x14ac:dyDescent="0.35">
      <c r="T148" s="235"/>
    </row>
    <row r="149" spans="20:20" x14ac:dyDescent="0.35">
      <c r="T149" s="235"/>
    </row>
    <row r="150" spans="20:20" x14ac:dyDescent="0.35">
      <c r="T150" s="235"/>
    </row>
    <row r="151" spans="20:20" x14ac:dyDescent="0.35">
      <c r="T151" s="235"/>
    </row>
    <row r="152" spans="20:20" x14ac:dyDescent="0.35">
      <c r="T152" s="235"/>
    </row>
    <row r="153" spans="20:20" x14ac:dyDescent="0.35">
      <c r="T153" s="235"/>
    </row>
    <row r="154" spans="20:20" x14ac:dyDescent="0.35">
      <c r="T154" s="235"/>
    </row>
    <row r="155" spans="20:20" x14ac:dyDescent="0.35">
      <c r="T155" s="235"/>
    </row>
    <row r="156" spans="20:20" x14ac:dyDescent="0.35">
      <c r="T156" s="235"/>
    </row>
    <row r="157" spans="20:20" x14ac:dyDescent="0.35">
      <c r="T157" s="235"/>
    </row>
    <row r="158" spans="20:20" x14ac:dyDescent="0.35">
      <c r="T158" s="235"/>
    </row>
    <row r="159" spans="20:20" x14ac:dyDescent="0.35">
      <c r="T159" s="235"/>
    </row>
    <row r="160" spans="20:20" x14ac:dyDescent="0.35">
      <c r="T160" s="235"/>
    </row>
    <row r="161" spans="20:20" x14ac:dyDescent="0.35">
      <c r="T161" s="235"/>
    </row>
    <row r="162" spans="20:20" x14ac:dyDescent="0.35">
      <c r="T162" s="235"/>
    </row>
    <row r="163" spans="20:20" x14ac:dyDescent="0.35">
      <c r="T163" s="235"/>
    </row>
    <row r="164" spans="20:20" x14ac:dyDescent="0.35">
      <c r="T164" s="235"/>
    </row>
    <row r="165" spans="20:20" x14ac:dyDescent="0.35">
      <c r="T165" s="235"/>
    </row>
    <row r="166" spans="20:20" x14ac:dyDescent="0.35">
      <c r="T166" s="235"/>
    </row>
    <row r="167" spans="20:20" x14ac:dyDescent="0.35">
      <c r="T167" s="235"/>
    </row>
    <row r="168" spans="20:20" x14ac:dyDescent="0.35">
      <c r="T168" s="235"/>
    </row>
    <row r="169" spans="20:20" x14ac:dyDescent="0.35">
      <c r="T169" s="235"/>
    </row>
    <row r="170" spans="20:20" x14ac:dyDescent="0.35">
      <c r="T170" s="235"/>
    </row>
    <row r="171" spans="20:20" x14ac:dyDescent="0.35">
      <c r="T171" s="235"/>
    </row>
    <row r="172" spans="20:20" x14ac:dyDescent="0.35">
      <c r="T172" s="235"/>
    </row>
    <row r="173" spans="20:20" x14ac:dyDescent="0.35">
      <c r="T173" s="235"/>
    </row>
    <row r="174" spans="20:20" x14ac:dyDescent="0.35">
      <c r="T174" s="235"/>
    </row>
    <row r="175" spans="20:20" x14ac:dyDescent="0.35">
      <c r="T175" s="235"/>
    </row>
    <row r="176" spans="20:20" x14ac:dyDescent="0.35">
      <c r="T176" s="235"/>
    </row>
    <row r="177" spans="20:20" x14ac:dyDescent="0.35">
      <c r="T177" s="235"/>
    </row>
    <row r="178" spans="20:20" x14ac:dyDescent="0.35">
      <c r="T178" s="235"/>
    </row>
    <row r="179" spans="20:20" x14ac:dyDescent="0.35">
      <c r="T179" s="235"/>
    </row>
    <row r="180" spans="20:20" x14ac:dyDescent="0.35">
      <c r="T180" s="235"/>
    </row>
    <row r="181" spans="20:20" x14ac:dyDescent="0.35">
      <c r="T181" s="235"/>
    </row>
    <row r="182" spans="20:20" x14ac:dyDescent="0.35">
      <c r="T182" s="235"/>
    </row>
    <row r="183" spans="20:20" x14ac:dyDescent="0.35">
      <c r="T183" s="235"/>
    </row>
    <row r="184" spans="20:20" x14ac:dyDescent="0.35">
      <c r="T184" s="235"/>
    </row>
    <row r="185" spans="20:20" x14ac:dyDescent="0.35">
      <c r="T185" s="235"/>
    </row>
    <row r="186" spans="20:20" x14ac:dyDescent="0.35">
      <c r="T186" s="235"/>
    </row>
    <row r="187" spans="20:20" x14ac:dyDescent="0.35">
      <c r="T187" s="235"/>
    </row>
    <row r="188" spans="20:20" x14ac:dyDescent="0.35">
      <c r="T188" s="235"/>
    </row>
    <row r="189" spans="20:20" x14ac:dyDescent="0.35">
      <c r="T189" s="235"/>
    </row>
    <row r="190" spans="20:20" x14ac:dyDescent="0.35">
      <c r="T190" s="235"/>
    </row>
    <row r="191" spans="20:20" x14ac:dyDescent="0.35">
      <c r="T191" s="235"/>
    </row>
    <row r="192" spans="20:20" x14ac:dyDescent="0.35">
      <c r="T192" s="235"/>
    </row>
    <row r="193" spans="20:20" x14ac:dyDescent="0.35">
      <c r="T193" s="235"/>
    </row>
    <row r="194" spans="20:20" x14ac:dyDescent="0.35">
      <c r="T194" s="235"/>
    </row>
    <row r="195" spans="20:20" x14ac:dyDescent="0.35">
      <c r="T195" s="235"/>
    </row>
    <row r="196" spans="20:20" x14ac:dyDescent="0.35">
      <c r="T196" s="235"/>
    </row>
    <row r="197" spans="20:20" x14ac:dyDescent="0.35">
      <c r="T197" s="235"/>
    </row>
    <row r="198" spans="20:20" x14ac:dyDescent="0.35">
      <c r="T198" s="235"/>
    </row>
    <row r="199" spans="20:20" x14ac:dyDescent="0.35">
      <c r="T199" s="235"/>
    </row>
    <row r="200" spans="20:20" x14ac:dyDescent="0.35">
      <c r="T200" s="235"/>
    </row>
    <row r="201" spans="20:20" x14ac:dyDescent="0.35">
      <c r="T201" s="235"/>
    </row>
    <row r="202" spans="20:20" x14ac:dyDescent="0.35">
      <c r="T202" s="235"/>
    </row>
    <row r="203" spans="20:20" x14ac:dyDescent="0.35">
      <c r="T203" s="235"/>
    </row>
    <row r="204" spans="20:20" x14ac:dyDescent="0.35">
      <c r="T204" s="235"/>
    </row>
    <row r="205" spans="20:20" x14ac:dyDescent="0.35">
      <c r="T205" s="235"/>
    </row>
    <row r="206" spans="20:20" x14ac:dyDescent="0.35">
      <c r="T206" s="235"/>
    </row>
    <row r="207" spans="20:20" x14ac:dyDescent="0.35">
      <c r="T207" s="235"/>
    </row>
    <row r="208" spans="20:20" x14ac:dyDescent="0.35">
      <c r="T208" s="235"/>
    </row>
    <row r="209" spans="20:20" x14ac:dyDescent="0.35">
      <c r="T209" s="235"/>
    </row>
    <row r="210" spans="20:20" x14ac:dyDescent="0.35">
      <c r="T210" s="235"/>
    </row>
    <row r="211" spans="20:20" x14ac:dyDescent="0.35">
      <c r="T211" s="235"/>
    </row>
    <row r="212" spans="20:20" x14ac:dyDescent="0.35">
      <c r="T212" s="235"/>
    </row>
    <row r="213" spans="20:20" x14ac:dyDescent="0.35">
      <c r="T213" s="235"/>
    </row>
    <row r="214" spans="20:20" x14ac:dyDescent="0.35">
      <c r="T214" s="235"/>
    </row>
    <row r="215" spans="20:20" x14ac:dyDescent="0.35">
      <c r="T215" s="235"/>
    </row>
    <row r="216" spans="20:20" x14ac:dyDescent="0.35">
      <c r="T216" s="235"/>
    </row>
    <row r="217" spans="20:20" x14ac:dyDescent="0.35">
      <c r="T217" s="235"/>
    </row>
    <row r="218" spans="20:20" x14ac:dyDescent="0.35">
      <c r="T218" s="235"/>
    </row>
    <row r="219" spans="20:20" x14ac:dyDescent="0.35">
      <c r="T219" s="235"/>
    </row>
    <row r="220" spans="20:20" x14ac:dyDescent="0.35">
      <c r="T220" s="235"/>
    </row>
    <row r="221" spans="20:20" x14ac:dyDescent="0.35">
      <c r="T221" s="235"/>
    </row>
    <row r="222" spans="20:20" x14ac:dyDescent="0.35">
      <c r="T222" s="235"/>
    </row>
    <row r="223" spans="20:20" x14ac:dyDescent="0.35">
      <c r="T223" s="235"/>
    </row>
    <row r="224" spans="20:20" x14ac:dyDescent="0.35">
      <c r="T224" s="235"/>
    </row>
    <row r="225" spans="20:20" x14ac:dyDescent="0.35">
      <c r="T225" s="235"/>
    </row>
    <row r="226" spans="20:20" x14ac:dyDescent="0.35">
      <c r="T226" s="235"/>
    </row>
    <row r="227" spans="20:20" x14ac:dyDescent="0.35">
      <c r="T227" s="235"/>
    </row>
    <row r="228" spans="20:20" x14ac:dyDescent="0.35">
      <c r="T228" s="235"/>
    </row>
    <row r="229" spans="20:20" x14ac:dyDescent="0.35">
      <c r="T229" s="235"/>
    </row>
    <row r="230" spans="20:20" x14ac:dyDescent="0.35">
      <c r="T230" s="235"/>
    </row>
    <row r="231" spans="20:20" x14ac:dyDescent="0.35">
      <c r="T231" s="235"/>
    </row>
    <row r="232" spans="20:20" x14ac:dyDescent="0.35">
      <c r="T232" s="235"/>
    </row>
    <row r="233" spans="20:20" x14ac:dyDescent="0.35">
      <c r="T233" s="235"/>
    </row>
    <row r="234" spans="20:20" x14ac:dyDescent="0.35">
      <c r="T234" s="235"/>
    </row>
    <row r="235" spans="20:20" x14ac:dyDescent="0.35">
      <c r="T235" s="235"/>
    </row>
    <row r="236" spans="20:20" x14ac:dyDescent="0.35">
      <c r="T236" s="235"/>
    </row>
    <row r="237" spans="20:20" x14ac:dyDescent="0.35">
      <c r="T237" s="235"/>
    </row>
    <row r="238" spans="20:20" x14ac:dyDescent="0.35">
      <c r="T238" s="235"/>
    </row>
    <row r="239" spans="20:20" x14ac:dyDescent="0.35">
      <c r="T239" s="235"/>
    </row>
    <row r="240" spans="20:20" x14ac:dyDescent="0.35">
      <c r="T240" s="235"/>
    </row>
    <row r="241" spans="20:20" x14ac:dyDescent="0.35">
      <c r="T241" s="235"/>
    </row>
    <row r="242" spans="20:20" x14ac:dyDescent="0.35">
      <c r="T242" s="235"/>
    </row>
    <row r="243" spans="20:20" x14ac:dyDescent="0.35">
      <c r="T243" s="235"/>
    </row>
    <row r="244" spans="20:20" x14ac:dyDescent="0.35">
      <c r="T244" s="235"/>
    </row>
    <row r="245" spans="20:20" x14ac:dyDescent="0.35">
      <c r="T245" s="235"/>
    </row>
    <row r="246" spans="20:20" x14ac:dyDescent="0.35">
      <c r="T246" s="235"/>
    </row>
    <row r="247" spans="20:20" x14ac:dyDescent="0.35">
      <c r="T247" s="235"/>
    </row>
    <row r="248" spans="20:20" x14ac:dyDescent="0.35">
      <c r="T248" s="235"/>
    </row>
    <row r="249" spans="20:20" x14ac:dyDescent="0.35">
      <c r="T249" s="235"/>
    </row>
    <row r="250" spans="20:20" x14ac:dyDescent="0.35">
      <c r="T250" s="235"/>
    </row>
    <row r="251" spans="20:20" x14ac:dyDescent="0.35">
      <c r="T251" s="235"/>
    </row>
    <row r="252" spans="20:20" x14ac:dyDescent="0.35">
      <c r="T252" s="235"/>
    </row>
    <row r="253" spans="20:20" x14ac:dyDescent="0.35">
      <c r="T253" s="235"/>
    </row>
    <row r="254" spans="20:20" x14ac:dyDescent="0.35">
      <c r="T254" s="235"/>
    </row>
    <row r="255" spans="20:20" x14ac:dyDescent="0.35">
      <c r="T255" s="235"/>
    </row>
    <row r="256" spans="20:20" x14ac:dyDescent="0.35">
      <c r="T256" s="235"/>
    </row>
    <row r="257" spans="20:20" x14ac:dyDescent="0.35">
      <c r="T257" s="235"/>
    </row>
    <row r="258" spans="20:20" x14ac:dyDescent="0.35">
      <c r="T258" s="235"/>
    </row>
    <row r="259" spans="20:20" x14ac:dyDescent="0.35">
      <c r="T259" s="235"/>
    </row>
    <row r="260" spans="20:20" x14ac:dyDescent="0.35">
      <c r="T260" s="235"/>
    </row>
    <row r="261" spans="20:20" x14ac:dyDescent="0.35">
      <c r="T261" s="235"/>
    </row>
    <row r="262" spans="20:20" x14ac:dyDescent="0.35">
      <c r="T262" s="235"/>
    </row>
    <row r="263" spans="20:20" x14ac:dyDescent="0.35">
      <c r="T263" s="235"/>
    </row>
    <row r="264" spans="20:20" x14ac:dyDescent="0.35">
      <c r="T264" s="235"/>
    </row>
    <row r="265" spans="20:20" x14ac:dyDescent="0.35">
      <c r="T265" s="235"/>
    </row>
    <row r="266" spans="20:20" x14ac:dyDescent="0.35">
      <c r="T266" s="235"/>
    </row>
    <row r="267" spans="20:20" x14ac:dyDescent="0.35">
      <c r="T267" s="235"/>
    </row>
    <row r="268" spans="20:20" x14ac:dyDescent="0.35">
      <c r="T268" s="235"/>
    </row>
    <row r="269" spans="20:20" x14ac:dyDescent="0.35">
      <c r="T269" s="235"/>
    </row>
    <row r="270" spans="20:20" x14ac:dyDescent="0.35">
      <c r="T270" s="235"/>
    </row>
    <row r="271" spans="20:20" x14ac:dyDescent="0.35">
      <c r="T271" s="235"/>
    </row>
    <row r="272" spans="20:20" x14ac:dyDescent="0.35">
      <c r="T272" s="235"/>
    </row>
    <row r="273" spans="20:20" x14ac:dyDescent="0.35">
      <c r="T273" s="235"/>
    </row>
    <row r="274" spans="20:20" x14ac:dyDescent="0.35">
      <c r="T274" s="235"/>
    </row>
    <row r="275" spans="20:20" x14ac:dyDescent="0.35">
      <c r="T275" s="235"/>
    </row>
    <row r="276" spans="20:20" x14ac:dyDescent="0.35">
      <c r="T276" s="235"/>
    </row>
    <row r="277" spans="20:20" x14ac:dyDescent="0.35">
      <c r="T277" s="235"/>
    </row>
    <row r="278" spans="20:20" x14ac:dyDescent="0.35">
      <c r="T278" s="235"/>
    </row>
    <row r="279" spans="20:20" x14ac:dyDescent="0.35">
      <c r="T279" s="235"/>
    </row>
    <row r="280" spans="20:20" x14ac:dyDescent="0.35">
      <c r="T280" s="235"/>
    </row>
    <row r="281" spans="20:20" x14ac:dyDescent="0.35">
      <c r="T281" s="235"/>
    </row>
    <row r="282" spans="20:20" x14ac:dyDescent="0.35">
      <c r="T282" s="235"/>
    </row>
    <row r="283" spans="20:20" x14ac:dyDescent="0.35">
      <c r="T283" s="235"/>
    </row>
    <row r="284" spans="20:20" x14ac:dyDescent="0.35">
      <c r="T284" s="235"/>
    </row>
    <row r="285" spans="20:20" x14ac:dyDescent="0.35">
      <c r="T285" s="235"/>
    </row>
    <row r="286" spans="20:20" x14ac:dyDescent="0.35">
      <c r="T286" s="235"/>
    </row>
    <row r="287" spans="20:20" x14ac:dyDescent="0.35">
      <c r="T287" s="235"/>
    </row>
    <row r="288" spans="20:20" x14ac:dyDescent="0.35">
      <c r="T288" s="235"/>
    </row>
    <row r="289" spans="20:20" x14ac:dyDescent="0.35">
      <c r="T289" s="235"/>
    </row>
    <row r="290" spans="20:20" x14ac:dyDescent="0.35">
      <c r="T290" s="235"/>
    </row>
    <row r="291" spans="20:20" x14ac:dyDescent="0.35">
      <c r="T291" s="235"/>
    </row>
    <row r="292" spans="20:20" x14ac:dyDescent="0.35">
      <c r="T292" s="235"/>
    </row>
    <row r="293" spans="20:20" x14ac:dyDescent="0.35">
      <c r="T293" s="235"/>
    </row>
    <row r="294" spans="20:20" x14ac:dyDescent="0.35">
      <c r="T294" s="235"/>
    </row>
    <row r="295" spans="20:20" x14ac:dyDescent="0.35">
      <c r="T295" s="235"/>
    </row>
    <row r="296" spans="20:20" x14ac:dyDescent="0.35">
      <c r="T296" s="235"/>
    </row>
    <row r="297" spans="20:20" x14ac:dyDescent="0.35">
      <c r="T297" s="235"/>
    </row>
    <row r="298" spans="20:20" x14ac:dyDescent="0.35">
      <c r="T298" s="235"/>
    </row>
    <row r="299" spans="20:20" x14ac:dyDescent="0.35">
      <c r="T299" s="235"/>
    </row>
    <row r="300" spans="20:20" x14ac:dyDescent="0.35">
      <c r="T300" s="235"/>
    </row>
    <row r="301" spans="20:20" x14ac:dyDescent="0.35">
      <c r="T301" s="235"/>
    </row>
    <row r="302" spans="20:20" x14ac:dyDescent="0.35">
      <c r="T302" s="235"/>
    </row>
    <row r="303" spans="20:20" x14ac:dyDescent="0.35">
      <c r="T303" s="235"/>
    </row>
    <row r="304" spans="20:20" x14ac:dyDescent="0.35">
      <c r="T304" s="235"/>
    </row>
    <row r="305" spans="20:20" x14ac:dyDescent="0.35">
      <c r="T305" s="235"/>
    </row>
    <row r="306" spans="20:20" x14ac:dyDescent="0.35">
      <c r="T306" s="235"/>
    </row>
    <row r="307" spans="20:20" x14ac:dyDescent="0.35">
      <c r="T307" s="235"/>
    </row>
    <row r="308" spans="20:20" x14ac:dyDescent="0.35">
      <c r="T308" s="235"/>
    </row>
    <row r="309" spans="20:20" x14ac:dyDescent="0.35">
      <c r="T309" s="243"/>
    </row>
    <row r="310" spans="20:20" x14ac:dyDescent="0.35">
      <c r="T310" s="243"/>
    </row>
    <row r="311" spans="20:20" x14ac:dyDescent="0.35">
      <c r="T311" s="243"/>
    </row>
    <row r="312" spans="20:20" x14ac:dyDescent="0.35">
      <c r="T312" s="243"/>
    </row>
    <row r="313" spans="20:20" x14ac:dyDescent="0.35">
      <c r="T313" s="243"/>
    </row>
    <row r="314" spans="20:20" x14ac:dyDescent="0.35">
      <c r="T314" s="243"/>
    </row>
    <row r="315" spans="20:20" x14ac:dyDescent="0.35">
      <c r="T315" s="243"/>
    </row>
    <row r="316" spans="20:20" x14ac:dyDescent="0.35">
      <c r="T316" s="243"/>
    </row>
    <row r="317" spans="20:20" x14ac:dyDescent="0.35">
      <c r="T317" s="243"/>
    </row>
    <row r="318" spans="20:20" x14ac:dyDescent="0.35">
      <c r="T318" s="243"/>
    </row>
    <row r="319" spans="20:20" x14ac:dyDescent="0.35">
      <c r="T319" s="243"/>
    </row>
    <row r="320" spans="20:20" x14ac:dyDescent="0.35">
      <c r="T320" s="243"/>
    </row>
    <row r="321" spans="20:20" x14ac:dyDescent="0.35">
      <c r="T321" s="243"/>
    </row>
    <row r="322" spans="20:20" x14ac:dyDescent="0.35">
      <c r="T322" s="243"/>
    </row>
    <row r="323" spans="20:20" x14ac:dyDescent="0.35">
      <c r="T323" s="243"/>
    </row>
    <row r="324" spans="20:20" x14ac:dyDescent="0.35">
      <c r="T324" s="243"/>
    </row>
    <row r="325" spans="20:20" x14ac:dyDescent="0.35">
      <c r="T325" s="243"/>
    </row>
    <row r="326" spans="20:20" x14ac:dyDescent="0.35">
      <c r="T326" s="243"/>
    </row>
    <row r="327" spans="20:20" x14ac:dyDescent="0.35">
      <c r="T327" s="243"/>
    </row>
    <row r="328" spans="20:20" x14ac:dyDescent="0.35">
      <c r="T328" s="243"/>
    </row>
    <row r="329" spans="20:20" x14ac:dyDescent="0.35">
      <c r="T329" s="243"/>
    </row>
    <row r="330" spans="20:20" x14ac:dyDescent="0.35">
      <c r="T330" s="243"/>
    </row>
    <row r="331" spans="20:20" x14ac:dyDescent="0.35">
      <c r="T331" s="243"/>
    </row>
    <row r="332" spans="20:20" x14ac:dyDescent="0.35">
      <c r="T332" s="243"/>
    </row>
    <row r="333" spans="20:20" x14ac:dyDescent="0.35">
      <c r="T333" s="243"/>
    </row>
    <row r="334" spans="20:20" x14ac:dyDescent="0.35">
      <c r="T334" s="243"/>
    </row>
    <row r="335" spans="20:20" x14ac:dyDescent="0.35">
      <c r="T335" s="243"/>
    </row>
    <row r="336" spans="20:20" x14ac:dyDescent="0.35">
      <c r="T336" s="243"/>
    </row>
    <row r="337" spans="20:20" x14ac:dyDescent="0.35">
      <c r="T337" s="243"/>
    </row>
    <row r="338" spans="20:20" x14ac:dyDescent="0.35">
      <c r="T338" s="243"/>
    </row>
    <row r="339" spans="20:20" x14ac:dyDescent="0.35">
      <c r="T339" s="243"/>
    </row>
    <row r="340" spans="20:20" x14ac:dyDescent="0.35">
      <c r="T340" s="243"/>
    </row>
    <row r="341" spans="20:20" x14ac:dyDescent="0.35">
      <c r="T341" s="243"/>
    </row>
    <row r="342" spans="20:20" x14ac:dyDescent="0.35">
      <c r="T342" s="243"/>
    </row>
    <row r="343" spans="20:20" x14ac:dyDescent="0.35">
      <c r="T343" s="243"/>
    </row>
    <row r="344" spans="20:20" x14ac:dyDescent="0.35">
      <c r="T344" s="243"/>
    </row>
    <row r="345" spans="20:20" x14ac:dyDescent="0.35">
      <c r="T345" s="243"/>
    </row>
    <row r="346" spans="20:20" x14ac:dyDescent="0.35">
      <c r="T346" s="243"/>
    </row>
    <row r="347" spans="20:20" x14ac:dyDescent="0.35">
      <c r="T347" s="243"/>
    </row>
    <row r="348" spans="20:20" x14ac:dyDescent="0.35">
      <c r="T348" s="243"/>
    </row>
    <row r="349" spans="20:20" x14ac:dyDescent="0.35">
      <c r="T349" s="243"/>
    </row>
    <row r="350" spans="20:20" x14ac:dyDescent="0.35">
      <c r="T350" s="243"/>
    </row>
    <row r="351" spans="20:20" x14ac:dyDescent="0.35">
      <c r="T351" s="243"/>
    </row>
    <row r="352" spans="20:20" x14ac:dyDescent="0.35">
      <c r="T352" s="243"/>
    </row>
    <row r="353" spans="20:20" x14ac:dyDescent="0.35">
      <c r="T353" s="243"/>
    </row>
    <row r="354" spans="20:20" x14ac:dyDescent="0.35">
      <c r="T354" s="243"/>
    </row>
    <row r="355" spans="20:20" x14ac:dyDescent="0.35">
      <c r="T355" s="243"/>
    </row>
    <row r="356" spans="20:20" x14ac:dyDescent="0.35">
      <c r="T356" s="243"/>
    </row>
    <row r="357" spans="20:20" x14ac:dyDescent="0.35">
      <c r="T357" s="243"/>
    </row>
    <row r="358" spans="20:20" x14ac:dyDescent="0.35">
      <c r="T358" s="243"/>
    </row>
    <row r="359" spans="20:20" x14ac:dyDescent="0.35">
      <c r="T359" s="243"/>
    </row>
  </sheetData>
  <autoFilter ref="A1:S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12">
    <mergeCell ref="Q10:Q13"/>
    <mergeCell ref="Q14:Q15"/>
    <mergeCell ref="Q6:Q9"/>
    <mergeCell ref="A1:V1"/>
    <mergeCell ref="A2:V2"/>
    <mergeCell ref="A3:V3"/>
    <mergeCell ref="A4:E4"/>
    <mergeCell ref="F4:K4"/>
    <mergeCell ref="L4:M4"/>
    <mergeCell ref="N4:Q4"/>
    <mergeCell ref="R4:T4"/>
    <mergeCell ref="U4:V4"/>
  </mergeCells>
  <conditionalFormatting sqref="N6:Q6 N7:P19 N20:Q1048576">
    <cfRule type="containsText" dxfId="107" priority="1" operator="containsText" text="No">
      <formula>NOT(ISERROR(SEARCH("No",N6)))</formula>
    </cfRule>
    <cfRule type="containsText" dxfId="106" priority="2" operator="containsText" text="Yes">
      <formula>NOT(ISERROR(SEARCH("Yes",N6)))</formula>
    </cfRule>
  </conditionalFormatting>
  <conditionalFormatting sqref="R6:R1048576">
    <cfRule type="containsText" dxfId="105" priority="3" operator="containsText" text="Rejected">
      <formula>NOT(ISERROR(SEARCH("Rejected",R6)))</formula>
    </cfRule>
    <cfRule type="containsText" dxfId="104" priority="4" operator="containsText" text="Revisions Needed">
      <formula>NOT(ISERROR(SEARCH("Revisions Needed",R6)))</formula>
    </cfRule>
    <cfRule type="containsText" dxfId="103" priority="5" operator="containsText" text="Approved">
      <formula>NOT(ISERROR(SEARCH("Approved",R6)))</formula>
    </cfRule>
  </conditionalFormatting>
  <dataValidations count="3">
    <dataValidation type="list" allowBlank="1" sqref="R6:R1048576" xr:uid="{A693A9F1-844B-4BEF-A784-49CA1073D11B}">
      <formula1>"Approved,Revisions Needed, Rejected"</formula1>
    </dataValidation>
    <dataValidation type="list" allowBlank="1" showInputMessage="1" showErrorMessage="1" sqref="N20:N1048576 N6:N15 O6:P1048576" xr:uid="{2957B7C4-25FA-4384-B870-887FCCE054B7}">
      <formula1>"No, Yes"</formula1>
    </dataValidation>
    <dataValidation type="list" allowBlank="1" showInputMessage="1" showErrorMessage="1" sqref="C6:C1048576" xr:uid="{FA8C8FF6-CB27-41D1-A36B-1082198A2634}">
      <formula1>"Monthly, Yearly"</formula1>
    </dataValidation>
  </dataValidations>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D936-4D91-42F9-99CE-2A7711792F83}">
  <sheetPr>
    <tabColor theme="6"/>
  </sheetPr>
  <dimension ref="A1:W359"/>
  <sheetViews>
    <sheetView showGridLines="0" topLeftCell="A19" zoomScale="70" zoomScaleNormal="70" workbookViewId="0">
      <selection activeCell="S10" sqref="S10"/>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3.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0.81640625" style="2" hidden="1" customWidth="1"/>
    <col min="13" max="13" width="36" style="1" customWidth="1"/>
    <col min="14" max="14" width="46.1796875" style="440" customWidth="1"/>
    <col min="15" max="15" width="12.81640625" style="76" customWidth="1"/>
    <col min="16" max="16" width="10.81640625" style="76" customWidth="1"/>
    <col min="17" max="17" width="13.1796875" style="76" customWidth="1"/>
    <col min="18" max="18" width="47.54296875" style="76" customWidth="1"/>
    <col min="19" max="19" width="20.54296875" style="2" customWidth="1"/>
    <col min="20" max="20" width="54.81640625" style="17" customWidth="1"/>
    <col min="21" max="21" width="43.726562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227</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c r="W3" s="512"/>
    </row>
    <row r="4" spans="1:23" s="4" customFormat="1" ht="27.75" customHeight="1" thickTop="1" thickBot="1" x14ac:dyDescent="0.45">
      <c r="A4" s="513" t="s">
        <v>3</v>
      </c>
      <c r="B4" s="514"/>
      <c r="C4" s="514"/>
      <c r="D4" s="514"/>
      <c r="E4" s="514"/>
      <c r="F4" s="513" t="s">
        <v>4</v>
      </c>
      <c r="G4" s="514"/>
      <c r="H4" s="514"/>
      <c r="I4" s="514"/>
      <c r="J4" s="514"/>
      <c r="K4" s="514"/>
      <c r="L4" s="515"/>
      <c r="M4" s="516" t="s">
        <v>5</v>
      </c>
      <c r="N4" s="516"/>
      <c r="O4" s="513" t="s">
        <v>6</v>
      </c>
      <c r="P4" s="514"/>
      <c r="Q4" s="514"/>
      <c r="R4" s="515"/>
      <c r="S4" s="513" t="s">
        <v>7</v>
      </c>
      <c r="T4" s="514"/>
      <c r="U4" s="515"/>
      <c r="V4" s="513" t="s">
        <v>8</v>
      </c>
      <c r="W4" s="515"/>
    </row>
    <row r="5" spans="1:23" ht="71.5" customHeight="1" thickTop="1" thickBot="1" x14ac:dyDescent="0.4">
      <c r="A5" s="10" t="s">
        <v>9</v>
      </c>
      <c r="B5" s="10" t="s">
        <v>10</v>
      </c>
      <c r="C5" s="10" t="s">
        <v>11</v>
      </c>
      <c r="D5" s="10" t="s">
        <v>12</v>
      </c>
      <c r="E5" s="10" t="s">
        <v>13</v>
      </c>
      <c r="F5" s="10" t="s">
        <v>14</v>
      </c>
      <c r="G5" s="10" t="s">
        <v>228</v>
      </c>
      <c r="H5" s="10" t="s">
        <v>15</v>
      </c>
      <c r="I5" s="10" t="s">
        <v>16</v>
      </c>
      <c r="J5" s="10" t="s">
        <v>17</v>
      </c>
      <c r="K5" s="10" t="s">
        <v>18</v>
      </c>
      <c r="L5" s="10" t="s">
        <v>19</v>
      </c>
      <c r="M5" s="10" t="s">
        <v>20</v>
      </c>
      <c r="N5" s="10" t="s">
        <v>21</v>
      </c>
      <c r="O5" s="10" t="s">
        <v>22</v>
      </c>
      <c r="P5" s="10" t="s">
        <v>23</v>
      </c>
      <c r="Q5" s="10" t="s">
        <v>24</v>
      </c>
      <c r="R5" s="10" t="s">
        <v>25</v>
      </c>
      <c r="S5" s="23" t="s">
        <v>26</v>
      </c>
      <c r="T5" s="18" t="s">
        <v>27</v>
      </c>
      <c r="U5" s="18" t="s">
        <v>28</v>
      </c>
      <c r="V5" s="18" t="s">
        <v>29</v>
      </c>
      <c r="W5" s="433" t="s">
        <v>30</v>
      </c>
    </row>
    <row r="6" spans="1:23" s="5" customFormat="1" ht="308.5" hidden="1" customHeight="1" x14ac:dyDescent="0.35">
      <c r="A6" s="117">
        <v>1</v>
      </c>
      <c r="B6" s="244" t="s">
        <v>45</v>
      </c>
      <c r="C6" s="432" t="s">
        <v>67</v>
      </c>
      <c r="D6" s="117" t="s">
        <v>229</v>
      </c>
      <c r="E6" s="436" t="s">
        <v>230</v>
      </c>
      <c r="F6" s="117" t="s">
        <v>49</v>
      </c>
      <c r="G6" s="117"/>
      <c r="H6" s="117" t="s">
        <v>231</v>
      </c>
      <c r="I6" s="25" t="s">
        <v>232</v>
      </c>
      <c r="J6" s="25"/>
      <c r="K6" s="117" t="s">
        <v>74</v>
      </c>
      <c r="L6" s="426"/>
      <c r="M6" s="274" t="s">
        <v>233</v>
      </c>
      <c r="N6" s="437" t="s">
        <v>234</v>
      </c>
      <c r="O6" s="120" t="s">
        <v>150</v>
      </c>
      <c r="P6" s="120" t="s">
        <v>150</v>
      </c>
      <c r="Q6" s="162" t="s">
        <v>150</v>
      </c>
      <c r="R6" s="524" t="s">
        <v>235</v>
      </c>
      <c r="S6" s="130" t="s">
        <v>56</v>
      </c>
      <c r="T6" s="168"/>
      <c r="U6" s="179"/>
      <c r="V6" s="179" t="s">
        <v>76</v>
      </c>
      <c r="W6" s="176"/>
    </row>
    <row r="7" spans="1:23" s="5" customFormat="1" ht="263.14999999999998" hidden="1" customHeight="1" x14ac:dyDescent="0.35">
      <c r="A7" s="8">
        <v>2</v>
      </c>
      <c r="B7" s="244" t="s">
        <v>45</v>
      </c>
      <c r="C7" s="432" t="s">
        <v>67</v>
      </c>
      <c r="D7" s="117" t="s">
        <v>229</v>
      </c>
      <c r="E7" s="150" t="s">
        <v>236</v>
      </c>
      <c r="F7" s="117" t="s">
        <v>49</v>
      </c>
      <c r="G7" s="8"/>
      <c r="H7" s="117" t="s">
        <v>231</v>
      </c>
      <c r="I7" s="25" t="s">
        <v>232</v>
      </c>
      <c r="J7" s="25"/>
      <c r="K7" s="117" t="s">
        <v>74</v>
      </c>
      <c r="L7" s="426"/>
      <c r="M7" s="142" t="s">
        <v>233</v>
      </c>
      <c r="N7" s="437" t="s">
        <v>237</v>
      </c>
      <c r="O7" s="120" t="s">
        <v>150</v>
      </c>
      <c r="P7" s="120" t="s">
        <v>150</v>
      </c>
      <c r="Q7" s="162" t="s">
        <v>150</v>
      </c>
      <c r="R7" s="524"/>
      <c r="S7" s="102" t="s">
        <v>56</v>
      </c>
      <c r="T7" s="169"/>
      <c r="U7" s="174"/>
      <c r="V7" s="179" t="s">
        <v>76</v>
      </c>
      <c r="W7" s="126"/>
    </row>
    <row r="8" spans="1:23" s="5" customFormat="1" ht="276" hidden="1" customHeight="1" x14ac:dyDescent="0.35">
      <c r="A8" s="8">
        <v>3</v>
      </c>
      <c r="B8" s="244" t="s">
        <v>45</v>
      </c>
      <c r="C8" s="432" t="s">
        <v>67</v>
      </c>
      <c r="D8" s="117" t="s">
        <v>229</v>
      </c>
      <c r="E8" s="150" t="s">
        <v>238</v>
      </c>
      <c r="F8" s="117" t="s">
        <v>49</v>
      </c>
      <c r="G8" s="8"/>
      <c r="H8" s="117" t="s">
        <v>231</v>
      </c>
      <c r="I8" s="25" t="s">
        <v>232</v>
      </c>
      <c r="J8" s="25"/>
      <c r="K8" s="117" t="s">
        <v>74</v>
      </c>
      <c r="L8" s="426"/>
      <c r="M8" s="135" t="s">
        <v>239</v>
      </c>
      <c r="N8" s="437" t="s">
        <v>240</v>
      </c>
      <c r="O8" s="120" t="s">
        <v>150</v>
      </c>
      <c r="P8" s="120" t="s">
        <v>150</v>
      </c>
      <c r="Q8" s="162" t="s">
        <v>150</v>
      </c>
      <c r="R8" s="518"/>
      <c r="S8" s="102" t="s">
        <v>56</v>
      </c>
      <c r="T8" s="169"/>
      <c r="U8" s="174"/>
      <c r="V8" s="179" t="s">
        <v>76</v>
      </c>
      <c r="W8" s="171"/>
    </row>
    <row r="9" spans="1:23" s="5" customFormat="1" ht="327.64999999999998" hidden="1" customHeight="1" x14ac:dyDescent="0.35">
      <c r="A9" s="8">
        <v>4</v>
      </c>
      <c r="B9" s="244" t="s">
        <v>45</v>
      </c>
      <c r="C9" s="432" t="s">
        <v>67</v>
      </c>
      <c r="D9" s="8" t="s">
        <v>241</v>
      </c>
      <c r="E9" s="150" t="s">
        <v>242</v>
      </c>
      <c r="F9" s="117" t="s">
        <v>49</v>
      </c>
      <c r="G9" s="117"/>
      <c r="H9" s="117" t="s">
        <v>231</v>
      </c>
      <c r="I9" s="26" t="s">
        <v>243</v>
      </c>
      <c r="J9" s="25"/>
      <c r="K9" s="117" t="s">
        <v>74</v>
      </c>
      <c r="L9" s="426"/>
      <c r="M9" s="135" t="s">
        <v>233</v>
      </c>
      <c r="N9" s="437" t="s">
        <v>240</v>
      </c>
      <c r="O9" s="120" t="s">
        <v>150</v>
      </c>
      <c r="P9" s="120" t="s">
        <v>150</v>
      </c>
      <c r="Q9" s="162" t="s">
        <v>150</v>
      </c>
      <c r="R9" s="428" t="s">
        <v>244</v>
      </c>
      <c r="S9" s="102" t="s">
        <v>56</v>
      </c>
      <c r="T9" s="169"/>
      <c r="U9" s="174"/>
      <c r="V9" s="179" t="s">
        <v>76</v>
      </c>
      <c r="W9" s="171"/>
    </row>
    <row r="10" spans="1:23" s="5" customFormat="1" ht="302.14999999999998" customHeight="1" thickTop="1" x14ac:dyDescent="0.35">
      <c r="A10" s="8">
        <v>5</v>
      </c>
      <c r="B10" s="244" t="s">
        <v>45</v>
      </c>
      <c r="C10" s="432" t="s">
        <v>46</v>
      </c>
      <c r="D10" s="8" t="s">
        <v>245</v>
      </c>
      <c r="E10" s="150" t="s">
        <v>246</v>
      </c>
      <c r="F10" s="117" t="s">
        <v>49</v>
      </c>
      <c r="G10" s="8"/>
      <c r="H10" s="117" t="s">
        <v>71</v>
      </c>
      <c r="I10" s="26" t="s">
        <v>154</v>
      </c>
      <c r="J10" s="25"/>
      <c r="K10" s="117" t="s">
        <v>74</v>
      </c>
      <c r="L10" s="426"/>
      <c r="M10" s="135" t="s">
        <v>247</v>
      </c>
      <c r="N10" s="153" t="s">
        <v>248</v>
      </c>
      <c r="O10" s="120" t="s">
        <v>150</v>
      </c>
      <c r="P10" s="120" t="s">
        <v>150</v>
      </c>
      <c r="Q10" s="162" t="s">
        <v>150</v>
      </c>
      <c r="R10" s="517" t="s">
        <v>249</v>
      </c>
      <c r="S10" s="102" t="s">
        <v>56</v>
      </c>
      <c r="T10" s="169" t="s">
        <v>674</v>
      </c>
      <c r="U10" s="174"/>
      <c r="V10" s="179" t="s">
        <v>76</v>
      </c>
      <c r="W10" s="435" t="s">
        <v>250</v>
      </c>
    </row>
    <row r="11" spans="1:23" s="5" customFormat="1" ht="211" hidden="1" customHeight="1" x14ac:dyDescent="0.35">
      <c r="A11" s="8">
        <v>6</v>
      </c>
      <c r="B11" s="244" t="s">
        <v>45</v>
      </c>
      <c r="C11" s="432" t="s">
        <v>46</v>
      </c>
      <c r="D11" s="8" t="s">
        <v>245</v>
      </c>
      <c r="E11" s="150" t="s">
        <v>209</v>
      </c>
      <c r="F11" s="117" t="s">
        <v>49</v>
      </c>
      <c r="G11" s="8"/>
      <c r="H11" s="117" t="s">
        <v>231</v>
      </c>
      <c r="I11" s="26" t="s">
        <v>154</v>
      </c>
      <c r="J11" s="25"/>
      <c r="K11" s="117" t="s">
        <v>74</v>
      </c>
      <c r="L11" s="426"/>
      <c r="M11" s="135" t="s">
        <v>251</v>
      </c>
      <c r="N11" s="153" t="s">
        <v>252</v>
      </c>
      <c r="O11" s="120" t="s">
        <v>150</v>
      </c>
      <c r="P11" s="120" t="s">
        <v>150</v>
      </c>
      <c r="Q11" s="162" t="s">
        <v>150</v>
      </c>
      <c r="R11" s="518"/>
      <c r="S11" s="102" t="s">
        <v>56</v>
      </c>
      <c r="T11" s="169"/>
      <c r="U11" s="174"/>
      <c r="V11" s="179" t="s">
        <v>76</v>
      </c>
      <c r="W11" s="435"/>
    </row>
    <row r="12" spans="1:23" s="5" customFormat="1" ht="187" hidden="1" customHeight="1" x14ac:dyDescent="0.35">
      <c r="A12" s="8">
        <v>7</v>
      </c>
      <c r="B12" s="244" t="s">
        <v>45</v>
      </c>
      <c r="C12" s="432" t="s">
        <v>46</v>
      </c>
      <c r="D12" s="8" t="s">
        <v>253</v>
      </c>
      <c r="E12" s="8" t="s">
        <v>254</v>
      </c>
      <c r="F12" s="8" t="s">
        <v>255</v>
      </c>
      <c r="G12" s="8"/>
      <c r="H12" s="117" t="s">
        <v>231</v>
      </c>
      <c r="I12" s="26" t="s">
        <v>154</v>
      </c>
      <c r="J12" s="25"/>
      <c r="K12" s="117" t="s">
        <v>74</v>
      </c>
      <c r="L12" s="426"/>
      <c r="M12" s="135" t="s">
        <v>256</v>
      </c>
      <c r="N12" s="38" t="s">
        <v>52</v>
      </c>
      <c r="O12" s="120" t="s">
        <v>150</v>
      </c>
      <c r="P12" s="120" t="s">
        <v>150</v>
      </c>
      <c r="Q12" s="162" t="s">
        <v>150</v>
      </c>
      <c r="R12" s="517" t="s">
        <v>257</v>
      </c>
      <c r="S12" s="215" t="s">
        <v>56</v>
      </c>
      <c r="T12" s="169"/>
      <c r="U12" s="265"/>
      <c r="V12" s="179" t="s">
        <v>152</v>
      </c>
      <c r="W12" s="435"/>
    </row>
    <row r="13" spans="1:23" s="5" customFormat="1" ht="202.5" hidden="1" customHeight="1" x14ac:dyDescent="0.35">
      <c r="A13" s="8">
        <v>8</v>
      </c>
      <c r="B13" s="244" t="s">
        <v>45</v>
      </c>
      <c r="C13" s="432" t="s">
        <v>46</v>
      </c>
      <c r="D13" s="8" t="s">
        <v>253</v>
      </c>
      <c r="E13" s="99" t="s">
        <v>153</v>
      </c>
      <c r="F13" s="8" t="s">
        <v>255</v>
      </c>
      <c r="G13" s="8"/>
      <c r="H13" s="117" t="s">
        <v>231</v>
      </c>
      <c r="I13" s="26" t="s">
        <v>154</v>
      </c>
      <c r="J13" s="25"/>
      <c r="K13" s="117" t="s">
        <v>74</v>
      </c>
      <c r="L13" s="426"/>
      <c r="M13" s="135" t="s">
        <v>258</v>
      </c>
      <c r="N13" s="38" t="s">
        <v>52</v>
      </c>
      <c r="O13" s="120" t="s">
        <v>150</v>
      </c>
      <c r="P13" s="120" t="s">
        <v>150</v>
      </c>
      <c r="Q13" s="162" t="s">
        <v>150</v>
      </c>
      <c r="R13" s="524"/>
      <c r="S13" s="38" t="s">
        <v>56</v>
      </c>
      <c r="T13" s="434"/>
      <c r="U13" s="265"/>
      <c r="V13" s="179" t="s">
        <v>152</v>
      </c>
      <c r="W13" s="435"/>
    </row>
    <row r="14" spans="1:23" s="5" customFormat="1" ht="209.5" hidden="1" customHeight="1" x14ac:dyDescent="0.35">
      <c r="A14" s="8">
        <v>9</v>
      </c>
      <c r="B14" s="244" t="s">
        <v>45</v>
      </c>
      <c r="C14" s="432" t="s">
        <v>46</v>
      </c>
      <c r="D14" s="8" t="s">
        <v>253</v>
      </c>
      <c r="E14" s="99" t="s">
        <v>259</v>
      </c>
      <c r="F14" s="8" t="s">
        <v>255</v>
      </c>
      <c r="G14" s="8"/>
      <c r="H14" s="117" t="s">
        <v>231</v>
      </c>
      <c r="I14" s="26" t="s">
        <v>154</v>
      </c>
      <c r="J14" s="25"/>
      <c r="K14" s="117" t="s">
        <v>74</v>
      </c>
      <c r="L14" s="426"/>
      <c r="M14" s="135" t="s">
        <v>256</v>
      </c>
      <c r="N14" s="38" t="s">
        <v>52</v>
      </c>
      <c r="O14" s="120" t="s">
        <v>150</v>
      </c>
      <c r="P14" s="120" t="s">
        <v>150</v>
      </c>
      <c r="Q14" s="162" t="s">
        <v>150</v>
      </c>
      <c r="R14" s="518"/>
      <c r="S14" s="38" t="s">
        <v>56</v>
      </c>
      <c r="T14" s="434"/>
      <c r="U14" s="174"/>
      <c r="V14" s="179" t="s">
        <v>152</v>
      </c>
      <c r="W14" s="435"/>
    </row>
    <row r="15" spans="1:23" s="5" customFormat="1" ht="213" hidden="1" customHeight="1" x14ac:dyDescent="0.35">
      <c r="A15" s="8">
        <v>10</v>
      </c>
      <c r="B15" s="244" t="s">
        <v>260</v>
      </c>
      <c r="C15" s="432" t="s">
        <v>46</v>
      </c>
      <c r="D15" s="104" t="s">
        <v>261</v>
      </c>
      <c r="E15" s="104" t="s">
        <v>246</v>
      </c>
      <c r="F15" s="130" t="s">
        <v>262</v>
      </c>
      <c r="G15" s="8"/>
      <c r="H15" s="8" t="s">
        <v>71</v>
      </c>
      <c r="I15" s="26" t="s">
        <v>154</v>
      </c>
      <c r="J15" s="25"/>
      <c r="K15" s="117" t="s">
        <v>74</v>
      </c>
      <c r="L15" s="426"/>
      <c r="M15" s="135" t="s">
        <v>263</v>
      </c>
      <c r="N15" s="153" t="s">
        <v>264</v>
      </c>
      <c r="O15" s="38" t="s">
        <v>55</v>
      </c>
      <c r="P15" s="120" t="s">
        <v>55</v>
      </c>
      <c r="Q15" s="162" t="s">
        <v>55</v>
      </c>
      <c r="R15" s="38" t="s">
        <v>52</v>
      </c>
      <c r="S15" s="38" t="s">
        <v>56</v>
      </c>
      <c r="T15" s="434"/>
      <c r="U15" s="174"/>
      <c r="V15" s="179" t="s">
        <v>76</v>
      </c>
      <c r="W15" s="435"/>
    </row>
    <row r="16" spans="1:23" s="5" customFormat="1" ht="409.5" hidden="1" customHeight="1" x14ac:dyDescent="0.35">
      <c r="A16" s="8">
        <v>11</v>
      </c>
      <c r="B16" s="244" t="s">
        <v>45</v>
      </c>
      <c r="C16" s="432" t="s">
        <v>67</v>
      </c>
      <c r="D16" s="101" t="s">
        <v>265</v>
      </c>
      <c r="E16" s="99" t="s">
        <v>266</v>
      </c>
      <c r="F16" s="130" t="s">
        <v>70</v>
      </c>
      <c r="G16" s="8"/>
      <c r="H16" s="8" t="s">
        <v>71</v>
      </c>
      <c r="I16" s="26" t="s">
        <v>154</v>
      </c>
      <c r="J16" s="25"/>
      <c r="K16" s="117" t="s">
        <v>74</v>
      </c>
      <c r="L16" s="426"/>
      <c r="M16" s="135" t="s">
        <v>267</v>
      </c>
      <c r="N16" s="153" t="s">
        <v>268</v>
      </c>
      <c r="O16" s="38" t="s">
        <v>150</v>
      </c>
      <c r="P16" s="120" t="s">
        <v>150</v>
      </c>
      <c r="Q16" s="162" t="s">
        <v>150</v>
      </c>
      <c r="R16" s="153" t="s">
        <v>269</v>
      </c>
      <c r="S16" s="38" t="s">
        <v>201</v>
      </c>
      <c r="T16" s="434" t="s">
        <v>270</v>
      </c>
      <c r="U16" s="449"/>
      <c r="V16" s="179" t="s">
        <v>76</v>
      </c>
      <c r="W16" s="435" t="s">
        <v>271</v>
      </c>
    </row>
    <row r="17" spans="1:23" s="5" customFormat="1" ht="298" customHeight="1" x14ac:dyDescent="0.35">
      <c r="A17" s="8">
        <v>12</v>
      </c>
      <c r="B17" s="244" t="s">
        <v>45</v>
      </c>
      <c r="C17" s="432" t="s">
        <v>46</v>
      </c>
      <c r="D17" s="101" t="s">
        <v>272</v>
      </c>
      <c r="E17" s="99" t="s">
        <v>273</v>
      </c>
      <c r="F17" s="130" t="s">
        <v>255</v>
      </c>
      <c r="G17" s="8"/>
      <c r="H17" s="8" t="s">
        <v>71</v>
      </c>
      <c r="I17" s="26" t="s">
        <v>154</v>
      </c>
      <c r="J17" s="25"/>
      <c r="K17" s="117" t="s">
        <v>74</v>
      </c>
      <c r="L17" s="426"/>
      <c r="M17" s="135" t="s">
        <v>274</v>
      </c>
      <c r="N17" s="153" t="s">
        <v>275</v>
      </c>
      <c r="O17" s="38" t="s">
        <v>150</v>
      </c>
      <c r="P17" s="120" t="s">
        <v>150</v>
      </c>
      <c r="Q17" s="162" t="s">
        <v>150</v>
      </c>
      <c r="R17" s="75" t="s">
        <v>276</v>
      </c>
      <c r="S17" s="38" t="s">
        <v>56</v>
      </c>
      <c r="T17" s="434" t="s">
        <v>270</v>
      </c>
      <c r="U17" s="174"/>
      <c r="V17" s="179" t="s">
        <v>152</v>
      </c>
      <c r="W17" s="435" t="s">
        <v>277</v>
      </c>
    </row>
    <row r="18" spans="1:23" s="3" customFormat="1" ht="196" hidden="1" customHeight="1" x14ac:dyDescent="0.35">
      <c r="A18" s="8">
        <v>13</v>
      </c>
      <c r="B18" s="244" t="s">
        <v>260</v>
      </c>
      <c r="C18" s="432" t="s">
        <v>46</v>
      </c>
      <c r="D18" s="101" t="s">
        <v>278</v>
      </c>
      <c r="E18" s="8" t="s">
        <v>279</v>
      </c>
      <c r="F18" s="130" t="s">
        <v>280</v>
      </c>
      <c r="G18" s="8"/>
      <c r="H18" s="8" t="s">
        <v>71</v>
      </c>
      <c r="I18" s="26" t="s">
        <v>154</v>
      </c>
      <c r="J18" s="25"/>
      <c r="K18" s="117" t="s">
        <v>74</v>
      </c>
      <c r="L18" s="426"/>
      <c r="M18" s="135" t="s">
        <v>281</v>
      </c>
      <c r="N18" s="38" t="s">
        <v>52</v>
      </c>
      <c r="O18" s="38" t="s">
        <v>55</v>
      </c>
      <c r="P18" s="120" t="s">
        <v>55</v>
      </c>
      <c r="Q18" s="162" t="s">
        <v>55</v>
      </c>
      <c r="R18" s="38" t="s">
        <v>52</v>
      </c>
      <c r="S18" s="38" t="s">
        <v>56</v>
      </c>
      <c r="T18" s="434"/>
      <c r="U18" s="174"/>
      <c r="V18" s="179" t="s">
        <v>76</v>
      </c>
      <c r="W18" s="435"/>
    </row>
    <row r="19" spans="1:23" s="3" customFormat="1" ht="334" customHeight="1" x14ac:dyDescent="0.35">
      <c r="A19" s="8">
        <v>13</v>
      </c>
      <c r="B19" s="244" t="s">
        <v>45</v>
      </c>
      <c r="C19" s="144" t="s">
        <v>46</v>
      </c>
      <c r="D19" s="8" t="s">
        <v>245</v>
      </c>
      <c r="E19" s="8" t="s">
        <v>282</v>
      </c>
      <c r="F19" s="8" t="s">
        <v>49</v>
      </c>
      <c r="G19" s="8"/>
      <c r="H19" s="8" t="s">
        <v>231</v>
      </c>
      <c r="I19" s="26" t="s">
        <v>283</v>
      </c>
      <c r="J19" s="26"/>
      <c r="K19" s="8" t="s">
        <v>74</v>
      </c>
      <c r="L19" s="8"/>
      <c r="M19" s="9" t="s">
        <v>281</v>
      </c>
      <c r="N19" s="438" t="s">
        <v>284</v>
      </c>
      <c r="O19" s="77" t="s">
        <v>150</v>
      </c>
      <c r="P19" s="120" t="s">
        <v>150</v>
      </c>
      <c r="Q19" s="141" t="s">
        <v>150</v>
      </c>
      <c r="R19" s="153" t="s">
        <v>285</v>
      </c>
      <c r="S19" s="130" t="s">
        <v>56</v>
      </c>
      <c r="T19" s="169" t="s">
        <v>675</v>
      </c>
      <c r="U19" s="174"/>
      <c r="V19" s="174" t="s">
        <v>76</v>
      </c>
      <c r="W19" s="34"/>
    </row>
    <row r="20" spans="1:23" s="3" customFormat="1" ht="209.5" customHeight="1" x14ac:dyDescent="0.35">
      <c r="A20" s="8">
        <v>14</v>
      </c>
      <c r="B20" s="13" t="s">
        <v>145</v>
      </c>
      <c r="C20" s="144" t="s">
        <v>46</v>
      </c>
      <c r="D20" s="8" t="s">
        <v>287</v>
      </c>
      <c r="E20" s="8" t="s">
        <v>288</v>
      </c>
      <c r="F20" s="8" t="s">
        <v>70</v>
      </c>
      <c r="G20" s="8"/>
      <c r="H20" s="8" t="s">
        <v>231</v>
      </c>
      <c r="I20" s="26" t="s">
        <v>154</v>
      </c>
      <c r="J20" s="27"/>
      <c r="K20" s="8" t="s">
        <v>74</v>
      </c>
      <c r="L20" s="8"/>
      <c r="M20" s="9" t="s">
        <v>289</v>
      </c>
      <c r="N20" s="438" t="s">
        <v>290</v>
      </c>
      <c r="O20" s="8" t="s">
        <v>55</v>
      </c>
      <c r="P20" s="8" t="s">
        <v>55</v>
      </c>
      <c r="Q20" s="132" t="s">
        <v>55</v>
      </c>
      <c r="R20" s="38" t="s">
        <v>52</v>
      </c>
      <c r="S20" s="102" t="s">
        <v>291</v>
      </c>
      <c r="T20" s="169"/>
      <c r="U20" s="174"/>
      <c r="V20" s="174" t="s">
        <v>76</v>
      </c>
      <c r="W20" s="34"/>
    </row>
    <row r="21" spans="1:23" s="3" customFormat="1" ht="164.5" customHeight="1" x14ac:dyDescent="0.35">
      <c r="A21" s="8">
        <v>15</v>
      </c>
      <c r="B21" s="13" t="s">
        <v>145</v>
      </c>
      <c r="C21" s="144" t="s">
        <v>46</v>
      </c>
      <c r="D21" s="8" t="s">
        <v>287</v>
      </c>
      <c r="E21" s="8" t="s">
        <v>292</v>
      </c>
      <c r="F21" s="8" t="s">
        <v>70</v>
      </c>
      <c r="G21" s="8"/>
      <c r="H21" s="8" t="s">
        <v>231</v>
      </c>
      <c r="I21" s="26" t="s">
        <v>104</v>
      </c>
      <c r="J21" s="26"/>
      <c r="K21" s="8" t="s">
        <v>74</v>
      </c>
      <c r="L21" s="8"/>
      <c r="M21" s="9" t="s">
        <v>281</v>
      </c>
      <c r="N21" s="438"/>
      <c r="O21" s="8" t="s">
        <v>55</v>
      </c>
      <c r="P21" s="8" t="s">
        <v>55</v>
      </c>
      <c r="Q21" s="132" t="s">
        <v>55</v>
      </c>
      <c r="R21" s="38" t="s">
        <v>52</v>
      </c>
      <c r="S21" s="102" t="s">
        <v>291</v>
      </c>
      <c r="T21" s="169"/>
      <c r="U21" s="174"/>
      <c r="V21" s="174" t="s">
        <v>76</v>
      </c>
      <c r="W21" s="34"/>
    </row>
    <row r="22" spans="1:23" s="3" customFormat="1" ht="181.5" customHeight="1" x14ac:dyDescent="0.35">
      <c r="A22" s="8">
        <v>16</v>
      </c>
      <c r="B22" s="13" t="s">
        <v>145</v>
      </c>
      <c r="C22" s="144" t="s">
        <v>46</v>
      </c>
      <c r="D22" s="8" t="s">
        <v>287</v>
      </c>
      <c r="E22" s="8" t="s">
        <v>293</v>
      </c>
      <c r="F22" s="8" t="s">
        <v>70</v>
      </c>
      <c r="G22" s="8"/>
      <c r="H22" s="8" t="s">
        <v>231</v>
      </c>
      <c r="I22" s="26" t="s">
        <v>294</v>
      </c>
      <c r="J22" s="26"/>
      <c r="K22" s="8" t="s">
        <v>74</v>
      </c>
      <c r="L22" s="8"/>
      <c r="M22" s="9" t="s">
        <v>281</v>
      </c>
      <c r="N22" s="438"/>
      <c r="O22" s="8" t="s">
        <v>55</v>
      </c>
      <c r="P22" s="8" t="s">
        <v>55</v>
      </c>
      <c r="Q22" s="132" t="s">
        <v>55</v>
      </c>
      <c r="R22" s="38" t="s">
        <v>52</v>
      </c>
      <c r="S22" s="102" t="s">
        <v>56</v>
      </c>
      <c r="T22" s="169"/>
      <c r="U22" s="174"/>
      <c r="V22" s="174" t="s">
        <v>76</v>
      </c>
      <c r="W22" s="34"/>
    </row>
    <row r="23" spans="1:23" s="3" customFormat="1" ht="177.65" customHeight="1" x14ac:dyDescent="0.35">
      <c r="A23" s="8">
        <v>17</v>
      </c>
      <c r="B23" s="13" t="s">
        <v>145</v>
      </c>
      <c r="C23" s="144" t="s">
        <v>46</v>
      </c>
      <c r="D23" s="8" t="s">
        <v>287</v>
      </c>
      <c r="E23" s="8" t="s">
        <v>295</v>
      </c>
      <c r="F23" s="8" t="s">
        <v>70</v>
      </c>
      <c r="G23" s="8"/>
      <c r="H23" s="8" t="s">
        <v>231</v>
      </c>
      <c r="I23" s="26" t="s">
        <v>296</v>
      </c>
      <c r="J23" s="26"/>
      <c r="K23" s="8" t="s">
        <v>74</v>
      </c>
      <c r="L23" s="8"/>
      <c r="M23" s="9" t="s">
        <v>281</v>
      </c>
      <c r="N23" s="438"/>
      <c r="O23" s="8" t="s">
        <v>55</v>
      </c>
      <c r="P23" s="8" t="s">
        <v>55</v>
      </c>
      <c r="Q23" s="132" t="s">
        <v>55</v>
      </c>
      <c r="R23" s="38" t="s">
        <v>52</v>
      </c>
      <c r="S23" s="102" t="s">
        <v>56</v>
      </c>
      <c r="T23" s="169"/>
      <c r="U23" s="174"/>
      <c r="V23" s="174" t="s">
        <v>76</v>
      </c>
      <c r="W23" s="34"/>
    </row>
    <row r="24" spans="1:23" s="3" customFormat="1" ht="79.5" customHeight="1" x14ac:dyDescent="0.35">
      <c r="A24" s="8"/>
      <c r="B24" s="12"/>
      <c r="C24" s="144"/>
      <c r="D24" s="8"/>
      <c r="E24" s="8"/>
      <c r="F24" s="8"/>
      <c r="G24" s="8"/>
      <c r="H24" s="8"/>
      <c r="I24" s="26"/>
      <c r="J24" s="26"/>
      <c r="K24" s="8"/>
      <c r="L24" s="8"/>
      <c r="M24" s="9"/>
      <c r="N24" s="438"/>
      <c r="O24" s="8"/>
      <c r="P24" s="8"/>
      <c r="Q24" s="132"/>
      <c r="R24" s="38"/>
      <c r="S24" s="102"/>
      <c r="T24" s="169"/>
      <c r="U24" s="174"/>
      <c r="V24" s="174"/>
      <c r="W24" s="34"/>
    </row>
    <row r="25" spans="1:23" s="3" customFormat="1" ht="79.5" customHeight="1" x14ac:dyDescent="0.35">
      <c r="A25" s="8"/>
      <c r="B25" s="12"/>
      <c r="C25" s="144"/>
      <c r="D25" s="8"/>
      <c r="E25" s="8"/>
      <c r="F25" s="8"/>
      <c r="G25" s="8"/>
      <c r="H25" s="8"/>
      <c r="I25" s="26"/>
      <c r="J25" s="26"/>
      <c r="K25" s="8"/>
      <c r="L25" s="8"/>
      <c r="M25" s="9"/>
      <c r="N25" s="438"/>
      <c r="O25" s="80"/>
      <c r="P25" s="80"/>
      <c r="Q25" s="190"/>
      <c r="R25" s="38"/>
      <c r="S25" s="102"/>
      <c r="T25" s="169"/>
      <c r="U25" s="174"/>
      <c r="V25" s="174"/>
      <c r="W25" s="34"/>
    </row>
    <row r="26" spans="1:23" s="3" customFormat="1" ht="79.5" customHeight="1" x14ac:dyDescent="0.35">
      <c r="A26" s="8"/>
      <c r="B26" s="12"/>
      <c r="C26" s="144"/>
      <c r="D26" s="8"/>
      <c r="E26" s="8"/>
      <c r="F26" s="8"/>
      <c r="G26" s="8"/>
      <c r="H26" s="8"/>
      <c r="I26" s="26"/>
      <c r="J26" s="26"/>
      <c r="K26" s="8"/>
      <c r="L26" s="8"/>
      <c r="M26" s="9"/>
      <c r="N26" s="439"/>
      <c r="O26" s="38"/>
      <c r="P26" s="38"/>
      <c r="Q26" s="136"/>
      <c r="R26" s="38"/>
      <c r="S26" s="102"/>
      <c r="T26" s="169"/>
      <c r="U26" s="174"/>
      <c r="V26" s="174"/>
      <c r="W26" s="34"/>
    </row>
    <row r="27" spans="1:23" ht="79.5" customHeight="1" x14ac:dyDescent="0.4">
      <c r="A27" s="19"/>
      <c r="B27" s="20"/>
      <c r="C27" s="144"/>
      <c r="D27" s="19"/>
      <c r="E27" s="19"/>
      <c r="F27" s="19"/>
      <c r="G27" s="19"/>
      <c r="H27" s="19"/>
      <c r="I27" s="28"/>
      <c r="J27" s="28"/>
      <c r="K27" s="19"/>
      <c r="L27" s="19"/>
      <c r="M27" s="21"/>
      <c r="N27" s="439"/>
      <c r="O27" s="38"/>
      <c r="P27" s="38"/>
      <c r="Q27" s="136"/>
      <c r="R27" s="38"/>
      <c r="S27" s="178"/>
      <c r="T27" s="170"/>
      <c r="U27" s="174"/>
      <c r="V27" s="175"/>
      <c r="W27" s="34"/>
    </row>
    <row r="28" spans="1:23" ht="16" x14ac:dyDescent="0.35">
      <c r="O28" s="79"/>
      <c r="P28" s="79"/>
      <c r="Q28" s="79"/>
      <c r="R28" s="79"/>
      <c r="U28" s="235"/>
    </row>
    <row r="29" spans="1:23" ht="16" x14ac:dyDescent="0.35">
      <c r="O29" s="79"/>
      <c r="P29" s="79"/>
      <c r="Q29" s="79"/>
      <c r="R29" s="79"/>
      <c r="U29" s="235"/>
    </row>
    <row r="30" spans="1:23" ht="16" x14ac:dyDescent="0.35">
      <c r="O30" s="79"/>
      <c r="P30" s="79"/>
      <c r="Q30" s="79"/>
      <c r="R30" s="79"/>
      <c r="U30" s="235"/>
    </row>
    <row r="31" spans="1:23" ht="16" x14ac:dyDescent="0.35">
      <c r="O31" s="79"/>
      <c r="P31" s="79"/>
      <c r="Q31" s="79"/>
      <c r="R31" s="79"/>
      <c r="U31" s="235"/>
    </row>
    <row r="32" spans="1:23" ht="16" x14ac:dyDescent="0.35">
      <c r="O32" s="79"/>
      <c r="P32" s="79"/>
      <c r="Q32" s="79"/>
      <c r="R32" s="79"/>
      <c r="U32" s="235"/>
    </row>
    <row r="33" spans="15:21" ht="16" x14ac:dyDescent="0.35">
      <c r="O33" s="79"/>
      <c r="P33" s="79"/>
      <c r="Q33" s="79"/>
      <c r="R33" s="79"/>
      <c r="U33" s="235"/>
    </row>
    <row r="34" spans="15:21" ht="16" x14ac:dyDescent="0.35">
      <c r="O34" s="79"/>
      <c r="P34" s="79"/>
      <c r="Q34" s="79"/>
      <c r="R34" s="79"/>
      <c r="U34" s="235"/>
    </row>
    <row r="35" spans="15:21" ht="16" x14ac:dyDescent="0.35">
      <c r="O35" s="79"/>
      <c r="P35" s="79"/>
      <c r="Q35" s="79"/>
      <c r="R35" s="79"/>
      <c r="U35" s="235"/>
    </row>
    <row r="36" spans="15:21" ht="16" x14ac:dyDescent="0.35">
      <c r="O36" s="79"/>
      <c r="P36" s="79"/>
      <c r="Q36" s="79"/>
      <c r="R36" s="79"/>
      <c r="U36" s="235"/>
    </row>
    <row r="37" spans="15:21" ht="16" x14ac:dyDescent="0.35">
      <c r="O37" s="79"/>
      <c r="P37" s="79"/>
      <c r="Q37" s="79"/>
      <c r="R37" s="79"/>
      <c r="U37" s="235"/>
    </row>
    <row r="38" spans="15:21" ht="16" x14ac:dyDescent="0.35">
      <c r="O38" s="79"/>
      <c r="P38" s="79"/>
      <c r="Q38" s="79"/>
      <c r="R38" s="79"/>
      <c r="U38" s="235"/>
    </row>
    <row r="39" spans="15:21" ht="16" x14ac:dyDescent="0.35">
      <c r="O39" s="79"/>
      <c r="P39" s="79"/>
      <c r="Q39" s="79"/>
      <c r="R39" s="79"/>
      <c r="U39" s="235"/>
    </row>
    <row r="40" spans="15:21" ht="16" x14ac:dyDescent="0.35">
      <c r="O40" s="79"/>
      <c r="P40" s="79"/>
      <c r="Q40" s="79"/>
      <c r="R40" s="79"/>
      <c r="U40" s="235"/>
    </row>
    <row r="41" spans="15:21" ht="16" x14ac:dyDescent="0.35">
      <c r="O41" s="79"/>
      <c r="P41" s="79"/>
      <c r="Q41" s="79"/>
      <c r="R41" s="79"/>
      <c r="U41" s="235"/>
    </row>
    <row r="42" spans="15:21" ht="16" x14ac:dyDescent="0.35">
      <c r="O42" s="79"/>
      <c r="P42" s="79"/>
      <c r="Q42" s="79"/>
      <c r="R42" s="79"/>
      <c r="U42" s="235"/>
    </row>
    <row r="43" spans="15:21" ht="16" x14ac:dyDescent="0.35">
      <c r="O43" s="79"/>
      <c r="P43" s="79"/>
      <c r="Q43" s="79"/>
      <c r="R43" s="79"/>
      <c r="U43" s="235"/>
    </row>
    <row r="44" spans="15:21" ht="16" x14ac:dyDescent="0.35">
      <c r="O44" s="79"/>
      <c r="P44" s="79"/>
      <c r="Q44" s="79"/>
      <c r="R44" s="79"/>
      <c r="U44" s="235"/>
    </row>
    <row r="45" spans="15:21" ht="16" x14ac:dyDescent="0.35">
      <c r="O45" s="79"/>
      <c r="P45" s="79"/>
      <c r="Q45" s="79"/>
      <c r="R45" s="79"/>
      <c r="U45" s="235"/>
    </row>
    <row r="46" spans="15:21" ht="16" x14ac:dyDescent="0.35">
      <c r="O46" s="79"/>
      <c r="P46" s="79"/>
      <c r="Q46" s="79"/>
      <c r="R46" s="79"/>
      <c r="U46" s="235"/>
    </row>
    <row r="47" spans="15:21" ht="16" x14ac:dyDescent="0.35">
      <c r="O47" s="79"/>
      <c r="P47" s="79"/>
      <c r="Q47" s="79"/>
      <c r="R47" s="79"/>
      <c r="U47" s="235"/>
    </row>
    <row r="48" spans="15:21" ht="16" x14ac:dyDescent="0.35">
      <c r="O48" s="79"/>
      <c r="P48" s="79"/>
      <c r="Q48" s="79"/>
      <c r="R48" s="79"/>
      <c r="U48" s="235"/>
    </row>
    <row r="49" spans="15:21" ht="16" x14ac:dyDescent="0.35">
      <c r="O49" s="79"/>
      <c r="P49" s="79"/>
      <c r="Q49" s="79"/>
      <c r="R49" s="79"/>
      <c r="U49" s="235"/>
    </row>
    <row r="50" spans="15:21" ht="16" x14ac:dyDescent="0.35">
      <c r="O50" s="79"/>
      <c r="P50" s="79"/>
      <c r="Q50" s="79"/>
      <c r="R50" s="79"/>
      <c r="U50" s="235"/>
    </row>
    <row r="51" spans="15:21" ht="16" x14ac:dyDescent="0.35">
      <c r="O51" s="79"/>
      <c r="P51" s="79"/>
      <c r="Q51" s="79"/>
      <c r="R51" s="79"/>
      <c r="U51" s="235"/>
    </row>
    <row r="52" spans="15:21" ht="16" x14ac:dyDescent="0.35">
      <c r="O52" s="79"/>
      <c r="P52" s="79"/>
      <c r="Q52" s="79"/>
      <c r="R52" s="79"/>
      <c r="U52" s="235"/>
    </row>
    <row r="53" spans="15:21" ht="16" x14ac:dyDescent="0.35">
      <c r="O53" s="79"/>
      <c r="P53" s="79"/>
      <c r="Q53" s="79"/>
      <c r="R53" s="79"/>
      <c r="U53" s="235"/>
    </row>
    <row r="54" spans="15:21" ht="16" x14ac:dyDescent="0.35">
      <c r="O54" s="79"/>
      <c r="P54" s="79"/>
      <c r="Q54" s="79"/>
      <c r="R54" s="79"/>
      <c r="U54" s="235"/>
    </row>
    <row r="55" spans="15:21" ht="16" x14ac:dyDescent="0.35">
      <c r="O55" s="79"/>
      <c r="P55" s="79"/>
      <c r="Q55" s="79"/>
      <c r="R55" s="79"/>
      <c r="U55" s="235"/>
    </row>
    <row r="56" spans="15:21" ht="16" x14ac:dyDescent="0.35">
      <c r="O56" s="79"/>
      <c r="P56" s="79"/>
      <c r="Q56" s="79"/>
      <c r="R56" s="79"/>
      <c r="U56" s="235"/>
    </row>
    <row r="57" spans="15:21" ht="16" x14ac:dyDescent="0.35">
      <c r="O57" s="79"/>
      <c r="P57" s="79"/>
      <c r="Q57" s="79"/>
      <c r="R57" s="79"/>
      <c r="U57" s="235"/>
    </row>
    <row r="58" spans="15:21" ht="16" x14ac:dyDescent="0.35">
      <c r="O58" s="79"/>
      <c r="P58" s="79"/>
      <c r="Q58" s="79"/>
      <c r="R58" s="79"/>
      <c r="U58" s="235"/>
    </row>
    <row r="59" spans="15:21" ht="16" x14ac:dyDescent="0.35">
      <c r="O59" s="79"/>
      <c r="P59" s="79"/>
      <c r="Q59" s="79"/>
      <c r="R59" s="79"/>
      <c r="U59" s="235"/>
    </row>
    <row r="60" spans="15:21" ht="16" x14ac:dyDescent="0.35">
      <c r="O60" s="79"/>
      <c r="P60" s="79"/>
      <c r="Q60" s="79"/>
      <c r="R60" s="79"/>
      <c r="U60" s="235"/>
    </row>
    <row r="61" spans="15:21" ht="16" x14ac:dyDescent="0.35">
      <c r="O61" s="79"/>
      <c r="P61" s="79"/>
      <c r="Q61" s="79"/>
      <c r="R61" s="79"/>
      <c r="U61" s="235"/>
    </row>
    <row r="62" spans="15:21" ht="16" x14ac:dyDescent="0.35">
      <c r="O62" s="79"/>
      <c r="P62" s="79"/>
      <c r="Q62" s="79"/>
      <c r="R62" s="79"/>
      <c r="U62" s="235"/>
    </row>
    <row r="63" spans="15:21" ht="16" x14ac:dyDescent="0.35">
      <c r="O63" s="79"/>
      <c r="P63" s="79"/>
      <c r="Q63" s="79"/>
      <c r="R63" s="79"/>
      <c r="U63" s="235"/>
    </row>
    <row r="64" spans="15:21" ht="16" x14ac:dyDescent="0.35">
      <c r="O64" s="79"/>
      <c r="P64" s="79"/>
      <c r="Q64" s="79"/>
      <c r="R64" s="79"/>
      <c r="U64" s="235"/>
    </row>
    <row r="65" spans="15:21" ht="16" x14ac:dyDescent="0.35">
      <c r="O65" s="79"/>
      <c r="P65" s="79"/>
      <c r="Q65" s="79"/>
      <c r="R65" s="79"/>
      <c r="U65" s="235"/>
    </row>
    <row r="66" spans="15:21" ht="16" x14ac:dyDescent="0.35">
      <c r="O66" s="79"/>
      <c r="P66" s="79"/>
      <c r="Q66" s="79"/>
      <c r="R66" s="79"/>
      <c r="U66" s="235"/>
    </row>
    <row r="67" spans="15:21" ht="16" x14ac:dyDescent="0.35">
      <c r="O67" s="79"/>
      <c r="P67" s="79"/>
      <c r="Q67" s="79"/>
      <c r="R67" s="79"/>
      <c r="U67" s="235"/>
    </row>
    <row r="68" spans="15:21" ht="16" x14ac:dyDescent="0.35">
      <c r="O68" s="79"/>
      <c r="P68" s="79"/>
      <c r="Q68" s="79"/>
      <c r="R68" s="79"/>
      <c r="U68" s="235"/>
    </row>
    <row r="69" spans="15:21" ht="16" x14ac:dyDescent="0.35">
      <c r="O69" s="79"/>
      <c r="P69" s="79"/>
      <c r="Q69" s="79"/>
      <c r="R69" s="79"/>
      <c r="U69" s="235"/>
    </row>
    <row r="70" spans="15:21" ht="16" x14ac:dyDescent="0.35">
      <c r="O70" s="79"/>
      <c r="P70" s="79"/>
      <c r="Q70" s="79"/>
      <c r="R70" s="79"/>
      <c r="U70" s="235"/>
    </row>
    <row r="71" spans="15:21" ht="16" x14ac:dyDescent="0.35">
      <c r="O71" s="79"/>
      <c r="P71" s="79"/>
      <c r="Q71" s="79"/>
      <c r="R71" s="79"/>
      <c r="U71" s="235"/>
    </row>
    <row r="72" spans="15:21" ht="16" x14ac:dyDescent="0.35">
      <c r="O72" s="79"/>
      <c r="P72" s="79"/>
      <c r="Q72" s="79"/>
      <c r="R72" s="79"/>
      <c r="U72" s="235"/>
    </row>
    <row r="73" spans="15:21" ht="16" x14ac:dyDescent="0.35">
      <c r="O73" s="79"/>
      <c r="P73" s="79"/>
      <c r="Q73" s="79"/>
      <c r="R73" s="79"/>
      <c r="U73" s="235"/>
    </row>
    <row r="74" spans="15:21" ht="16" x14ac:dyDescent="0.35">
      <c r="O74" s="79"/>
      <c r="P74" s="79"/>
      <c r="Q74" s="79"/>
      <c r="R74" s="79"/>
      <c r="U74" s="235"/>
    </row>
    <row r="75" spans="15:21" ht="16" x14ac:dyDescent="0.35">
      <c r="O75" s="79"/>
      <c r="P75" s="79"/>
      <c r="Q75" s="79"/>
      <c r="R75" s="79"/>
      <c r="U75" s="235"/>
    </row>
    <row r="76" spans="15:21" x14ac:dyDescent="0.35">
      <c r="U76" s="235"/>
    </row>
    <row r="77" spans="15:21" x14ac:dyDescent="0.35">
      <c r="U77" s="235"/>
    </row>
    <row r="78" spans="15:21" x14ac:dyDescent="0.35">
      <c r="U78" s="235"/>
    </row>
    <row r="79" spans="15:21" x14ac:dyDescent="0.35">
      <c r="U79" s="235"/>
    </row>
    <row r="80" spans="15:21" x14ac:dyDescent="0.35">
      <c r="U80" s="235"/>
    </row>
    <row r="81" spans="21:21" x14ac:dyDescent="0.35">
      <c r="U81" s="235"/>
    </row>
    <row r="82" spans="21:21" x14ac:dyDescent="0.35">
      <c r="U82" s="235"/>
    </row>
    <row r="83" spans="21:21" x14ac:dyDescent="0.35">
      <c r="U83" s="235"/>
    </row>
    <row r="84" spans="21:21" x14ac:dyDescent="0.35">
      <c r="U84" s="235"/>
    </row>
    <row r="85" spans="21:21" x14ac:dyDescent="0.35">
      <c r="U85" s="235"/>
    </row>
    <row r="86" spans="21:21" x14ac:dyDescent="0.35">
      <c r="U86" s="235"/>
    </row>
    <row r="87" spans="21:21" x14ac:dyDescent="0.35">
      <c r="U87" s="235"/>
    </row>
    <row r="88" spans="21:21" x14ac:dyDescent="0.35">
      <c r="U88" s="235"/>
    </row>
    <row r="89" spans="21:21" x14ac:dyDescent="0.35">
      <c r="U89" s="235"/>
    </row>
    <row r="90" spans="21:21" x14ac:dyDescent="0.35">
      <c r="U90" s="235"/>
    </row>
    <row r="91" spans="21:21" x14ac:dyDescent="0.35">
      <c r="U91" s="235"/>
    </row>
    <row r="92" spans="21:21" x14ac:dyDescent="0.35">
      <c r="U92" s="235"/>
    </row>
    <row r="93" spans="21:21" x14ac:dyDescent="0.35">
      <c r="U93" s="235"/>
    </row>
    <row r="94" spans="21:21" x14ac:dyDescent="0.35">
      <c r="U94" s="235"/>
    </row>
    <row r="95" spans="21:21" x14ac:dyDescent="0.35">
      <c r="U95" s="235"/>
    </row>
    <row r="96" spans="21:21" x14ac:dyDescent="0.35">
      <c r="U96" s="235"/>
    </row>
    <row r="97" spans="21:21" x14ac:dyDescent="0.35">
      <c r="U97" s="235"/>
    </row>
    <row r="98" spans="21:21" x14ac:dyDescent="0.35">
      <c r="U98" s="235"/>
    </row>
    <row r="99" spans="21:21" x14ac:dyDescent="0.35">
      <c r="U99" s="235"/>
    </row>
    <row r="100" spans="21:21" x14ac:dyDescent="0.35">
      <c r="U100" s="235"/>
    </row>
    <row r="101" spans="21:21" x14ac:dyDescent="0.35">
      <c r="U101" s="235"/>
    </row>
    <row r="102" spans="21:21" x14ac:dyDescent="0.35">
      <c r="U102" s="235"/>
    </row>
    <row r="103" spans="21:21" x14ac:dyDescent="0.35">
      <c r="U103" s="235"/>
    </row>
    <row r="104" spans="21:21" x14ac:dyDescent="0.35">
      <c r="U104" s="235"/>
    </row>
    <row r="105" spans="21:21" x14ac:dyDescent="0.35">
      <c r="U105" s="235"/>
    </row>
    <row r="106" spans="21:21" x14ac:dyDescent="0.35">
      <c r="U106" s="235"/>
    </row>
    <row r="107" spans="21:21" x14ac:dyDescent="0.35">
      <c r="U107" s="235"/>
    </row>
    <row r="108" spans="21:21" x14ac:dyDescent="0.35">
      <c r="U108" s="235"/>
    </row>
    <row r="109" spans="21:21" x14ac:dyDescent="0.35">
      <c r="U109" s="235"/>
    </row>
    <row r="110" spans="21:21" x14ac:dyDescent="0.35">
      <c r="U110" s="235"/>
    </row>
    <row r="111" spans="21:21" x14ac:dyDescent="0.35">
      <c r="U111" s="235"/>
    </row>
    <row r="112" spans="21:21" x14ac:dyDescent="0.35">
      <c r="U112" s="235"/>
    </row>
    <row r="113" spans="21:21" x14ac:dyDescent="0.35">
      <c r="U113" s="235"/>
    </row>
    <row r="114" spans="21:21" x14ac:dyDescent="0.35">
      <c r="U114" s="235"/>
    </row>
    <row r="115" spans="21:21" x14ac:dyDescent="0.35">
      <c r="U115" s="235"/>
    </row>
    <row r="116" spans="21:21" x14ac:dyDescent="0.35">
      <c r="U116" s="235"/>
    </row>
    <row r="117" spans="21:21" x14ac:dyDescent="0.35">
      <c r="U117" s="235"/>
    </row>
    <row r="118" spans="21:21" x14ac:dyDescent="0.35">
      <c r="U118" s="235"/>
    </row>
    <row r="119" spans="21:21" x14ac:dyDescent="0.35">
      <c r="U119" s="235"/>
    </row>
    <row r="120" spans="21:21" x14ac:dyDescent="0.35">
      <c r="U120" s="235"/>
    </row>
    <row r="121" spans="21:21" x14ac:dyDescent="0.35">
      <c r="U121" s="235"/>
    </row>
    <row r="122" spans="21:21" x14ac:dyDescent="0.35">
      <c r="U122" s="235"/>
    </row>
    <row r="123" spans="21:21" x14ac:dyDescent="0.35">
      <c r="U123" s="235"/>
    </row>
    <row r="124" spans="21:21" x14ac:dyDescent="0.35">
      <c r="U124" s="235"/>
    </row>
    <row r="125" spans="21:21" x14ac:dyDescent="0.35">
      <c r="U125" s="235"/>
    </row>
    <row r="126" spans="21:21" x14ac:dyDescent="0.35">
      <c r="U126" s="235"/>
    </row>
    <row r="127" spans="21:21" x14ac:dyDescent="0.35">
      <c r="U127" s="235"/>
    </row>
    <row r="128" spans="21:21" x14ac:dyDescent="0.35">
      <c r="U128" s="235"/>
    </row>
    <row r="129" spans="21:21" x14ac:dyDescent="0.35">
      <c r="U129" s="235"/>
    </row>
    <row r="130" spans="21:21" x14ac:dyDescent="0.35">
      <c r="U130" s="235"/>
    </row>
    <row r="131" spans="21:21" x14ac:dyDescent="0.35">
      <c r="U131" s="235"/>
    </row>
    <row r="132" spans="21:21" x14ac:dyDescent="0.35">
      <c r="U132" s="235"/>
    </row>
    <row r="133" spans="21:21" x14ac:dyDescent="0.35">
      <c r="U133" s="235"/>
    </row>
    <row r="134" spans="21:21" x14ac:dyDescent="0.35">
      <c r="U134" s="235"/>
    </row>
    <row r="135" spans="21:21" x14ac:dyDescent="0.35">
      <c r="U135" s="235"/>
    </row>
    <row r="136" spans="21:21" x14ac:dyDescent="0.35">
      <c r="U136" s="235"/>
    </row>
    <row r="137" spans="21:21" x14ac:dyDescent="0.35">
      <c r="U137" s="235"/>
    </row>
    <row r="138" spans="21:21" x14ac:dyDescent="0.35">
      <c r="U138" s="235"/>
    </row>
    <row r="139" spans="21:21" x14ac:dyDescent="0.35">
      <c r="U139" s="235"/>
    </row>
    <row r="140" spans="21:21" x14ac:dyDescent="0.35">
      <c r="U140" s="235"/>
    </row>
    <row r="141" spans="21:21" x14ac:dyDescent="0.35">
      <c r="U141" s="235"/>
    </row>
    <row r="142" spans="21:21" x14ac:dyDescent="0.35">
      <c r="U142" s="235"/>
    </row>
    <row r="143" spans="21:21" x14ac:dyDescent="0.35">
      <c r="U143" s="235"/>
    </row>
    <row r="144" spans="21:21" x14ac:dyDescent="0.35">
      <c r="U144" s="235"/>
    </row>
    <row r="145" spans="21:21" x14ac:dyDescent="0.35">
      <c r="U145" s="235"/>
    </row>
    <row r="146" spans="21:21" x14ac:dyDescent="0.35">
      <c r="U146" s="235"/>
    </row>
    <row r="147" spans="21:21" x14ac:dyDescent="0.35">
      <c r="U147" s="235"/>
    </row>
    <row r="148" spans="21:21" x14ac:dyDescent="0.35">
      <c r="U148" s="235"/>
    </row>
    <row r="149" spans="21:21" x14ac:dyDescent="0.35">
      <c r="U149" s="235"/>
    </row>
    <row r="150" spans="21:21" x14ac:dyDescent="0.35">
      <c r="U150" s="235"/>
    </row>
    <row r="151" spans="21:21" x14ac:dyDescent="0.35">
      <c r="U151" s="235"/>
    </row>
    <row r="152" spans="21:21" x14ac:dyDescent="0.35">
      <c r="U152" s="235"/>
    </row>
    <row r="153" spans="21:21" x14ac:dyDescent="0.35">
      <c r="U153" s="235"/>
    </row>
    <row r="154" spans="21:21" x14ac:dyDescent="0.35">
      <c r="U154" s="235"/>
    </row>
    <row r="155" spans="21:21" x14ac:dyDescent="0.35">
      <c r="U155" s="235"/>
    </row>
    <row r="156" spans="21:21" x14ac:dyDescent="0.35">
      <c r="U156" s="235"/>
    </row>
    <row r="157" spans="21:21" x14ac:dyDescent="0.35">
      <c r="U157" s="235"/>
    </row>
    <row r="158" spans="21:21" x14ac:dyDescent="0.35">
      <c r="U158" s="235"/>
    </row>
    <row r="159" spans="21:21" x14ac:dyDescent="0.35">
      <c r="U159" s="235"/>
    </row>
    <row r="160" spans="21:21" x14ac:dyDescent="0.35">
      <c r="U160" s="235"/>
    </row>
    <row r="161" spans="21:21" x14ac:dyDescent="0.35">
      <c r="U161" s="235"/>
    </row>
    <row r="162" spans="21:21" x14ac:dyDescent="0.35">
      <c r="U162" s="235"/>
    </row>
    <row r="163" spans="21:21" x14ac:dyDescent="0.35">
      <c r="U163" s="235"/>
    </row>
    <row r="164" spans="21:21" x14ac:dyDescent="0.35">
      <c r="U164" s="235"/>
    </row>
    <row r="165" spans="21:21" x14ac:dyDescent="0.35">
      <c r="U165" s="235"/>
    </row>
    <row r="166" spans="21:21" x14ac:dyDescent="0.35">
      <c r="U166" s="235"/>
    </row>
    <row r="167" spans="21:21" x14ac:dyDescent="0.35">
      <c r="U167" s="235"/>
    </row>
    <row r="168" spans="21:21" x14ac:dyDescent="0.35">
      <c r="U168" s="235"/>
    </row>
    <row r="169" spans="21:21" x14ac:dyDescent="0.35">
      <c r="U169" s="235"/>
    </row>
    <row r="170" spans="21:21" x14ac:dyDescent="0.35">
      <c r="U170" s="235"/>
    </row>
    <row r="171" spans="21:21" x14ac:dyDescent="0.35">
      <c r="U171" s="235"/>
    </row>
    <row r="172" spans="21:21" x14ac:dyDescent="0.35">
      <c r="U172" s="235"/>
    </row>
    <row r="173" spans="21:21" x14ac:dyDescent="0.35">
      <c r="U173" s="235"/>
    </row>
    <row r="174" spans="21:21" x14ac:dyDescent="0.35">
      <c r="U174" s="235"/>
    </row>
    <row r="175" spans="21:21" x14ac:dyDescent="0.35">
      <c r="U175" s="235"/>
    </row>
    <row r="176" spans="21:21" x14ac:dyDescent="0.35">
      <c r="U176" s="235"/>
    </row>
    <row r="177" spans="21:21" x14ac:dyDescent="0.35">
      <c r="U177" s="235"/>
    </row>
    <row r="178" spans="21:21" x14ac:dyDescent="0.35">
      <c r="U178" s="235"/>
    </row>
    <row r="179" spans="21:21" x14ac:dyDescent="0.35">
      <c r="U179" s="235"/>
    </row>
    <row r="180" spans="21:21" x14ac:dyDescent="0.35">
      <c r="U180" s="235"/>
    </row>
    <row r="181" spans="21:21" x14ac:dyDescent="0.35">
      <c r="U181" s="235"/>
    </row>
    <row r="182" spans="21:21" x14ac:dyDescent="0.35">
      <c r="U182" s="235"/>
    </row>
    <row r="183" spans="21:21" x14ac:dyDescent="0.35">
      <c r="U183" s="235"/>
    </row>
    <row r="184" spans="21:21" x14ac:dyDescent="0.35">
      <c r="U184" s="235"/>
    </row>
    <row r="185" spans="21:21" x14ac:dyDescent="0.35">
      <c r="U185" s="235"/>
    </row>
    <row r="186" spans="21:21" x14ac:dyDescent="0.35">
      <c r="U186" s="235"/>
    </row>
    <row r="187" spans="21:21" x14ac:dyDescent="0.35">
      <c r="U187" s="235"/>
    </row>
    <row r="188" spans="21:21" x14ac:dyDescent="0.35">
      <c r="U188" s="235"/>
    </row>
    <row r="189" spans="21:21" x14ac:dyDescent="0.35">
      <c r="U189" s="235"/>
    </row>
    <row r="190" spans="21:21" x14ac:dyDescent="0.35">
      <c r="U190" s="235"/>
    </row>
    <row r="191" spans="21:21" x14ac:dyDescent="0.35">
      <c r="U191" s="235"/>
    </row>
    <row r="192" spans="21:21" x14ac:dyDescent="0.35">
      <c r="U192" s="235"/>
    </row>
    <row r="193" spans="21:21" x14ac:dyDescent="0.35">
      <c r="U193" s="235"/>
    </row>
    <row r="194" spans="21:21" x14ac:dyDescent="0.35">
      <c r="U194" s="235"/>
    </row>
    <row r="195" spans="21:21" x14ac:dyDescent="0.35">
      <c r="U195" s="235"/>
    </row>
    <row r="196" spans="21:21" x14ac:dyDescent="0.35">
      <c r="U196" s="235"/>
    </row>
    <row r="197" spans="21:21" x14ac:dyDescent="0.35">
      <c r="U197" s="235"/>
    </row>
    <row r="198" spans="21:21" x14ac:dyDescent="0.35">
      <c r="U198" s="235"/>
    </row>
    <row r="199" spans="21:21" x14ac:dyDescent="0.35">
      <c r="U199" s="235"/>
    </row>
    <row r="200" spans="21:21" x14ac:dyDescent="0.35">
      <c r="U200" s="235"/>
    </row>
    <row r="201" spans="21:21" x14ac:dyDescent="0.35">
      <c r="U201" s="235"/>
    </row>
    <row r="202" spans="21:21" x14ac:dyDescent="0.35">
      <c r="U202" s="235"/>
    </row>
    <row r="203" spans="21:21" x14ac:dyDescent="0.35">
      <c r="U203" s="235"/>
    </row>
    <row r="204" spans="21:21" x14ac:dyDescent="0.35">
      <c r="U204" s="235"/>
    </row>
    <row r="205" spans="21:21" x14ac:dyDescent="0.35">
      <c r="U205" s="235"/>
    </row>
    <row r="206" spans="21:21" x14ac:dyDescent="0.35">
      <c r="U206" s="235"/>
    </row>
    <row r="207" spans="21:21" x14ac:dyDescent="0.35">
      <c r="U207" s="235"/>
    </row>
    <row r="208" spans="21:21" x14ac:dyDescent="0.35">
      <c r="U208" s="235"/>
    </row>
    <row r="209" spans="21:21" x14ac:dyDescent="0.35">
      <c r="U209" s="235"/>
    </row>
    <row r="210" spans="21:21" x14ac:dyDescent="0.35">
      <c r="U210" s="235"/>
    </row>
    <row r="211" spans="21:21" x14ac:dyDescent="0.35">
      <c r="U211" s="235"/>
    </row>
    <row r="212" spans="21:21" x14ac:dyDescent="0.35">
      <c r="U212" s="235"/>
    </row>
    <row r="213" spans="21:21" x14ac:dyDescent="0.35">
      <c r="U213" s="235"/>
    </row>
    <row r="214" spans="21:21" x14ac:dyDescent="0.35">
      <c r="U214" s="235"/>
    </row>
    <row r="215" spans="21:21" x14ac:dyDescent="0.35">
      <c r="U215" s="235"/>
    </row>
    <row r="216" spans="21:21" x14ac:dyDescent="0.35">
      <c r="U216" s="235"/>
    </row>
    <row r="217" spans="21:21" x14ac:dyDescent="0.35">
      <c r="U217" s="235"/>
    </row>
    <row r="218" spans="21:21" x14ac:dyDescent="0.35">
      <c r="U218" s="235"/>
    </row>
    <row r="219" spans="21:21" x14ac:dyDescent="0.35">
      <c r="U219" s="235"/>
    </row>
    <row r="220" spans="21:21" x14ac:dyDescent="0.35">
      <c r="U220" s="235"/>
    </row>
    <row r="221" spans="21:21" x14ac:dyDescent="0.35">
      <c r="U221" s="235"/>
    </row>
    <row r="222" spans="21:21" x14ac:dyDescent="0.35">
      <c r="U222" s="235"/>
    </row>
    <row r="223" spans="21:21" x14ac:dyDescent="0.35">
      <c r="U223" s="235"/>
    </row>
    <row r="224" spans="21:21" x14ac:dyDescent="0.35">
      <c r="U224" s="235"/>
    </row>
    <row r="225" spans="21:21" x14ac:dyDescent="0.35">
      <c r="U225" s="235"/>
    </row>
    <row r="226" spans="21:21" x14ac:dyDescent="0.35">
      <c r="U226" s="235"/>
    </row>
    <row r="227" spans="21:21" x14ac:dyDescent="0.35">
      <c r="U227" s="235"/>
    </row>
    <row r="228" spans="21:21" x14ac:dyDescent="0.35">
      <c r="U228" s="235"/>
    </row>
    <row r="229" spans="21:21" x14ac:dyDescent="0.35">
      <c r="U229" s="235"/>
    </row>
    <row r="230" spans="21:21" x14ac:dyDescent="0.35">
      <c r="U230" s="235"/>
    </row>
    <row r="231" spans="21:21" x14ac:dyDescent="0.35">
      <c r="U231" s="235"/>
    </row>
    <row r="232" spans="21:21" x14ac:dyDescent="0.35">
      <c r="U232" s="235"/>
    </row>
    <row r="233" spans="21:21" x14ac:dyDescent="0.35">
      <c r="U233" s="235"/>
    </row>
    <row r="234" spans="21:21" x14ac:dyDescent="0.35">
      <c r="U234" s="235"/>
    </row>
    <row r="235" spans="21:21" x14ac:dyDescent="0.35">
      <c r="U235" s="235"/>
    </row>
    <row r="236" spans="21:21" x14ac:dyDescent="0.35">
      <c r="U236" s="235"/>
    </row>
    <row r="237" spans="21:21" x14ac:dyDescent="0.35">
      <c r="U237" s="235"/>
    </row>
    <row r="238" spans="21:21" x14ac:dyDescent="0.35">
      <c r="U238" s="235"/>
    </row>
    <row r="239" spans="21:21" x14ac:dyDescent="0.35">
      <c r="U239" s="235"/>
    </row>
    <row r="240" spans="21:21" x14ac:dyDescent="0.35">
      <c r="U240" s="235"/>
    </row>
    <row r="241" spans="21:21" x14ac:dyDescent="0.35">
      <c r="U241" s="235"/>
    </row>
    <row r="242" spans="21:21" x14ac:dyDescent="0.35">
      <c r="U242" s="235"/>
    </row>
    <row r="243" spans="21:21" x14ac:dyDescent="0.35">
      <c r="U243" s="235"/>
    </row>
    <row r="244" spans="21:21" x14ac:dyDescent="0.35">
      <c r="U244" s="235"/>
    </row>
    <row r="245" spans="21:21" x14ac:dyDescent="0.35">
      <c r="U245" s="235"/>
    </row>
    <row r="246" spans="21:21" x14ac:dyDescent="0.35">
      <c r="U246" s="235"/>
    </row>
    <row r="247" spans="21:21" x14ac:dyDescent="0.35">
      <c r="U247" s="235"/>
    </row>
    <row r="248" spans="21:21" x14ac:dyDescent="0.35">
      <c r="U248" s="235"/>
    </row>
    <row r="249" spans="21:21" x14ac:dyDescent="0.35">
      <c r="U249" s="235"/>
    </row>
    <row r="250" spans="21:21" x14ac:dyDescent="0.35">
      <c r="U250" s="235"/>
    </row>
    <row r="251" spans="21:21" x14ac:dyDescent="0.35">
      <c r="U251" s="235"/>
    </row>
    <row r="252" spans="21:21" x14ac:dyDescent="0.35">
      <c r="U252" s="235"/>
    </row>
    <row r="253" spans="21:21" x14ac:dyDescent="0.35">
      <c r="U253" s="235"/>
    </row>
    <row r="254" spans="21:21" x14ac:dyDescent="0.35">
      <c r="U254" s="235"/>
    </row>
    <row r="255" spans="21:21" x14ac:dyDescent="0.35">
      <c r="U255" s="235"/>
    </row>
    <row r="256" spans="21:21" x14ac:dyDescent="0.35">
      <c r="U256" s="235"/>
    </row>
    <row r="257" spans="21:21" x14ac:dyDescent="0.35">
      <c r="U257" s="235"/>
    </row>
    <row r="258" spans="21:21" x14ac:dyDescent="0.35">
      <c r="U258" s="235"/>
    </row>
    <row r="259" spans="21:21" x14ac:dyDescent="0.35">
      <c r="U259" s="235"/>
    </row>
    <row r="260" spans="21:21" x14ac:dyDescent="0.35">
      <c r="U260" s="235"/>
    </row>
    <row r="261" spans="21:21" x14ac:dyDescent="0.35">
      <c r="U261" s="235"/>
    </row>
    <row r="262" spans="21:21" x14ac:dyDescent="0.35">
      <c r="U262" s="235"/>
    </row>
    <row r="263" spans="21:21" x14ac:dyDescent="0.35">
      <c r="U263" s="235"/>
    </row>
    <row r="264" spans="21:21" x14ac:dyDescent="0.35">
      <c r="U264" s="235"/>
    </row>
    <row r="265" spans="21:21" x14ac:dyDescent="0.35">
      <c r="U265" s="235"/>
    </row>
    <row r="266" spans="21:21" x14ac:dyDescent="0.35">
      <c r="U266" s="235"/>
    </row>
    <row r="267" spans="21:21" x14ac:dyDescent="0.35">
      <c r="U267" s="235"/>
    </row>
    <row r="268" spans="21:21" x14ac:dyDescent="0.35">
      <c r="U268" s="235"/>
    </row>
    <row r="269" spans="21:21" x14ac:dyDescent="0.35">
      <c r="U269" s="235"/>
    </row>
    <row r="270" spans="21:21" x14ac:dyDescent="0.35">
      <c r="U270" s="235"/>
    </row>
    <row r="271" spans="21:21" x14ac:dyDescent="0.35">
      <c r="U271" s="235"/>
    </row>
    <row r="272" spans="21:21" x14ac:dyDescent="0.35">
      <c r="U272" s="235"/>
    </row>
    <row r="273" spans="21:21" x14ac:dyDescent="0.35">
      <c r="U273" s="235"/>
    </row>
    <row r="274" spans="21:21" x14ac:dyDescent="0.35">
      <c r="U274" s="235"/>
    </row>
    <row r="275" spans="21:21" x14ac:dyDescent="0.35">
      <c r="U275" s="235"/>
    </row>
    <row r="276" spans="21:21" x14ac:dyDescent="0.35">
      <c r="U276" s="235"/>
    </row>
    <row r="277" spans="21:21" x14ac:dyDescent="0.35">
      <c r="U277" s="235"/>
    </row>
    <row r="278" spans="21:21" x14ac:dyDescent="0.35">
      <c r="U278" s="235"/>
    </row>
    <row r="279" spans="21:21" x14ac:dyDescent="0.35">
      <c r="U279" s="235"/>
    </row>
    <row r="280" spans="21:21" x14ac:dyDescent="0.35">
      <c r="U280" s="235"/>
    </row>
    <row r="281" spans="21:21" x14ac:dyDescent="0.35">
      <c r="U281" s="235"/>
    </row>
    <row r="282" spans="21:21" x14ac:dyDescent="0.35">
      <c r="U282" s="235"/>
    </row>
    <row r="283" spans="21:21" x14ac:dyDescent="0.35">
      <c r="U283" s="235"/>
    </row>
    <row r="284" spans="21:21" x14ac:dyDescent="0.35">
      <c r="U284" s="235"/>
    </row>
    <row r="285" spans="21:21" x14ac:dyDescent="0.35">
      <c r="U285" s="235"/>
    </row>
    <row r="286" spans="21:21" x14ac:dyDescent="0.35">
      <c r="U286" s="235"/>
    </row>
    <row r="287" spans="21:21" x14ac:dyDescent="0.35">
      <c r="U287" s="235"/>
    </row>
    <row r="288" spans="21:21" x14ac:dyDescent="0.35">
      <c r="U288" s="235"/>
    </row>
    <row r="289" spans="21:21" x14ac:dyDescent="0.35">
      <c r="U289" s="235"/>
    </row>
    <row r="290" spans="21:21" x14ac:dyDescent="0.35">
      <c r="U290" s="235"/>
    </row>
    <row r="291" spans="21:21" x14ac:dyDescent="0.35">
      <c r="U291" s="235"/>
    </row>
    <row r="292" spans="21:21" x14ac:dyDescent="0.35">
      <c r="U292" s="235"/>
    </row>
    <row r="293" spans="21:21" x14ac:dyDescent="0.35">
      <c r="U293" s="235"/>
    </row>
    <row r="294" spans="21:21" x14ac:dyDescent="0.35">
      <c r="U294" s="235"/>
    </row>
    <row r="295" spans="21:21" x14ac:dyDescent="0.35">
      <c r="U295" s="235"/>
    </row>
    <row r="296" spans="21:21" x14ac:dyDescent="0.35">
      <c r="U296" s="235"/>
    </row>
    <row r="297" spans="21:21" x14ac:dyDescent="0.35">
      <c r="U297" s="235"/>
    </row>
    <row r="298" spans="21:21" x14ac:dyDescent="0.35">
      <c r="U298" s="235"/>
    </row>
    <row r="299" spans="21:21" x14ac:dyDescent="0.35">
      <c r="U299" s="235"/>
    </row>
    <row r="300" spans="21:21" x14ac:dyDescent="0.35">
      <c r="U300" s="235"/>
    </row>
    <row r="301" spans="21:21" x14ac:dyDescent="0.35">
      <c r="U301" s="235"/>
    </row>
    <row r="302" spans="21:21" x14ac:dyDescent="0.35">
      <c r="U302" s="235"/>
    </row>
    <row r="303" spans="21:21" x14ac:dyDescent="0.35">
      <c r="U303" s="235"/>
    </row>
    <row r="304" spans="21:21" x14ac:dyDescent="0.35">
      <c r="U304" s="235"/>
    </row>
    <row r="305" spans="21:21" x14ac:dyDescent="0.35">
      <c r="U305" s="235"/>
    </row>
    <row r="306" spans="21:21" x14ac:dyDescent="0.35">
      <c r="U306" s="235"/>
    </row>
    <row r="307" spans="21:21" x14ac:dyDescent="0.35">
      <c r="U307" s="235"/>
    </row>
    <row r="308" spans="21:21" x14ac:dyDescent="0.35">
      <c r="U308" s="235"/>
    </row>
    <row r="309" spans="21:21" x14ac:dyDescent="0.35">
      <c r="U309" s="243"/>
    </row>
    <row r="310" spans="21:21" x14ac:dyDescent="0.35">
      <c r="U310" s="243"/>
    </row>
    <row r="311" spans="21:21" x14ac:dyDescent="0.35">
      <c r="U311" s="243"/>
    </row>
    <row r="312" spans="21:21" x14ac:dyDescent="0.35">
      <c r="U312" s="243"/>
    </row>
    <row r="313" spans="21:21" x14ac:dyDescent="0.35">
      <c r="U313" s="243"/>
    </row>
    <row r="314" spans="21:21" x14ac:dyDescent="0.35">
      <c r="U314" s="243"/>
    </row>
    <row r="315" spans="21:21" x14ac:dyDescent="0.35">
      <c r="U315" s="243"/>
    </row>
    <row r="316" spans="21:21" x14ac:dyDescent="0.35">
      <c r="U316" s="243"/>
    </row>
    <row r="317" spans="21:21" x14ac:dyDescent="0.35">
      <c r="U317" s="243"/>
    </row>
    <row r="318" spans="21:21" x14ac:dyDescent="0.35">
      <c r="U318" s="243"/>
    </row>
    <row r="319" spans="21:21" x14ac:dyDescent="0.35">
      <c r="U319" s="243"/>
    </row>
    <row r="320" spans="21:21" x14ac:dyDescent="0.35">
      <c r="U320" s="243"/>
    </row>
    <row r="321" spans="21:21" x14ac:dyDescent="0.35">
      <c r="U321" s="243"/>
    </row>
    <row r="322" spans="21:21" x14ac:dyDescent="0.35">
      <c r="U322" s="243"/>
    </row>
    <row r="323" spans="21:21" x14ac:dyDescent="0.35">
      <c r="U323" s="243"/>
    </row>
    <row r="324" spans="21:21" x14ac:dyDescent="0.35">
      <c r="U324" s="243"/>
    </row>
    <row r="325" spans="21:21" x14ac:dyDescent="0.35">
      <c r="U325" s="243"/>
    </row>
    <row r="326" spans="21:21" x14ac:dyDescent="0.35">
      <c r="U326" s="243"/>
    </row>
    <row r="327" spans="21:21" x14ac:dyDescent="0.35">
      <c r="U327" s="243"/>
    </row>
    <row r="328" spans="21:21" x14ac:dyDescent="0.35">
      <c r="U328" s="243"/>
    </row>
    <row r="329" spans="21:21" x14ac:dyDescent="0.35">
      <c r="U329" s="243"/>
    </row>
    <row r="330" spans="21:21" x14ac:dyDescent="0.35">
      <c r="U330" s="243"/>
    </row>
    <row r="331" spans="21:21" x14ac:dyDescent="0.35">
      <c r="U331" s="243"/>
    </row>
    <row r="332" spans="21:21" x14ac:dyDescent="0.35">
      <c r="U332" s="243"/>
    </row>
    <row r="333" spans="21:21" x14ac:dyDescent="0.35">
      <c r="U333" s="243"/>
    </row>
    <row r="334" spans="21:21" x14ac:dyDescent="0.35">
      <c r="U334" s="243"/>
    </row>
    <row r="335" spans="21:21" x14ac:dyDescent="0.35">
      <c r="U335" s="243"/>
    </row>
    <row r="336" spans="21:21" x14ac:dyDescent="0.35">
      <c r="U336" s="243"/>
    </row>
    <row r="337" spans="21:21" x14ac:dyDescent="0.35">
      <c r="U337" s="243"/>
    </row>
    <row r="338" spans="21:21" x14ac:dyDescent="0.35">
      <c r="U338" s="243"/>
    </row>
    <row r="339" spans="21:21" x14ac:dyDescent="0.35">
      <c r="U339" s="243"/>
    </row>
    <row r="340" spans="21:21" x14ac:dyDescent="0.35">
      <c r="U340" s="243"/>
    </row>
    <row r="341" spans="21:21" x14ac:dyDescent="0.35">
      <c r="U341" s="243"/>
    </row>
    <row r="342" spans="21:21" x14ac:dyDescent="0.35">
      <c r="U342" s="243"/>
    </row>
    <row r="343" spans="21:21" x14ac:dyDescent="0.35">
      <c r="U343" s="243"/>
    </row>
    <row r="344" spans="21:21" x14ac:dyDescent="0.35">
      <c r="U344" s="243"/>
    </row>
    <row r="345" spans="21:21" x14ac:dyDescent="0.35">
      <c r="U345" s="243"/>
    </row>
    <row r="346" spans="21:21" x14ac:dyDescent="0.35">
      <c r="U346" s="243"/>
    </row>
    <row r="347" spans="21:21" x14ac:dyDescent="0.35">
      <c r="U347" s="243"/>
    </row>
    <row r="348" spans="21:21" x14ac:dyDescent="0.35">
      <c r="U348" s="243"/>
    </row>
    <row r="349" spans="21:21" x14ac:dyDescent="0.35">
      <c r="U349" s="243"/>
    </row>
    <row r="350" spans="21:21" x14ac:dyDescent="0.35">
      <c r="U350" s="243"/>
    </row>
    <row r="351" spans="21:21" x14ac:dyDescent="0.35">
      <c r="U351" s="243"/>
    </row>
    <row r="352" spans="21:21" x14ac:dyDescent="0.35">
      <c r="U352" s="243"/>
    </row>
    <row r="353" spans="21:21" x14ac:dyDescent="0.35">
      <c r="U353" s="243"/>
    </row>
    <row r="354" spans="21:21" x14ac:dyDescent="0.35">
      <c r="U354" s="243"/>
    </row>
    <row r="355" spans="21:21" x14ac:dyDescent="0.35">
      <c r="U355" s="243"/>
    </row>
    <row r="356" spans="21:21" x14ac:dyDescent="0.35">
      <c r="U356" s="243"/>
    </row>
    <row r="357" spans="21:21" x14ac:dyDescent="0.35">
      <c r="U357" s="243"/>
    </row>
    <row r="358" spans="21:21" x14ac:dyDescent="0.35">
      <c r="U358" s="243"/>
    </row>
    <row r="359" spans="21:21" x14ac:dyDescent="0.35">
      <c r="U359" s="243"/>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2">
    <mergeCell ref="R6:R8"/>
    <mergeCell ref="R10:R11"/>
    <mergeCell ref="R12:R14"/>
    <mergeCell ref="A1:W1"/>
    <mergeCell ref="A2:W2"/>
    <mergeCell ref="A3:W3"/>
    <mergeCell ref="A4:E4"/>
    <mergeCell ref="F4:L4"/>
    <mergeCell ref="M4:N4"/>
    <mergeCell ref="O4:R4"/>
    <mergeCell ref="S4:U4"/>
    <mergeCell ref="V4:W4"/>
  </mergeCells>
  <conditionalFormatting sqref="O6:R6 O7:Q8 O9:R9 O10:Q16 O17:R1048576">
    <cfRule type="containsText" dxfId="102" priority="1" operator="containsText" text="No">
      <formula>NOT(ISERROR(SEARCH("No",O6)))</formula>
    </cfRule>
    <cfRule type="containsText" dxfId="101" priority="2" operator="containsText" text="Yes">
      <formula>NOT(ISERROR(SEARCH("Yes",O6)))</formula>
    </cfRule>
  </conditionalFormatting>
  <conditionalFormatting sqref="S6:S1048576">
    <cfRule type="containsText" dxfId="100" priority="3" operator="containsText" text="Rejected">
      <formula>NOT(ISERROR(SEARCH("Rejected",S6)))</formula>
    </cfRule>
    <cfRule type="containsText" dxfId="99" priority="4" operator="containsText" text="Revisions Needed">
      <formula>NOT(ISERROR(SEARCH("Revisions Needed",S6)))</formula>
    </cfRule>
    <cfRule type="containsText" dxfId="98" priority="5" operator="containsText" text="Approved">
      <formula>NOT(ISERROR(SEARCH("Approved",S6)))</formula>
    </cfRule>
  </conditionalFormatting>
  <dataValidations count="3">
    <dataValidation type="list" allowBlank="1" showInputMessage="1" showErrorMessage="1" sqref="C6:C1048576" xr:uid="{67303AB3-9B07-486D-8442-09DBBB1F2E56}">
      <formula1>"Monthly, Yearly"</formula1>
    </dataValidation>
    <dataValidation type="list" allowBlank="1" showInputMessage="1" showErrorMessage="1" sqref="O19:O1048576 O6:O14 P6:Q1048576" xr:uid="{3B376324-3378-4702-AF42-B471A14BE3F9}">
      <formula1>"No, Yes"</formula1>
    </dataValidation>
    <dataValidation type="list" allowBlank="1" sqref="S6:S1048576" xr:uid="{30C6DB1F-B042-4A20-8B86-005EC10F6205}">
      <formula1>"Approved,Revisions Needed, Rejected"</formula1>
    </dataValidation>
  </dataValidations>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A7E34-34BE-4F92-AD27-D0DD27D438E2}">
  <sheetPr>
    <tabColor theme="6"/>
  </sheetPr>
  <dimension ref="A1:W359"/>
  <sheetViews>
    <sheetView showGridLines="0" zoomScale="55" zoomScaleNormal="55" workbookViewId="0">
      <selection activeCell="M14" sqref="M14"/>
    </sheetView>
  </sheetViews>
  <sheetFormatPr defaultColWidth="8.54296875" defaultRowHeight="14.5" x14ac:dyDescent="0.35"/>
  <cols>
    <col min="1" max="1" width="9" style="2" customWidth="1"/>
    <col min="2" max="2" width="13.81640625" style="14" customWidth="1"/>
    <col min="3" max="3" width="12" style="14" customWidth="1"/>
    <col min="4" max="4" width="18.81640625" style="2" customWidth="1"/>
    <col min="5" max="5" width="21.453125" style="2" customWidth="1"/>
    <col min="6" max="6" width="13.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0.81640625" style="2" customWidth="1"/>
    <col min="13" max="13" width="36" style="1" customWidth="1"/>
    <col min="14" max="14" width="46.1796875" style="143" customWidth="1"/>
    <col min="15" max="15" width="12.81640625" style="76" customWidth="1"/>
    <col min="16" max="16" width="10.81640625" style="76" customWidth="1"/>
    <col min="17" max="17" width="13.1796875" style="76" customWidth="1"/>
    <col min="18" max="18" width="45.26953125" style="76" customWidth="1"/>
    <col min="19" max="19" width="20.54296875" style="2" customWidth="1"/>
    <col min="20" max="20" width="76.54296875" style="17" customWidth="1"/>
    <col min="21" max="21" width="53.726562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676</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c r="W3" s="512"/>
    </row>
    <row r="4" spans="1:23" s="4" customFormat="1" ht="27.75" customHeight="1" thickTop="1" thickBot="1" x14ac:dyDescent="0.45">
      <c r="A4" s="513" t="s">
        <v>3</v>
      </c>
      <c r="B4" s="514"/>
      <c r="C4" s="514"/>
      <c r="D4" s="514"/>
      <c r="E4" s="514"/>
      <c r="F4" s="513" t="s">
        <v>4</v>
      </c>
      <c r="G4" s="514"/>
      <c r="H4" s="514"/>
      <c r="I4" s="514"/>
      <c r="J4" s="514"/>
      <c r="K4" s="514"/>
      <c r="L4" s="515"/>
      <c r="M4" s="516" t="s">
        <v>5</v>
      </c>
      <c r="N4" s="516"/>
      <c r="O4" s="513" t="s">
        <v>6</v>
      </c>
      <c r="P4" s="514"/>
      <c r="Q4" s="514"/>
      <c r="R4" s="515"/>
      <c r="S4" s="513" t="s">
        <v>7</v>
      </c>
      <c r="T4" s="514"/>
      <c r="U4" s="515"/>
      <c r="V4" s="513" t="s">
        <v>8</v>
      </c>
      <c r="W4" s="515"/>
    </row>
    <row r="5" spans="1:23" ht="71.5" customHeight="1" thickTop="1" thickBot="1" x14ac:dyDescent="0.4">
      <c r="A5" s="10" t="s">
        <v>9</v>
      </c>
      <c r="B5" s="10" t="s">
        <v>10</v>
      </c>
      <c r="C5" s="10" t="s">
        <v>11</v>
      </c>
      <c r="D5" s="10" t="s">
        <v>12</v>
      </c>
      <c r="E5" s="10" t="s">
        <v>13</v>
      </c>
      <c r="F5" s="10" t="s">
        <v>14</v>
      </c>
      <c r="G5" s="10" t="s">
        <v>228</v>
      </c>
      <c r="H5" s="10" t="s">
        <v>15</v>
      </c>
      <c r="I5" s="10" t="s">
        <v>16</v>
      </c>
      <c r="J5" s="10" t="s">
        <v>17</v>
      </c>
      <c r="K5" s="10" t="s">
        <v>18</v>
      </c>
      <c r="L5" s="10" t="s">
        <v>19</v>
      </c>
      <c r="M5" s="10" t="s">
        <v>20</v>
      </c>
      <c r="N5" s="10" t="s">
        <v>21</v>
      </c>
      <c r="O5" s="10" t="s">
        <v>22</v>
      </c>
      <c r="P5" s="10" t="s">
        <v>23</v>
      </c>
      <c r="Q5" s="10" t="s">
        <v>24</v>
      </c>
      <c r="R5" s="10" t="s">
        <v>25</v>
      </c>
      <c r="S5" s="23" t="s">
        <v>26</v>
      </c>
      <c r="T5" s="18" t="s">
        <v>27</v>
      </c>
      <c r="U5" s="18" t="s">
        <v>28</v>
      </c>
      <c r="V5" s="18" t="s">
        <v>29</v>
      </c>
      <c r="W5" s="433" t="s">
        <v>30</v>
      </c>
    </row>
    <row r="6" spans="1:23" s="5" customFormat="1" ht="394.5" hidden="1" customHeight="1" thickTop="1" x14ac:dyDescent="0.35">
      <c r="A6" s="117">
        <v>1</v>
      </c>
      <c r="B6" s="244" t="s">
        <v>45</v>
      </c>
      <c r="C6" s="432" t="s">
        <v>46</v>
      </c>
      <c r="D6" s="117" t="s">
        <v>677</v>
      </c>
      <c r="E6" s="429" t="s">
        <v>678</v>
      </c>
      <c r="F6" s="117" t="s">
        <v>49</v>
      </c>
      <c r="G6" s="117"/>
      <c r="H6" s="117" t="s">
        <v>50</v>
      </c>
      <c r="I6" s="25" t="s">
        <v>51</v>
      </c>
      <c r="J6" s="25" t="s">
        <v>52</v>
      </c>
      <c r="K6" s="117" t="s">
        <v>74</v>
      </c>
      <c r="L6" s="426" t="s">
        <v>52</v>
      </c>
      <c r="M6" s="274" t="s">
        <v>679</v>
      </c>
      <c r="N6" s="162" t="s">
        <v>680</v>
      </c>
      <c r="O6" s="120" t="s">
        <v>150</v>
      </c>
      <c r="P6" s="120" t="s">
        <v>55</v>
      </c>
      <c r="Q6" s="162" t="s">
        <v>55</v>
      </c>
      <c r="R6" s="552" t="s">
        <v>681</v>
      </c>
      <c r="S6" s="130" t="s">
        <v>56</v>
      </c>
      <c r="T6" s="168"/>
      <c r="U6" s="179"/>
      <c r="V6" s="179" t="s">
        <v>76</v>
      </c>
      <c r="W6" s="176"/>
    </row>
    <row r="7" spans="1:23" s="5" customFormat="1" ht="252.65" hidden="1" customHeight="1" x14ac:dyDescent="0.35">
      <c r="A7" s="8">
        <v>2</v>
      </c>
      <c r="B7" s="244" t="s">
        <v>45</v>
      </c>
      <c r="C7" s="432" t="s">
        <v>46</v>
      </c>
      <c r="D7" s="117" t="s">
        <v>677</v>
      </c>
      <c r="E7" s="430" t="s">
        <v>682</v>
      </c>
      <c r="F7" s="117" t="s">
        <v>49</v>
      </c>
      <c r="G7" s="8"/>
      <c r="H7" s="117" t="s">
        <v>50</v>
      </c>
      <c r="I7" s="26" t="s">
        <v>405</v>
      </c>
      <c r="J7" s="25" t="s">
        <v>52</v>
      </c>
      <c r="K7" s="117" t="s">
        <v>74</v>
      </c>
      <c r="L7" s="426" t="s">
        <v>52</v>
      </c>
      <c r="M7" s="142" t="s">
        <v>683</v>
      </c>
      <c r="N7" s="162" t="s">
        <v>680</v>
      </c>
      <c r="O7" s="120" t="s">
        <v>150</v>
      </c>
      <c r="P7" s="120" t="s">
        <v>55</v>
      </c>
      <c r="Q7" s="162" t="s">
        <v>55</v>
      </c>
      <c r="R7" s="518"/>
      <c r="S7" s="102" t="s">
        <v>56</v>
      </c>
      <c r="T7" s="169"/>
      <c r="U7" s="174"/>
      <c r="V7" s="179" t="s">
        <v>76</v>
      </c>
      <c r="W7" s="126"/>
    </row>
    <row r="8" spans="1:23" s="5" customFormat="1" ht="340.5" hidden="1" customHeight="1" x14ac:dyDescent="0.35">
      <c r="A8" s="8">
        <v>3</v>
      </c>
      <c r="B8" s="244" t="s">
        <v>45</v>
      </c>
      <c r="C8" s="432" t="s">
        <v>46</v>
      </c>
      <c r="D8" s="8" t="s">
        <v>684</v>
      </c>
      <c r="E8" s="430" t="s">
        <v>685</v>
      </c>
      <c r="F8" s="8" t="s">
        <v>262</v>
      </c>
      <c r="G8" s="8"/>
      <c r="H8" s="117" t="s">
        <v>50</v>
      </c>
      <c r="I8" s="26" t="s">
        <v>686</v>
      </c>
      <c r="J8" s="25" t="s">
        <v>52</v>
      </c>
      <c r="K8" s="117" t="s">
        <v>74</v>
      </c>
      <c r="L8" s="426" t="s">
        <v>52</v>
      </c>
      <c r="M8" s="135" t="s">
        <v>687</v>
      </c>
      <c r="N8" s="141" t="s">
        <v>52</v>
      </c>
      <c r="O8" s="38" t="s">
        <v>55</v>
      </c>
      <c r="P8" s="120" t="s">
        <v>55</v>
      </c>
      <c r="Q8" s="162" t="s">
        <v>55</v>
      </c>
      <c r="R8" s="75"/>
      <c r="S8" s="102" t="s">
        <v>56</v>
      </c>
      <c r="T8" s="169"/>
      <c r="U8" s="174"/>
      <c r="V8" s="179" t="s">
        <v>152</v>
      </c>
      <c r="W8" s="171"/>
    </row>
    <row r="9" spans="1:23" s="5" customFormat="1" ht="180" hidden="1" customHeight="1" x14ac:dyDescent="0.35">
      <c r="A9" s="8">
        <v>4</v>
      </c>
      <c r="B9" s="244" t="s">
        <v>45</v>
      </c>
      <c r="C9" s="432" t="s">
        <v>46</v>
      </c>
      <c r="D9" s="8" t="s">
        <v>684</v>
      </c>
      <c r="E9" s="430" t="s">
        <v>688</v>
      </c>
      <c r="F9" s="8" t="s">
        <v>262</v>
      </c>
      <c r="G9" s="117"/>
      <c r="H9" s="117" t="s">
        <v>50</v>
      </c>
      <c r="I9" s="26" t="s">
        <v>647</v>
      </c>
      <c r="J9" s="25" t="s">
        <v>52</v>
      </c>
      <c r="K9" s="117" t="s">
        <v>74</v>
      </c>
      <c r="L9" s="426" t="s">
        <v>52</v>
      </c>
      <c r="M9" s="135" t="s">
        <v>689</v>
      </c>
      <c r="N9" s="141" t="s">
        <v>52</v>
      </c>
      <c r="O9" s="38" t="s">
        <v>55</v>
      </c>
      <c r="P9" s="120" t="s">
        <v>55</v>
      </c>
      <c r="Q9" s="162" t="s">
        <v>55</v>
      </c>
      <c r="R9" s="428"/>
      <c r="S9" s="102" t="s">
        <v>291</v>
      </c>
      <c r="T9" s="169"/>
      <c r="U9" s="174"/>
      <c r="V9" s="179" t="s">
        <v>152</v>
      </c>
      <c r="W9" s="171"/>
    </row>
    <row r="10" spans="1:23" s="5" customFormat="1" ht="141.65" hidden="1" customHeight="1" x14ac:dyDescent="0.35">
      <c r="A10" s="8">
        <v>5</v>
      </c>
      <c r="B10" s="244" t="s">
        <v>45</v>
      </c>
      <c r="C10" s="432" t="s">
        <v>46</v>
      </c>
      <c r="D10" s="8" t="s">
        <v>684</v>
      </c>
      <c r="E10" s="430" t="s">
        <v>690</v>
      </c>
      <c r="F10" s="8" t="s">
        <v>262</v>
      </c>
      <c r="G10" s="8"/>
      <c r="H10" s="117" t="s">
        <v>88</v>
      </c>
      <c r="I10" s="26" t="s">
        <v>691</v>
      </c>
      <c r="J10" s="25" t="s">
        <v>52</v>
      </c>
      <c r="K10" s="117" t="s">
        <v>74</v>
      </c>
      <c r="L10" s="426" t="s">
        <v>52</v>
      </c>
      <c r="M10" s="135" t="s">
        <v>585</v>
      </c>
      <c r="N10" s="38" t="s">
        <v>52</v>
      </c>
      <c r="O10" s="38" t="s">
        <v>55</v>
      </c>
      <c r="P10" s="120" t="s">
        <v>55</v>
      </c>
      <c r="Q10" s="162" t="s">
        <v>55</v>
      </c>
      <c r="R10" s="38"/>
      <c r="S10" s="102" t="s">
        <v>291</v>
      </c>
      <c r="T10" s="169"/>
      <c r="U10" s="174"/>
      <c r="V10" s="179" t="s">
        <v>152</v>
      </c>
      <c r="W10" s="171"/>
    </row>
    <row r="11" spans="1:23" s="5" customFormat="1" ht="223.5" hidden="1" customHeight="1" x14ac:dyDescent="0.4">
      <c r="A11" s="8">
        <v>6</v>
      </c>
      <c r="B11" s="244" t="s">
        <v>45</v>
      </c>
      <c r="C11" s="432" t="s">
        <v>46</v>
      </c>
      <c r="D11" s="8" t="s">
        <v>684</v>
      </c>
      <c r="E11" s="430" t="s">
        <v>692</v>
      </c>
      <c r="F11" s="8" t="s">
        <v>262</v>
      </c>
      <c r="G11" s="8"/>
      <c r="H11" s="117" t="s">
        <v>88</v>
      </c>
      <c r="I11" s="26" t="s">
        <v>693</v>
      </c>
      <c r="J11" s="25" t="s">
        <v>52</v>
      </c>
      <c r="K11" s="117" t="s">
        <v>74</v>
      </c>
      <c r="L11" s="426" t="s">
        <v>52</v>
      </c>
      <c r="M11" s="135" t="s">
        <v>580</v>
      </c>
      <c r="N11" s="38" t="s">
        <v>52</v>
      </c>
      <c r="O11" s="38" t="s">
        <v>55</v>
      </c>
      <c r="P11" s="120" t="s">
        <v>55</v>
      </c>
      <c r="Q11" s="162" t="s">
        <v>55</v>
      </c>
      <c r="R11" s="431"/>
      <c r="S11" s="102" t="s">
        <v>291</v>
      </c>
      <c r="T11" s="169"/>
      <c r="U11" s="174"/>
      <c r="V11" s="179" t="s">
        <v>152</v>
      </c>
      <c r="W11" s="173"/>
    </row>
    <row r="12" spans="1:23" s="5" customFormat="1" ht="143.15" hidden="1" customHeight="1" x14ac:dyDescent="0.35">
      <c r="A12" s="8">
        <v>7</v>
      </c>
      <c r="B12" s="244" t="s">
        <v>45</v>
      </c>
      <c r="C12" s="432" t="s">
        <v>46</v>
      </c>
      <c r="D12" s="8" t="s">
        <v>684</v>
      </c>
      <c r="E12" s="99" t="s">
        <v>694</v>
      </c>
      <c r="F12" s="8" t="s">
        <v>262</v>
      </c>
      <c r="G12" s="8"/>
      <c r="H12" s="8" t="s">
        <v>71</v>
      </c>
      <c r="I12" s="26" t="s">
        <v>154</v>
      </c>
      <c r="J12" s="25" t="s">
        <v>52</v>
      </c>
      <c r="K12" s="117" t="s">
        <v>74</v>
      </c>
      <c r="L12" s="426" t="s">
        <v>52</v>
      </c>
      <c r="M12" s="135" t="s">
        <v>585</v>
      </c>
      <c r="N12" s="38" t="s">
        <v>52</v>
      </c>
      <c r="O12" s="38" t="s">
        <v>55</v>
      </c>
      <c r="P12" s="120" t="s">
        <v>55</v>
      </c>
      <c r="Q12" s="162" t="s">
        <v>55</v>
      </c>
      <c r="R12" s="75"/>
      <c r="S12" s="215" t="s">
        <v>291</v>
      </c>
      <c r="T12" s="169"/>
      <c r="U12" s="265"/>
      <c r="V12" s="179" t="s">
        <v>152</v>
      </c>
      <c r="W12" s="34"/>
    </row>
    <row r="13" spans="1:23" s="5" customFormat="1" ht="202.5" customHeight="1" thickTop="1" x14ac:dyDescent="0.35">
      <c r="A13" s="8">
        <v>8</v>
      </c>
      <c r="B13" s="244" t="s">
        <v>45</v>
      </c>
      <c r="C13" s="432" t="s">
        <v>46</v>
      </c>
      <c r="D13" s="101" t="s">
        <v>695</v>
      </c>
      <c r="E13" s="99" t="s">
        <v>696</v>
      </c>
      <c r="F13" s="130" t="s">
        <v>590</v>
      </c>
      <c r="G13" s="8"/>
      <c r="H13" s="8" t="s">
        <v>457</v>
      </c>
      <c r="I13" s="25" t="s">
        <v>104</v>
      </c>
      <c r="J13" s="25" t="s">
        <v>52</v>
      </c>
      <c r="K13" s="117" t="s">
        <v>74</v>
      </c>
      <c r="L13" s="426" t="s">
        <v>52</v>
      </c>
      <c r="M13" s="135" t="s">
        <v>697</v>
      </c>
      <c r="N13" s="75" t="s">
        <v>698</v>
      </c>
      <c r="O13" s="38" t="s">
        <v>55</v>
      </c>
      <c r="P13" s="120" t="s">
        <v>55</v>
      </c>
      <c r="Q13" s="162" t="s">
        <v>55</v>
      </c>
      <c r="R13" s="560" t="s">
        <v>52</v>
      </c>
      <c r="S13" s="38" t="s">
        <v>56</v>
      </c>
      <c r="T13" s="434" t="s">
        <v>699</v>
      </c>
      <c r="U13" s="265"/>
      <c r="V13" s="179" t="s">
        <v>152</v>
      </c>
      <c r="W13" s="435" t="s">
        <v>700</v>
      </c>
    </row>
    <row r="14" spans="1:23" s="5" customFormat="1" ht="209.5" customHeight="1" x14ac:dyDescent="0.35">
      <c r="A14" s="8">
        <v>9</v>
      </c>
      <c r="B14" s="244" t="s">
        <v>45</v>
      </c>
      <c r="C14" s="432" t="s">
        <v>46</v>
      </c>
      <c r="D14" s="101" t="s">
        <v>695</v>
      </c>
      <c r="E14" s="99" t="s">
        <v>701</v>
      </c>
      <c r="F14" s="130" t="s">
        <v>590</v>
      </c>
      <c r="G14" s="8"/>
      <c r="H14" s="8" t="s">
        <v>457</v>
      </c>
      <c r="I14" s="25" t="s">
        <v>104</v>
      </c>
      <c r="J14" s="25" t="s">
        <v>52</v>
      </c>
      <c r="K14" s="117" t="s">
        <v>74</v>
      </c>
      <c r="L14" s="426" t="s">
        <v>52</v>
      </c>
      <c r="M14" s="135" t="s">
        <v>697</v>
      </c>
      <c r="N14" s="75" t="s">
        <v>698</v>
      </c>
      <c r="O14" s="38" t="s">
        <v>55</v>
      </c>
      <c r="P14" s="120" t="s">
        <v>55</v>
      </c>
      <c r="Q14" s="162" t="s">
        <v>55</v>
      </c>
      <c r="R14" s="561"/>
      <c r="S14" s="38" t="s">
        <v>56</v>
      </c>
      <c r="T14" s="434" t="s">
        <v>699</v>
      </c>
      <c r="U14" s="174"/>
      <c r="V14" s="179" t="s">
        <v>152</v>
      </c>
      <c r="W14" s="435" t="s">
        <v>700</v>
      </c>
    </row>
    <row r="15" spans="1:23" s="5" customFormat="1" ht="213" customHeight="1" x14ac:dyDescent="0.35">
      <c r="A15" s="8">
        <v>10</v>
      </c>
      <c r="B15" s="244" t="s">
        <v>45</v>
      </c>
      <c r="C15" s="432" t="s">
        <v>46</v>
      </c>
      <c r="D15" s="101" t="s">
        <v>695</v>
      </c>
      <c r="E15" s="99" t="s">
        <v>702</v>
      </c>
      <c r="F15" s="130" t="s">
        <v>590</v>
      </c>
      <c r="G15" s="8"/>
      <c r="H15" s="8" t="s">
        <v>457</v>
      </c>
      <c r="I15" s="25" t="s">
        <v>104</v>
      </c>
      <c r="J15" s="25" t="s">
        <v>52</v>
      </c>
      <c r="K15" s="117" t="s">
        <v>74</v>
      </c>
      <c r="L15" s="426" t="s">
        <v>52</v>
      </c>
      <c r="M15" s="135" t="s">
        <v>697</v>
      </c>
      <c r="N15" s="75" t="s">
        <v>698</v>
      </c>
      <c r="O15" s="38" t="s">
        <v>55</v>
      </c>
      <c r="P15" s="120" t="s">
        <v>55</v>
      </c>
      <c r="Q15" s="162" t="s">
        <v>55</v>
      </c>
      <c r="R15" s="561"/>
      <c r="S15" s="38" t="s">
        <v>291</v>
      </c>
      <c r="T15" s="434" t="s">
        <v>699</v>
      </c>
      <c r="U15" s="174"/>
      <c r="V15" s="179" t="s">
        <v>152</v>
      </c>
      <c r="W15" s="435" t="s">
        <v>700</v>
      </c>
    </row>
    <row r="16" spans="1:23" s="5" customFormat="1" ht="206.15" customHeight="1" x14ac:dyDescent="0.35">
      <c r="A16" s="8">
        <v>11</v>
      </c>
      <c r="B16" s="244" t="s">
        <v>45</v>
      </c>
      <c r="C16" s="432" t="s">
        <v>46</v>
      </c>
      <c r="D16" s="101" t="s">
        <v>695</v>
      </c>
      <c r="E16" s="99" t="s">
        <v>703</v>
      </c>
      <c r="F16" s="130" t="s">
        <v>590</v>
      </c>
      <c r="G16" s="8"/>
      <c r="H16" s="8" t="s">
        <v>457</v>
      </c>
      <c r="I16" s="25" t="s">
        <v>104</v>
      </c>
      <c r="J16" s="25" t="s">
        <v>52</v>
      </c>
      <c r="K16" s="117" t="s">
        <v>74</v>
      </c>
      <c r="L16" s="426" t="s">
        <v>52</v>
      </c>
      <c r="M16" s="135" t="s">
        <v>697</v>
      </c>
      <c r="N16" s="75" t="s">
        <v>698</v>
      </c>
      <c r="O16" s="38" t="s">
        <v>55</v>
      </c>
      <c r="P16" s="120" t="s">
        <v>55</v>
      </c>
      <c r="Q16" s="162" t="s">
        <v>55</v>
      </c>
      <c r="R16" s="561"/>
      <c r="S16" s="38" t="s">
        <v>291</v>
      </c>
      <c r="T16" s="434" t="s">
        <v>699</v>
      </c>
      <c r="U16" s="174"/>
      <c r="V16" s="179" t="s">
        <v>152</v>
      </c>
      <c r="W16" s="435" t="s">
        <v>700</v>
      </c>
    </row>
    <row r="17" spans="1:23" s="5" customFormat="1" ht="198" customHeight="1" x14ac:dyDescent="0.35">
      <c r="A17" s="8">
        <v>12</v>
      </c>
      <c r="B17" s="244" t="s">
        <v>45</v>
      </c>
      <c r="C17" s="432" t="s">
        <v>46</v>
      </c>
      <c r="D17" s="101" t="s">
        <v>695</v>
      </c>
      <c r="E17" s="99" t="s">
        <v>704</v>
      </c>
      <c r="F17" s="130" t="s">
        <v>590</v>
      </c>
      <c r="G17" s="8"/>
      <c r="H17" s="8" t="s">
        <v>457</v>
      </c>
      <c r="I17" s="26" t="s">
        <v>296</v>
      </c>
      <c r="J17" s="25" t="s">
        <v>52</v>
      </c>
      <c r="K17" s="117" t="s">
        <v>74</v>
      </c>
      <c r="L17" s="426" t="s">
        <v>52</v>
      </c>
      <c r="M17" s="135" t="s">
        <v>697</v>
      </c>
      <c r="N17" s="75" t="s">
        <v>698</v>
      </c>
      <c r="O17" s="38" t="s">
        <v>55</v>
      </c>
      <c r="P17" s="120" t="s">
        <v>55</v>
      </c>
      <c r="Q17" s="162" t="s">
        <v>55</v>
      </c>
      <c r="R17" s="561"/>
      <c r="S17" s="38" t="s">
        <v>291</v>
      </c>
      <c r="T17" s="434" t="s">
        <v>699</v>
      </c>
      <c r="U17" s="174"/>
      <c r="V17" s="179" t="s">
        <v>152</v>
      </c>
      <c r="W17" s="435" t="s">
        <v>705</v>
      </c>
    </row>
    <row r="18" spans="1:23" s="3" customFormat="1" ht="196" customHeight="1" x14ac:dyDescent="0.35">
      <c r="A18" s="8">
        <v>13</v>
      </c>
      <c r="B18" s="244" t="s">
        <v>45</v>
      </c>
      <c r="C18" s="432" t="s">
        <v>46</v>
      </c>
      <c r="D18" s="101" t="s">
        <v>695</v>
      </c>
      <c r="E18" s="8" t="s">
        <v>706</v>
      </c>
      <c r="F18" s="130" t="s">
        <v>590</v>
      </c>
      <c r="G18" s="8"/>
      <c r="H18" s="8" t="s">
        <v>457</v>
      </c>
      <c r="I18" s="26" t="s">
        <v>296</v>
      </c>
      <c r="J18" s="25" t="s">
        <v>52</v>
      </c>
      <c r="K18" s="117" t="s">
        <v>74</v>
      </c>
      <c r="L18" s="426" t="s">
        <v>52</v>
      </c>
      <c r="M18" s="135" t="s">
        <v>707</v>
      </c>
      <c r="N18" s="75" t="s">
        <v>698</v>
      </c>
      <c r="O18" s="38" t="s">
        <v>55</v>
      </c>
      <c r="P18" s="120" t="s">
        <v>55</v>
      </c>
      <c r="Q18" s="162" t="s">
        <v>55</v>
      </c>
      <c r="R18" s="562"/>
      <c r="S18" s="38" t="s">
        <v>291</v>
      </c>
      <c r="T18" s="434" t="s">
        <v>699</v>
      </c>
      <c r="U18" s="174"/>
      <c r="V18" s="179" t="s">
        <v>152</v>
      </c>
      <c r="W18" s="435" t="s">
        <v>705</v>
      </c>
    </row>
    <row r="19" spans="1:23" s="3" customFormat="1" ht="223.5" customHeight="1" x14ac:dyDescent="0.35">
      <c r="A19" s="8"/>
      <c r="B19" s="13"/>
      <c r="C19" s="144"/>
      <c r="D19" s="8"/>
      <c r="E19" s="8"/>
      <c r="F19" s="8"/>
      <c r="G19" s="8"/>
      <c r="H19" s="8"/>
      <c r="I19" s="26"/>
      <c r="J19" s="26"/>
      <c r="K19" s="8"/>
      <c r="L19" s="8"/>
      <c r="M19" s="9"/>
      <c r="N19" s="9"/>
      <c r="O19" s="77"/>
      <c r="P19" s="120"/>
      <c r="Q19" s="141"/>
      <c r="R19" s="38"/>
      <c r="S19" s="130"/>
      <c r="T19" s="169"/>
      <c r="U19" s="174"/>
      <c r="V19" s="174"/>
      <c r="W19" s="34"/>
    </row>
    <row r="20" spans="1:23" s="3" customFormat="1" ht="79.5" customHeight="1" x14ac:dyDescent="0.35">
      <c r="A20" s="8"/>
      <c r="B20" s="12"/>
      <c r="C20" s="144"/>
      <c r="D20" s="8"/>
      <c r="E20" s="8"/>
      <c r="F20" s="8"/>
      <c r="G20" s="8"/>
      <c r="H20" s="8"/>
      <c r="I20" s="26"/>
      <c r="J20" s="27"/>
      <c r="K20" s="8"/>
      <c r="L20" s="8"/>
      <c r="M20" s="9"/>
      <c r="N20" s="9"/>
      <c r="O20" s="8"/>
      <c r="P20" s="8"/>
      <c r="Q20" s="132"/>
      <c r="R20" s="38"/>
      <c r="S20" s="102"/>
      <c r="T20" s="169"/>
      <c r="U20" s="174"/>
      <c r="V20" s="174"/>
      <c r="W20" s="34"/>
    </row>
    <row r="21" spans="1:23" s="3" customFormat="1" ht="79.5" customHeight="1" x14ac:dyDescent="0.35">
      <c r="A21" s="8"/>
      <c r="B21" s="12"/>
      <c r="C21" s="144"/>
      <c r="D21" s="8"/>
      <c r="E21" s="8"/>
      <c r="F21" s="8"/>
      <c r="G21" s="8"/>
      <c r="H21" s="8"/>
      <c r="I21" s="26"/>
      <c r="J21" s="26"/>
      <c r="K21" s="8"/>
      <c r="L21" s="8"/>
      <c r="M21" s="9"/>
      <c r="N21" s="9"/>
      <c r="O21" s="8"/>
      <c r="P21" s="8"/>
      <c r="Q21" s="132"/>
      <c r="R21" s="38"/>
      <c r="S21" s="102"/>
      <c r="T21" s="169"/>
      <c r="U21" s="174"/>
      <c r="V21" s="174"/>
      <c r="W21" s="34"/>
    </row>
    <row r="22" spans="1:23" s="3" customFormat="1" ht="79.5" customHeight="1" x14ac:dyDescent="0.35">
      <c r="A22" s="8"/>
      <c r="B22" s="12"/>
      <c r="C22" s="144"/>
      <c r="D22" s="8"/>
      <c r="E22" s="8"/>
      <c r="F22" s="8"/>
      <c r="G22" s="8"/>
      <c r="H22" s="8"/>
      <c r="I22" s="26"/>
      <c r="J22" s="26"/>
      <c r="K22" s="8"/>
      <c r="L22" s="8"/>
      <c r="M22" s="9"/>
      <c r="N22" s="9"/>
      <c r="O22" s="8"/>
      <c r="P22" s="8"/>
      <c r="Q22" s="132"/>
      <c r="R22" s="38"/>
      <c r="S22" s="102"/>
      <c r="T22" s="169"/>
      <c r="U22" s="174"/>
      <c r="V22" s="174"/>
      <c r="W22" s="34"/>
    </row>
    <row r="23" spans="1:23" s="3" customFormat="1" ht="79.5" customHeight="1" x14ac:dyDescent="0.35">
      <c r="A23" s="8"/>
      <c r="B23" s="12"/>
      <c r="C23" s="144"/>
      <c r="D23" s="8"/>
      <c r="E23" s="8"/>
      <c r="F23" s="8"/>
      <c r="G23" s="8"/>
      <c r="H23" s="8"/>
      <c r="I23" s="26"/>
      <c r="J23" s="26"/>
      <c r="K23" s="8"/>
      <c r="L23" s="8"/>
      <c r="M23" s="9"/>
      <c r="N23" s="9"/>
      <c r="O23" s="8"/>
      <c r="P23" s="8"/>
      <c r="Q23" s="132"/>
      <c r="R23" s="38"/>
      <c r="S23" s="102"/>
      <c r="T23" s="169"/>
      <c r="U23" s="174"/>
      <c r="V23" s="174"/>
      <c r="W23" s="34"/>
    </row>
    <row r="24" spans="1:23" s="3" customFormat="1" ht="79.5" customHeight="1" x14ac:dyDescent="0.35">
      <c r="A24" s="8"/>
      <c r="B24" s="12"/>
      <c r="C24" s="144"/>
      <c r="D24" s="8"/>
      <c r="E24" s="8"/>
      <c r="F24" s="8"/>
      <c r="G24" s="8"/>
      <c r="H24" s="8"/>
      <c r="I24" s="26"/>
      <c r="J24" s="26"/>
      <c r="K24" s="8"/>
      <c r="L24" s="8"/>
      <c r="M24" s="9"/>
      <c r="N24" s="9"/>
      <c r="O24" s="8"/>
      <c r="P24" s="8"/>
      <c r="Q24" s="132"/>
      <c r="R24" s="38"/>
      <c r="S24" s="102"/>
      <c r="T24" s="169"/>
      <c r="U24" s="174"/>
      <c r="V24" s="174"/>
      <c r="W24" s="34"/>
    </row>
    <row r="25" spans="1:23" s="3" customFormat="1" ht="79.5" customHeight="1" x14ac:dyDescent="0.35">
      <c r="A25" s="8"/>
      <c r="B25" s="12"/>
      <c r="C25" s="144"/>
      <c r="D25" s="8"/>
      <c r="E25" s="8"/>
      <c r="F25" s="8"/>
      <c r="G25" s="8"/>
      <c r="H25" s="8"/>
      <c r="I25" s="26"/>
      <c r="J25" s="26"/>
      <c r="K25" s="8"/>
      <c r="L25" s="8"/>
      <c r="M25" s="9"/>
      <c r="N25" s="9"/>
      <c r="O25" s="80"/>
      <c r="P25" s="80"/>
      <c r="Q25" s="190"/>
      <c r="R25" s="38"/>
      <c r="S25" s="102"/>
      <c r="T25" s="169"/>
      <c r="U25" s="174"/>
      <c r="V25" s="174"/>
      <c r="W25" s="34"/>
    </row>
    <row r="26" spans="1:23" s="3" customFormat="1" ht="79.5" customHeight="1" x14ac:dyDescent="0.35">
      <c r="A26" s="8"/>
      <c r="B26" s="12"/>
      <c r="C26" s="144"/>
      <c r="D26" s="8"/>
      <c r="E26" s="8"/>
      <c r="F26" s="8"/>
      <c r="G26" s="8"/>
      <c r="H26" s="8"/>
      <c r="I26" s="26"/>
      <c r="J26" s="26"/>
      <c r="K26" s="8"/>
      <c r="L26" s="8"/>
      <c r="M26" s="9"/>
      <c r="N26" s="138"/>
      <c r="O26" s="38"/>
      <c r="P26" s="38"/>
      <c r="Q26" s="136"/>
      <c r="R26" s="38"/>
      <c r="S26" s="102"/>
      <c r="T26" s="169"/>
      <c r="U26" s="174"/>
      <c r="V26" s="174"/>
      <c r="W26" s="34"/>
    </row>
    <row r="27" spans="1:23" ht="79.5" customHeight="1" x14ac:dyDescent="0.4">
      <c r="A27" s="19"/>
      <c r="B27" s="20"/>
      <c r="C27" s="144"/>
      <c r="D27" s="19"/>
      <c r="E27" s="19"/>
      <c r="F27" s="19"/>
      <c r="G27" s="19"/>
      <c r="H27" s="19"/>
      <c r="I27" s="28"/>
      <c r="J27" s="28"/>
      <c r="K27" s="19"/>
      <c r="L27" s="19"/>
      <c r="M27" s="21"/>
      <c r="N27" s="138"/>
      <c r="O27" s="38"/>
      <c r="P27" s="38"/>
      <c r="Q27" s="136"/>
      <c r="R27" s="38"/>
      <c r="S27" s="178"/>
      <c r="T27" s="170"/>
      <c r="U27" s="174"/>
      <c r="V27" s="175"/>
      <c r="W27" s="34"/>
    </row>
    <row r="28" spans="1:23" ht="16" x14ac:dyDescent="0.35">
      <c r="O28" s="79"/>
      <c r="P28" s="79"/>
      <c r="Q28" s="79"/>
      <c r="R28" s="79"/>
      <c r="U28" s="235"/>
    </row>
    <row r="29" spans="1:23" ht="16" x14ac:dyDescent="0.35">
      <c r="O29" s="79"/>
      <c r="P29" s="79"/>
      <c r="Q29" s="79"/>
      <c r="R29" s="79"/>
      <c r="U29" s="235"/>
    </row>
    <row r="30" spans="1:23" ht="16" x14ac:dyDescent="0.35">
      <c r="O30" s="79"/>
      <c r="P30" s="79"/>
      <c r="Q30" s="79"/>
      <c r="R30" s="79"/>
      <c r="U30" s="235"/>
    </row>
    <row r="31" spans="1:23" ht="16" x14ac:dyDescent="0.35">
      <c r="O31" s="79"/>
      <c r="P31" s="79"/>
      <c r="Q31" s="79"/>
      <c r="R31" s="79"/>
      <c r="U31" s="235"/>
    </row>
    <row r="32" spans="1:23" ht="16" x14ac:dyDescent="0.35">
      <c r="O32" s="79"/>
      <c r="P32" s="79"/>
      <c r="Q32" s="79"/>
      <c r="R32" s="79"/>
      <c r="U32" s="235"/>
    </row>
    <row r="33" spans="15:21" ht="16" x14ac:dyDescent="0.35">
      <c r="O33" s="79"/>
      <c r="P33" s="79"/>
      <c r="Q33" s="79"/>
      <c r="R33" s="79"/>
      <c r="U33" s="235"/>
    </row>
    <row r="34" spans="15:21" ht="16" x14ac:dyDescent="0.35">
      <c r="O34" s="79"/>
      <c r="P34" s="79"/>
      <c r="Q34" s="79"/>
      <c r="R34" s="79"/>
      <c r="U34" s="235"/>
    </row>
    <row r="35" spans="15:21" ht="16" x14ac:dyDescent="0.35">
      <c r="O35" s="79"/>
      <c r="P35" s="79"/>
      <c r="Q35" s="79"/>
      <c r="R35" s="79"/>
      <c r="U35" s="235"/>
    </row>
    <row r="36" spans="15:21" ht="16" x14ac:dyDescent="0.35">
      <c r="O36" s="79"/>
      <c r="P36" s="79"/>
      <c r="Q36" s="79"/>
      <c r="R36" s="79"/>
      <c r="U36" s="235"/>
    </row>
    <row r="37" spans="15:21" ht="16" x14ac:dyDescent="0.35">
      <c r="O37" s="79"/>
      <c r="P37" s="79"/>
      <c r="Q37" s="79"/>
      <c r="R37" s="79"/>
      <c r="U37" s="235"/>
    </row>
    <row r="38" spans="15:21" ht="16" x14ac:dyDescent="0.35">
      <c r="O38" s="79"/>
      <c r="P38" s="79"/>
      <c r="Q38" s="79"/>
      <c r="R38" s="79"/>
      <c r="U38" s="235"/>
    </row>
    <row r="39" spans="15:21" ht="16" x14ac:dyDescent="0.35">
      <c r="O39" s="79"/>
      <c r="P39" s="79"/>
      <c r="Q39" s="79"/>
      <c r="R39" s="79"/>
      <c r="U39" s="235"/>
    </row>
    <row r="40" spans="15:21" ht="16" x14ac:dyDescent="0.35">
      <c r="O40" s="79"/>
      <c r="P40" s="79"/>
      <c r="Q40" s="79"/>
      <c r="R40" s="79"/>
      <c r="U40" s="235"/>
    </row>
    <row r="41" spans="15:21" ht="16" x14ac:dyDescent="0.35">
      <c r="O41" s="79"/>
      <c r="P41" s="79"/>
      <c r="Q41" s="79"/>
      <c r="R41" s="79"/>
      <c r="U41" s="235"/>
    </row>
    <row r="42" spans="15:21" ht="16" x14ac:dyDescent="0.35">
      <c r="O42" s="79"/>
      <c r="P42" s="79"/>
      <c r="Q42" s="79"/>
      <c r="R42" s="79"/>
      <c r="U42" s="235"/>
    </row>
    <row r="43" spans="15:21" ht="16" x14ac:dyDescent="0.35">
      <c r="O43" s="79"/>
      <c r="P43" s="79"/>
      <c r="Q43" s="79"/>
      <c r="R43" s="79"/>
      <c r="U43" s="235"/>
    </row>
    <row r="44" spans="15:21" ht="16" x14ac:dyDescent="0.35">
      <c r="O44" s="79"/>
      <c r="P44" s="79"/>
      <c r="Q44" s="79"/>
      <c r="R44" s="79"/>
      <c r="U44" s="235"/>
    </row>
    <row r="45" spans="15:21" ht="16" x14ac:dyDescent="0.35">
      <c r="O45" s="79"/>
      <c r="P45" s="79"/>
      <c r="Q45" s="79"/>
      <c r="R45" s="79"/>
      <c r="U45" s="235"/>
    </row>
    <row r="46" spans="15:21" ht="16" x14ac:dyDescent="0.35">
      <c r="O46" s="79"/>
      <c r="P46" s="79"/>
      <c r="Q46" s="79"/>
      <c r="R46" s="79"/>
      <c r="U46" s="235"/>
    </row>
    <row r="47" spans="15:21" ht="16" x14ac:dyDescent="0.35">
      <c r="O47" s="79"/>
      <c r="P47" s="79"/>
      <c r="Q47" s="79"/>
      <c r="R47" s="79"/>
      <c r="U47" s="235"/>
    </row>
    <row r="48" spans="15:21" ht="16" x14ac:dyDescent="0.35">
      <c r="O48" s="79"/>
      <c r="P48" s="79"/>
      <c r="Q48" s="79"/>
      <c r="R48" s="79"/>
      <c r="U48" s="235"/>
    </row>
    <row r="49" spans="15:21" ht="16" x14ac:dyDescent="0.35">
      <c r="O49" s="79"/>
      <c r="P49" s="79"/>
      <c r="Q49" s="79"/>
      <c r="R49" s="79"/>
      <c r="U49" s="235"/>
    </row>
    <row r="50" spans="15:21" ht="16" x14ac:dyDescent="0.35">
      <c r="O50" s="79"/>
      <c r="P50" s="79"/>
      <c r="Q50" s="79"/>
      <c r="R50" s="79"/>
      <c r="U50" s="235"/>
    </row>
    <row r="51" spans="15:21" ht="16" x14ac:dyDescent="0.35">
      <c r="O51" s="79"/>
      <c r="P51" s="79"/>
      <c r="Q51" s="79"/>
      <c r="R51" s="79"/>
      <c r="U51" s="235"/>
    </row>
    <row r="52" spans="15:21" ht="16" x14ac:dyDescent="0.35">
      <c r="O52" s="79"/>
      <c r="P52" s="79"/>
      <c r="Q52" s="79"/>
      <c r="R52" s="79"/>
      <c r="U52" s="235"/>
    </row>
    <row r="53" spans="15:21" ht="16" x14ac:dyDescent="0.35">
      <c r="O53" s="79"/>
      <c r="P53" s="79"/>
      <c r="Q53" s="79"/>
      <c r="R53" s="79"/>
      <c r="U53" s="235"/>
    </row>
    <row r="54" spans="15:21" ht="16" x14ac:dyDescent="0.35">
      <c r="O54" s="79"/>
      <c r="P54" s="79"/>
      <c r="Q54" s="79"/>
      <c r="R54" s="79"/>
      <c r="U54" s="235"/>
    </row>
    <row r="55" spans="15:21" ht="16" x14ac:dyDescent="0.35">
      <c r="O55" s="79"/>
      <c r="P55" s="79"/>
      <c r="Q55" s="79"/>
      <c r="R55" s="79"/>
      <c r="U55" s="235"/>
    </row>
    <row r="56" spans="15:21" ht="16" x14ac:dyDescent="0.35">
      <c r="O56" s="79"/>
      <c r="P56" s="79"/>
      <c r="Q56" s="79"/>
      <c r="R56" s="79"/>
      <c r="U56" s="235"/>
    </row>
    <row r="57" spans="15:21" ht="16" x14ac:dyDescent="0.35">
      <c r="O57" s="79"/>
      <c r="P57" s="79"/>
      <c r="Q57" s="79"/>
      <c r="R57" s="79"/>
      <c r="U57" s="235"/>
    </row>
    <row r="58" spans="15:21" ht="16" x14ac:dyDescent="0.35">
      <c r="O58" s="79"/>
      <c r="P58" s="79"/>
      <c r="Q58" s="79"/>
      <c r="R58" s="79"/>
      <c r="U58" s="235"/>
    </row>
    <row r="59" spans="15:21" ht="16" x14ac:dyDescent="0.35">
      <c r="O59" s="79"/>
      <c r="P59" s="79"/>
      <c r="Q59" s="79"/>
      <c r="R59" s="79"/>
      <c r="U59" s="235"/>
    </row>
    <row r="60" spans="15:21" ht="16" x14ac:dyDescent="0.35">
      <c r="O60" s="79"/>
      <c r="P60" s="79"/>
      <c r="Q60" s="79"/>
      <c r="R60" s="79"/>
      <c r="U60" s="235"/>
    </row>
    <row r="61" spans="15:21" ht="16" x14ac:dyDescent="0.35">
      <c r="O61" s="79"/>
      <c r="P61" s="79"/>
      <c r="Q61" s="79"/>
      <c r="R61" s="79"/>
      <c r="U61" s="235"/>
    </row>
    <row r="62" spans="15:21" ht="16" x14ac:dyDescent="0.35">
      <c r="O62" s="79"/>
      <c r="P62" s="79"/>
      <c r="Q62" s="79"/>
      <c r="R62" s="79"/>
      <c r="U62" s="235"/>
    </row>
    <row r="63" spans="15:21" ht="16" x14ac:dyDescent="0.35">
      <c r="O63" s="79"/>
      <c r="P63" s="79"/>
      <c r="Q63" s="79"/>
      <c r="R63" s="79"/>
      <c r="U63" s="235"/>
    </row>
    <row r="64" spans="15:21" ht="16" x14ac:dyDescent="0.35">
      <c r="O64" s="79"/>
      <c r="P64" s="79"/>
      <c r="Q64" s="79"/>
      <c r="R64" s="79"/>
      <c r="U64" s="235"/>
    </row>
    <row r="65" spans="15:21" ht="16" x14ac:dyDescent="0.35">
      <c r="O65" s="79"/>
      <c r="P65" s="79"/>
      <c r="Q65" s="79"/>
      <c r="R65" s="79"/>
      <c r="U65" s="235"/>
    </row>
    <row r="66" spans="15:21" ht="16" x14ac:dyDescent="0.35">
      <c r="O66" s="79"/>
      <c r="P66" s="79"/>
      <c r="Q66" s="79"/>
      <c r="R66" s="79"/>
      <c r="U66" s="235"/>
    </row>
    <row r="67" spans="15:21" ht="16" x14ac:dyDescent="0.35">
      <c r="O67" s="79"/>
      <c r="P67" s="79"/>
      <c r="Q67" s="79"/>
      <c r="R67" s="79"/>
      <c r="U67" s="235"/>
    </row>
    <row r="68" spans="15:21" ht="16" x14ac:dyDescent="0.35">
      <c r="O68" s="79"/>
      <c r="P68" s="79"/>
      <c r="Q68" s="79"/>
      <c r="R68" s="79"/>
      <c r="U68" s="235"/>
    </row>
    <row r="69" spans="15:21" ht="16" x14ac:dyDescent="0.35">
      <c r="O69" s="79"/>
      <c r="P69" s="79"/>
      <c r="Q69" s="79"/>
      <c r="R69" s="79"/>
      <c r="U69" s="235"/>
    </row>
    <row r="70" spans="15:21" ht="16" x14ac:dyDescent="0.35">
      <c r="O70" s="79"/>
      <c r="P70" s="79"/>
      <c r="Q70" s="79"/>
      <c r="R70" s="79"/>
      <c r="U70" s="235"/>
    </row>
    <row r="71" spans="15:21" ht="16" x14ac:dyDescent="0.35">
      <c r="O71" s="79"/>
      <c r="P71" s="79"/>
      <c r="Q71" s="79"/>
      <c r="R71" s="79"/>
      <c r="U71" s="235"/>
    </row>
    <row r="72" spans="15:21" ht="16" x14ac:dyDescent="0.35">
      <c r="O72" s="79"/>
      <c r="P72" s="79"/>
      <c r="Q72" s="79"/>
      <c r="R72" s="79"/>
      <c r="U72" s="235"/>
    </row>
    <row r="73" spans="15:21" ht="16" x14ac:dyDescent="0.35">
      <c r="O73" s="79"/>
      <c r="P73" s="79"/>
      <c r="Q73" s="79"/>
      <c r="R73" s="79"/>
      <c r="U73" s="235"/>
    </row>
    <row r="74" spans="15:21" ht="16" x14ac:dyDescent="0.35">
      <c r="O74" s="79"/>
      <c r="P74" s="79"/>
      <c r="Q74" s="79"/>
      <c r="R74" s="79"/>
      <c r="U74" s="235"/>
    </row>
    <row r="75" spans="15:21" ht="16" x14ac:dyDescent="0.35">
      <c r="O75" s="79"/>
      <c r="P75" s="79"/>
      <c r="Q75" s="79"/>
      <c r="R75" s="79"/>
      <c r="U75" s="235"/>
    </row>
    <row r="76" spans="15:21" x14ac:dyDescent="0.35">
      <c r="U76" s="235"/>
    </row>
    <row r="77" spans="15:21" x14ac:dyDescent="0.35">
      <c r="U77" s="235"/>
    </row>
    <row r="78" spans="15:21" x14ac:dyDescent="0.35">
      <c r="U78" s="235"/>
    </row>
    <row r="79" spans="15:21" x14ac:dyDescent="0.35">
      <c r="U79" s="235"/>
    </row>
    <row r="80" spans="15:21" x14ac:dyDescent="0.35">
      <c r="U80" s="235"/>
    </row>
    <row r="81" spans="21:21" x14ac:dyDescent="0.35">
      <c r="U81" s="235"/>
    </row>
    <row r="82" spans="21:21" x14ac:dyDescent="0.35">
      <c r="U82" s="235"/>
    </row>
    <row r="83" spans="21:21" x14ac:dyDescent="0.35">
      <c r="U83" s="235"/>
    </row>
    <row r="84" spans="21:21" x14ac:dyDescent="0.35">
      <c r="U84" s="235"/>
    </row>
    <row r="85" spans="21:21" x14ac:dyDescent="0.35">
      <c r="U85" s="235"/>
    </row>
    <row r="86" spans="21:21" x14ac:dyDescent="0.35">
      <c r="U86" s="235"/>
    </row>
    <row r="87" spans="21:21" x14ac:dyDescent="0.35">
      <c r="U87" s="235"/>
    </row>
    <row r="88" spans="21:21" x14ac:dyDescent="0.35">
      <c r="U88" s="235"/>
    </row>
    <row r="89" spans="21:21" x14ac:dyDescent="0.35">
      <c r="U89" s="235"/>
    </row>
    <row r="90" spans="21:21" x14ac:dyDescent="0.35">
      <c r="U90" s="235"/>
    </row>
    <row r="91" spans="21:21" x14ac:dyDescent="0.35">
      <c r="U91" s="235"/>
    </row>
    <row r="92" spans="21:21" x14ac:dyDescent="0.35">
      <c r="U92" s="235"/>
    </row>
    <row r="93" spans="21:21" x14ac:dyDescent="0.35">
      <c r="U93" s="235"/>
    </row>
    <row r="94" spans="21:21" x14ac:dyDescent="0.35">
      <c r="U94" s="235"/>
    </row>
    <row r="95" spans="21:21" x14ac:dyDescent="0.35">
      <c r="U95" s="235"/>
    </row>
    <row r="96" spans="21:21" x14ac:dyDescent="0.35">
      <c r="U96" s="235"/>
    </row>
    <row r="97" spans="21:21" x14ac:dyDescent="0.35">
      <c r="U97" s="235"/>
    </row>
    <row r="98" spans="21:21" x14ac:dyDescent="0.35">
      <c r="U98" s="235"/>
    </row>
    <row r="99" spans="21:21" x14ac:dyDescent="0.35">
      <c r="U99" s="235"/>
    </row>
    <row r="100" spans="21:21" x14ac:dyDescent="0.35">
      <c r="U100" s="235"/>
    </row>
    <row r="101" spans="21:21" x14ac:dyDescent="0.35">
      <c r="U101" s="235"/>
    </row>
    <row r="102" spans="21:21" x14ac:dyDescent="0.35">
      <c r="U102" s="235"/>
    </row>
    <row r="103" spans="21:21" x14ac:dyDescent="0.35">
      <c r="U103" s="235"/>
    </row>
    <row r="104" spans="21:21" x14ac:dyDescent="0.35">
      <c r="U104" s="235"/>
    </row>
    <row r="105" spans="21:21" x14ac:dyDescent="0.35">
      <c r="U105" s="235"/>
    </row>
    <row r="106" spans="21:21" x14ac:dyDescent="0.35">
      <c r="U106" s="235"/>
    </row>
    <row r="107" spans="21:21" x14ac:dyDescent="0.35">
      <c r="U107" s="235"/>
    </row>
    <row r="108" spans="21:21" x14ac:dyDescent="0.35">
      <c r="U108" s="235"/>
    </row>
    <row r="109" spans="21:21" x14ac:dyDescent="0.35">
      <c r="U109" s="235"/>
    </row>
    <row r="110" spans="21:21" x14ac:dyDescent="0.35">
      <c r="U110" s="235"/>
    </row>
    <row r="111" spans="21:21" x14ac:dyDescent="0.35">
      <c r="U111" s="235"/>
    </row>
    <row r="112" spans="21:21" x14ac:dyDescent="0.35">
      <c r="U112" s="235"/>
    </row>
    <row r="113" spans="21:21" x14ac:dyDescent="0.35">
      <c r="U113" s="235"/>
    </row>
    <row r="114" spans="21:21" x14ac:dyDescent="0.35">
      <c r="U114" s="235"/>
    </row>
    <row r="115" spans="21:21" x14ac:dyDescent="0.35">
      <c r="U115" s="235"/>
    </row>
    <row r="116" spans="21:21" x14ac:dyDescent="0.35">
      <c r="U116" s="235"/>
    </row>
    <row r="117" spans="21:21" x14ac:dyDescent="0.35">
      <c r="U117" s="235"/>
    </row>
    <row r="118" spans="21:21" x14ac:dyDescent="0.35">
      <c r="U118" s="235"/>
    </row>
    <row r="119" spans="21:21" x14ac:dyDescent="0.35">
      <c r="U119" s="235"/>
    </row>
    <row r="120" spans="21:21" x14ac:dyDescent="0.35">
      <c r="U120" s="235"/>
    </row>
    <row r="121" spans="21:21" x14ac:dyDescent="0.35">
      <c r="U121" s="235"/>
    </row>
    <row r="122" spans="21:21" x14ac:dyDescent="0.35">
      <c r="U122" s="235"/>
    </row>
    <row r="123" spans="21:21" x14ac:dyDescent="0.35">
      <c r="U123" s="235"/>
    </row>
    <row r="124" spans="21:21" x14ac:dyDescent="0.35">
      <c r="U124" s="235"/>
    </row>
    <row r="125" spans="21:21" x14ac:dyDescent="0.35">
      <c r="U125" s="235"/>
    </row>
    <row r="126" spans="21:21" x14ac:dyDescent="0.35">
      <c r="U126" s="235"/>
    </row>
    <row r="127" spans="21:21" x14ac:dyDescent="0.35">
      <c r="U127" s="235"/>
    </row>
    <row r="128" spans="21:21" x14ac:dyDescent="0.35">
      <c r="U128" s="235"/>
    </row>
    <row r="129" spans="21:21" x14ac:dyDescent="0.35">
      <c r="U129" s="235"/>
    </row>
    <row r="130" spans="21:21" x14ac:dyDescent="0.35">
      <c r="U130" s="235"/>
    </row>
    <row r="131" spans="21:21" x14ac:dyDescent="0.35">
      <c r="U131" s="235"/>
    </row>
    <row r="132" spans="21:21" x14ac:dyDescent="0.35">
      <c r="U132" s="235"/>
    </row>
    <row r="133" spans="21:21" x14ac:dyDescent="0.35">
      <c r="U133" s="235"/>
    </row>
    <row r="134" spans="21:21" x14ac:dyDescent="0.35">
      <c r="U134" s="235"/>
    </row>
    <row r="135" spans="21:21" x14ac:dyDescent="0.35">
      <c r="U135" s="235"/>
    </row>
    <row r="136" spans="21:21" x14ac:dyDescent="0.35">
      <c r="U136" s="235"/>
    </row>
    <row r="137" spans="21:21" x14ac:dyDescent="0.35">
      <c r="U137" s="235"/>
    </row>
    <row r="138" spans="21:21" x14ac:dyDescent="0.35">
      <c r="U138" s="235"/>
    </row>
    <row r="139" spans="21:21" x14ac:dyDescent="0.35">
      <c r="U139" s="235"/>
    </row>
    <row r="140" spans="21:21" x14ac:dyDescent="0.35">
      <c r="U140" s="235"/>
    </row>
    <row r="141" spans="21:21" x14ac:dyDescent="0.35">
      <c r="U141" s="235"/>
    </row>
    <row r="142" spans="21:21" x14ac:dyDescent="0.35">
      <c r="U142" s="235"/>
    </row>
    <row r="143" spans="21:21" x14ac:dyDescent="0.35">
      <c r="U143" s="235"/>
    </row>
    <row r="144" spans="21:21" x14ac:dyDescent="0.35">
      <c r="U144" s="235"/>
    </row>
    <row r="145" spans="21:21" x14ac:dyDescent="0.35">
      <c r="U145" s="235"/>
    </row>
    <row r="146" spans="21:21" x14ac:dyDescent="0.35">
      <c r="U146" s="235"/>
    </row>
    <row r="147" spans="21:21" x14ac:dyDescent="0.35">
      <c r="U147" s="235"/>
    </row>
    <row r="148" spans="21:21" x14ac:dyDescent="0.35">
      <c r="U148" s="235"/>
    </row>
    <row r="149" spans="21:21" x14ac:dyDescent="0.35">
      <c r="U149" s="235"/>
    </row>
    <row r="150" spans="21:21" x14ac:dyDescent="0.35">
      <c r="U150" s="235"/>
    </row>
    <row r="151" spans="21:21" x14ac:dyDescent="0.35">
      <c r="U151" s="235"/>
    </row>
    <row r="152" spans="21:21" x14ac:dyDescent="0.35">
      <c r="U152" s="235"/>
    </row>
    <row r="153" spans="21:21" x14ac:dyDescent="0.35">
      <c r="U153" s="235"/>
    </row>
    <row r="154" spans="21:21" x14ac:dyDescent="0.35">
      <c r="U154" s="235"/>
    </row>
    <row r="155" spans="21:21" x14ac:dyDescent="0.35">
      <c r="U155" s="235"/>
    </row>
    <row r="156" spans="21:21" x14ac:dyDescent="0.35">
      <c r="U156" s="235"/>
    </row>
    <row r="157" spans="21:21" x14ac:dyDescent="0.35">
      <c r="U157" s="235"/>
    </row>
    <row r="158" spans="21:21" x14ac:dyDescent="0.35">
      <c r="U158" s="235"/>
    </row>
    <row r="159" spans="21:21" x14ac:dyDescent="0.35">
      <c r="U159" s="235"/>
    </row>
    <row r="160" spans="21:21" x14ac:dyDescent="0.35">
      <c r="U160" s="235"/>
    </row>
    <row r="161" spans="21:21" x14ac:dyDescent="0.35">
      <c r="U161" s="235"/>
    </row>
    <row r="162" spans="21:21" x14ac:dyDescent="0.35">
      <c r="U162" s="235"/>
    </row>
    <row r="163" spans="21:21" x14ac:dyDescent="0.35">
      <c r="U163" s="235"/>
    </row>
    <row r="164" spans="21:21" x14ac:dyDescent="0.35">
      <c r="U164" s="235"/>
    </row>
    <row r="165" spans="21:21" x14ac:dyDescent="0.35">
      <c r="U165" s="235"/>
    </row>
    <row r="166" spans="21:21" x14ac:dyDescent="0.35">
      <c r="U166" s="235"/>
    </row>
    <row r="167" spans="21:21" x14ac:dyDescent="0.35">
      <c r="U167" s="235"/>
    </row>
    <row r="168" spans="21:21" x14ac:dyDescent="0.35">
      <c r="U168" s="235"/>
    </row>
    <row r="169" spans="21:21" x14ac:dyDescent="0.35">
      <c r="U169" s="235"/>
    </row>
    <row r="170" spans="21:21" x14ac:dyDescent="0.35">
      <c r="U170" s="235"/>
    </row>
    <row r="171" spans="21:21" x14ac:dyDescent="0.35">
      <c r="U171" s="235"/>
    </row>
    <row r="172" spans="21:21" x14ac:dyDescent="0.35">
      <c r="U172" s="235"/>
    </row>
    <row r="173" spans="21:21" x14ac:dyDescent="0.35">
      <c r="U173" s="235"/>
    </row>
    <row r="174" spans="21:21" x14ac:dyDescent="0.35">
      <c r="U174" s="235"/>
    </row>
    <row r="175" spans="21:21" x14ac:dyDescent="0.35">
      <c r="U175" s="235"/>
    </row>
    <row r="176" spans="21:21" x14ac:dyDescent="0.35">
      <c r="U176" s="235"/>
    </row>
    <row r="177" spans="21:21" x14ac:dyDescent="0.35">
      <c r="U177" s="235"/>
    </row>
    <row r="178" spans="21:21" x14ac:dyDescent="0.35">
      <c r="U178" s="235"/>
    </row>
    <row r="179" spans="21:21" x14ac:dyDescent="0.35">
      <c r="U179" s="235"/>
    </row>
    <row r="180" spans="21:21" x14ac:dyDescent="0.35">
      <c r="U180" s="235"/>
    </row>
    <row r="181" spans="21:21" x14ac:dyDescent="0.35">
      <c r="U181" s="235"/>
    </row>
    <row r="182" spans="21:21" x14ac:dyDescent="0.35">
      <c r="U182" s="235"/>
    </row>
    <row r="183" spans="21:21" x14ac:dyDescent="0.35">
      <c r="U183" s="235"/>
    </row>
    <row r="184" spans="21:21" x14ac:dyDescent="0.35">
      <c r="U184" s="235"/>
    </row>
    <row r="185" spans="21:21" x14ac:dyDescent="0.35">
      <c r="U185" s="235"/>
    </row>
    <row r="186" spans="21:21" x14ac:dyDescent="0.35">
      <c r="U186" s="235"/>
    </row>
    <row r="187" spans="21:21" x14ac:dyDescent="0.35">
      <c r="U187" s="235"/>
    </row>
    <row r="188" spans="21:21" x14ac:dyDescent="0.35">
      <c r="U188" s="235"/>
    </row>
    <row r="189" spans="21:21" x14ac:dyDescent="0.35">
      <c r="U189" s="235"/>
    </row>
    <row r="190" spans="21:21" x14ac:dyDescent="0.35">
      <c r="U190" s="235"/>
    </row>
    <row r="191" spans="21:21" x14ac:dyDescent="0.35">
      <c r="U191" s="235"/>
    </row>
    <row r="192" spans="21:21" x14ac:dyDescent="0.35">
      <c r="U192" s="235"/>
    </row>
    <row r="193" spans="21:21" x14ac:dyDescent="0.35">
      <c r="U193" s="235"/>
    </row>
    <row r="194" spans="21:21" x14ac:dyDescent="0.35">
      <c r="U194" s="235"/>
    </row>
    <row r="195" spans="21:21" x14ac:dyDescent="0.35">
      <c r="U195" s="235"/>
    </row>
    <row r="196" spans="21:21" x14ac:dyDescent="0.35">
      <c r="U196" s="235"/>
    </row>
    <row r="197" spans="21:21" x14ac:dyDescent="0.35">
      <c r="U197" s="235"/>
    </row>
    <row r="198" spans="21:21" x14ac:dyDescent="0.35">
      <c r="U198" s="235"/>
    </row>
    <row r="199" spans="21:21" x14ac:dyDescent="0.35">
      <c r="U199" s="235"/>
    </row>
    <row r="200" spans="21:21" x14ac:dyDescent="0.35">
      <c r="U200" s="235"/>
    </row>
    <row r="201" spans="21:21" x14ac:dyDescent="0.35">
      <c r="U201" s="235"/>
    </row>
    <row r="202" spans="21:21" x14ac:dyDescent="0.35">
      <c r="U202" s="235"/>
    </row>
    <row r="203" spans="21:21" x14ac:dyDescent="0.35">
      <c r="U203" s="235"/>
    </row>
    <row r="204" spans="21:21" x14ac:dyDescent="0.35">
      <c r="U204" s="235"/>
    </row>
    <row r="205" spans="21:21" x14ac:dyDescent="0.35">
      <c r="U205" s="235"/>
    </row>
    <row r="206" spans="21:21" x14ac:dyDescent="0.35">
      <c r="U206" s="235"/>
    </row>
    <row r="207" spans="21:21" x14ac:dyDescent="0.35">
      <c r="U207" s="235"/>
    </row>
    <row r="208" spans="21:21" x14ac:dyDescent="0.35">
      <c r="U208" s="235"/>
    </row>
    <row r="209" spans="21:21" x14ac:dyDescent="0.35">
      <c r="U209" s="235"/>
    </row>
    <row r="210" spans="21:21" x14ac:dyDescent="0.35">
      <c r="U210" s="235"/>
    </row>
    <row r="211" spans="21:21" x14ac:dyDescent="0.35">
      <c r="U211" s="235"/>
    </row>
    <row r="212" spans="21:21" x14ac:dyDescent="0.35">
      <c r="U212" s="235"/>
    </row>
    <row r="213" spans="21:21" x14ac:dyDescent="0.35">
      <c r="U213" s="235"/>
    </row>
    <row r="214" spans="21:21" x14ac:dyDescent="0.35">
      <c r="U214" s="235"/>
    </row>
    <row r="215" spans="21:21" x14ac:dyDescent="0.35">
      <c r="U215" s="235"/>
    </row>
    <row r="216" spans="21:21" x14ac:dyDescent="0.35">
      <c r="U216" s="235"/>
    </row>
    <row r="217" spans="21:21" x14ac:dyDescent="0.35">
      <c r="U217" s="235"/>
    </row>
    <row r="218" spans="21:21" x14ac:dyDescent="0.35">
      <c r="U218" s="235"/>
    </row>
    <row r="219" spans="21:21" x14ac:dyDescent="0.35">
      <c r="U219" s="235"/>
    </row>
    <row r="220" spans="21:21" x14ac:dyDescent="0.35">
      <c r="U220" s="235"/>
    </row>
    <row r="221" spans="21:21" x14ac:dyDescent="0.35">
      <c r="U221" s="235"/>
    </row>
    <row r="222" spans="21:21" x14ac:dyDescent="0.35">
      <c r="U222" s="235"/>
    </row>
    <row r="223" spans="21:21" x14ac:dyDescent="0.35">
      <c r="U223" s="235"/>
    </row>
    <row r="224" spans="21:21" x14ac:dyDescent="0.35">
      <c r="U224" s="235"/>
    </row>
    <row r="225" spans="21:21" x14ac:dyDescent="0.35">
      <c r="U225" s="235"/>
    </row>
    <row r="226" spans="21:21" x14ac:dyDescent="0.35">
      <c r="U226" s="235"/>
    </row>
    <row r="227" spans="21:21" x14ac:dyDescent="0.35">
      <c r="U227" s="235"/>
    </row>
    <row r="228" spans="21:21" x14ac:dyDescent="0.35">
      <c r="U228" s="235"/>
    </row>
    <row r="229" spans="21:21" x14ac:dyDescent="0.35">
      <c r="U229" s="235"/>
    </row>
    <row r="230" spans="21:21" x14ac:dyDescent="0.35">
      <c r="U230" s="235"/>
    </row>
    <row r="231" spans="21:21" x14ac:dyDescent="0.35">
      <c r="U231" s="235"/>
    </row>
    <row r="232" spans="21:21" x14ac:dyDescent="0.35">
      <c r="U232" s="235"/>
    </row>
    <row r="233" spans="21:21" x14ac:dyDescent="0.35">
      <c r="U233" s="235"/>
    </row>
    <row r="234" spans="21:21" x14ac:dyDescent="0.35">
      <c r="U234" s="235"/>
    </row>
    <row r="235" spans="21:21" x14ac:dyDescent="0.35">
      <c r="U235" s="235"/>
    </row>
    <row r="236" spans="21:21" x14ac:dyDescent="0.35">
      <c r="U236" s="235"/>
    </row>
    <row r="237" spans="21:21" x14ac:dyDescent="0.35">
      <c r="U237" s="235"/>
    </row>
    <row r="238" spans="21:21" x14ac:dyDescent="0.35">
      <c r="U238" s="235"/>
    </row>
    <row r="239" spans="21:21" x14ac:dyDescent="0.35">
      <c r="U239" s="235"/>
    </row>
    <row r="240" spans="21:21" x14ac:dyDescent="0.35">
      <c r="U240" s="235"/>
    </row>
    <row r="241" spans="21:21" x14ac:dyDescent="0.35">
      <c r="U241" s="235"/>
    </row>
    <row r="242" spans="21:21" x14ac:dyDescent="0.35">
      <c r="U242" s="235"/>
    </row>
    <row r="243" spans="21:21" x14ac:dyDescent="0.35">
      <c r="U243" s="235"/>
    </row>
    <row r="244" spans="21:21" x14ac:dyDescent="0.35">
      <c r="U244" s="235"/>
    </row>
    <row r="245" spans="21:21" x14ac:dyDescent="0.35">
      <c r="U245" s="235"/>
    </row>
    <row r="246" spans="21:21" x14ac:dyDescent="0.35">
      <c r="U246" s="235"/>
    </row>
    <row r="247" spans="21:21" x14ac:dyDescent="0.35">
      <c r="U247" s="235"/>
    </row>
    <row r="248" spans="21:21" x14ac:dyDescent="0.35">
      <c r="U248" s="235"/>
    </row>
    <row r="249" spans="21:21" x14ac:dyDescent="0.35">
      <c r="U249" s="235"/>
    </row>
    <row r="250" spans="21:21" x14ac:dyDescent="0.35">
      <c r="U250" s="235"/>
    </row>
    <row r="251" spans="21:21" x14ac:dyDescent="0.35">
      <c r="U251" s="235"/>
    </row>
    <row r="252" spans="21:21" x14ac:dyDescent="0.35">
      <c r="U252" s="235"/>
    </row>
    <row r="253" spans="21:21" x14ac:dyDescent="0.35">
      <c r="U253" s="235"/>
    </row>
    <row r="254" spans="21:21" x14ac:dyDescent="0.35">
      <c r="U254" s="235"/>
    </row>
    <row r="255" spans="21:21" x14ac:dyDescent="0.35">
      <c r="U255" s="235"/>
    </row>
    <row r="256" spans="21:21" x14ac:dyDescent="0.35">
      <c r="U256" s="235"/>
    </row>
    <row r="257" spans="21:21" x14ac:dyDescent="0.35">
      <c r="U257" s="235"/>
    </row>
    <row r="258" spans="21:21" x14ac:dyDescent="0.35">
      <c r="U258" s="235"/>
    </row>
    <row r="259" spans="21:21" x14ac:dyDescent="0.35">
      <c r="U259" s="235"/>
    </row>
    <row r="260" spans="21:21" x14ac:dyDescent="0.35">
      <c r="U260" s="235"/>
    </row>
    <row r="261" spans="21:21" x14ac:dyDescent="0.35">
      <c r="U261" s="235"/>
    </row>
    <row r="262" spans="21:21" x14ac:dyDescent="0.35">
      <c r="U262" s="235"/>
    </row>
    <row r="263" spans="21:21" x14ac:dyDescent="0.35">
      <c r="U263" s="235"/>
    </row>
    <row r="264" spans="21:21" x14ac:dyDescent="0.35">
      <c r="U264" s="235"/>
    </row>
    <row r="265" spans="21:21" x14ac:dyDescent="0.35">
      <c r="U265" s="235"/>
    </row>
    <row r="266" spans="21:21" x14ac:dyDescent="0.35">
      <c r="U266" s="235"/>
    </row>
    <row r="267" spans="21:21" x14ac:dyDescent="0.35">
      <c r="U267" s="235"/>
    </row>
    <row r="268" spans="21:21" x14ac:dyDescent="0.35">
      <c r="U268" s="235"/>
    </row>
    <row r="269" spans="21:21" x14ac:dyDescent="0.35">
      <c r="U269" s="235"/>
    </row>
    <row r="270" spans="21:21" x14ac:dyDescent="0.35">
      <c r="U270" s="235"/>
    </row>
    <row r="271" spans="21:21" x14ac:dyDescent="0.35">
      <c r="U271" s="235"/>
    </row>
    <row r="272" spans="21:21" x14ac:dyDescent="0.35">
      <c r="U272" s="235"/>
    </row>
    <row r="273" spans="21:21" x14ac:dyDescent="0.35">
      <c r="U273" s="235"/>
    </row>
    <row r="274" spans="21:21" x14ac:dyDescent="0.35">
      <c r="U274" s="235"/>
    </row>
    <row r="275" spans="21:21" x14ac:dyDescent="0.35">
      <c r="U275" s="235"/>
    </row>
    <row r="276" spans="21:21" x14ac:dyDescent="0.35">
      <c r="U276" s="235"/>
    </row>
    <row r="277" spans="21:21" x14ac:dyDescent="0.35">
      <c r="U277" s="235"/>
    </row>
    <row r="278" spans="21:21" x14ac:dyDescent="0.35">
      <c r="U278" s="235"/>
    </row>
    <row r="279" spans="21:21" x14ac:dyDescent="0.35">
      <c r="U279" s="235"/>
    </row>
    <row r="280" spans="21:21" x14ac:dyDescent="0.35">
      <c r="U280" s="235"/>
    </row>
    <row r="281" spans="21:21" x14ac:dyDescent="0.35">
      <c r="U281" s="235"/>
    </row>
    <row r="282" spans="21:21" x14ac:dyDescent="0.35">
      <c r="U282" s="235"/>
    </row>
    <row r="283" spans="21:21" x14ac:dyDescent="0.35">
      <c r="U283" s="235"/>
    </row>
    <row r="284" spans="21:21" x14ac:dyDescent="0.35">
      <c r="U284" s="235"/>
    </row>
    <row r="285" spans="21:21" x14ac:dyDescent="0.35">
      <c r="U285" s="235"/>
    </row>
    <row r="286" spans="21:21" x14ac:dyDescent="0.35">
      <c r="U286" s="235"/>
    </row>
    <row r="287" spans="21:21" x14ac:dyDescent="0.35">
      <c r="U287" s="235"/>
    </row>
    <row r="288" spans="21:21" x14ac:dyDescent="0.35">
      <c r="U288" s="235"/>
    </row>
    <row r="289" spans="21:21" x14ac:dyDescent="0.35">
      <c r="U289" s="235"/>
    </row>
    <row r="290" spans="21:21" x14ac:dyDescent="0.35">
      <c r="U290" s="235"/>
    </row>
    <row r="291" spans="21:21" x14ac:dyDescent="0.35">
      <c r="U291" s="235"/>
    </row>
    <row r="292" spans="21:21" x14ac:dyDescent="0.35">
      <c r="U292" s="235"/>
    </row>
    <row r="293" spans="21:21" x14ac:dyDescent="0.35">
      <c r="U293" s="235"/>
    </row>
    <row r="294" spans="21:21" x14ac:dyDescent="0.35">
      <c r="U294" s="235"/>
    </row>
    <row r="295" spans="21:21" x14ac:dyDescent="0.35">
      <c r="U295" s="235"/>
    </row>
    <row r="296" spans="21:21" x14ac:dyDescent="0.35">
      <c r="U296" s="235"/>
    </row>
    <row r="297" spans="21:21" x14ac:dyDescent="0.35">
      <c r="U297" s="235"/>
    </row>
    <row r="298" spans="21:21" x14ac:dyDescent="0.35">
      <c r="U298" s="235"/>
    </row>
    <row r="299" spans="21:21" x14ac:dyDescent="0.35">
      <c r="U299" s="235"/>
    </row>
    <row r="300" spans="21:21" x14ac:dyDescent="0.35">
      <c r="U300" s="235"/>
    </row>
    <row r="301" spans="21:21" x14ac:dyDescent="0.35">
      <c r="U301" s="235"/>
    </row>
    <row r="302" spans="21:21" x14ac:dyDescent="0.35">
      <c r="U302" s="235"/>
    </row>
    <row r="303" spans="21:21" x14ac:dyDescent="0.35">
      <c r="U303" s="235"/>
    </row>
    <row r="304" spans="21:21" x14ac:dyDescent="0.35">
      <c r="U304" s="235"/>
    </row>
    <row r="305" spans="21:21" x14ac:dyDescent="0.35">
      <c r="U305" s="235"/>
    </row>
    <row r="306" spans="21:21" x14ac:dyDescent="0.35">
      <c r="U306" s="235"/>
    </row>
    <row r="307" spans="21:21" x14ac:dyDescent="0.35">
      <c r="U307" s="235"/>
    </row>
    <row r="308" spans="21:21" x14ac:dyDescent="0.35">
      <c r="U308" s="235"/>
    </row>
    <row r="309" spans="21:21" x14ac:dyDescent="0.35">
      <c r="U309" s="243"/>
    </row>
    <row r="310" spans="21:21" x14ac:dyDescent="0.35">
      <c r="U310" s="243"/>
    </row>
    <row r="311" spans="21:21" x14ac:dyDescent="0.35">
      <c r="U311" s="243"/>
    </row>
    <row r="312" spans="21:21" x14ac:dyDescent="0.35">
      <c r="U312" s="243"/>
    </row>
    <row r="313" spans="21:21" x14ac:dyDescent="0.35">
      <c r="U313" s="243"/>
    </row>
    <row r="314" spans="21:21" x14ac:dyDescent="0.35">
      <c r="U314" s="243"/>
    </row>
    <row r="315" spans="21:21" x14ac:dyDescent="0.35">
      <c r="U315" s="243"/>
    </row>
    <row r="316" spans="21:21" x14ac:dyDescent="0.35">
      <c r="U316" s="243"/>
    </row>
    <row r="317" spans="21:21" x14ac:dyDescent="0.35">
      <c r="U317" s="243"/>
    </row>
    <row r="318" spans="21:21" x14ac:dyDescent="0.35">
      <c r="U318" s="243"/>
    </row>
    <row r="319" spans="21:21" x14ac:dyDescent="0.35">
      <c r="U319" s="243"/>
    </row>
    <row r="320" spans="21:21" x14ac:dyDescent="0.35">
      <c r="U320" s="243"/>
    </row>
    <row r="321" spans="21:21" x14ac:dyDescent="0.35">
      <c r="U321" s="243"/>
    </row>
    <row r="322" spans="21:21" x14ac:dyDescent="0.35">
      <c r="U322" s="243"/>
    </row>
    <row r="323" spans="21:21" x14ac:dyDescent="0.35">
      <c r="U323" s="243"/>
    </row>
    <row r="324" spans="21:21" x14ac:dyDescent="0.35">
      <c r="U324" s="243"/>
    </row>
    <row r="325" spans="21:21" x14ac:dyDescent="0.35">
      <c r="U325" s="243"/>
    </row>
    <row r="326" spans="21:21" x14ac:dyDescent="0.35">
      <c r="U326" s="243"/>
    </row>
    <row r="327" spans="21:21" x14ac:dyDescent="0.35">
      <c r="U327" s="243"/>
    </row>
    <row r="328" spans="21:21" x14ac:dyDescent="0.35">
      <c r="U328" s="243"/>
    </row>
    <row r="329" spans="21:21" x14ac:dyDescent="0.35">
      <c r="U329" s="243"/>
    </row>
    <row r="330" spans="21:21" x14ac:dyDescent="0.35">
      <c r="U330" s="243"/>
    </row>
    <row r="331" spans="21:21" x14ac:dyDescent="0.35">
      <c r="U331" s="243"/>
    </row>
    <row r="332" spans="21:21" x14ac:dyDescent="0.35">
      <c r="U332" s="243"/>
    </row>
    <row r="333" spans="21:21" x14ac:dyDescent="0.35">
      <c r="U333" s="243"/>
    </row>
    <row r="334" spans="21:21" x14ac:dyDescent="0.35">
      <c r="U334" s="243"/>
    </row>
    <row r="335" spans="21:21" x14ac:dyDescent="0.35">
      <c r="U335" s="243"/>
    </row>
    <row r="336" spans="21:21" x14ac:dyDescent="0.35">
      <c r="U336" s="243"/>
    </row>
    <row r="337" spans="21:21" x14ac:dyDescent="0.35">
      <c r="U337" s="243"/>
    </row>
    <row r="338" spans="21:21" x14ac:dyDescent="0.35">
      <c r="U338" s="243"/>
    </row>
    <row r="339" spans="21:21" x14ac:dyDescent="0.35">
      <c r="U339" s="243"/>
    </row>
    <row r="340" spans="21:21" x14ac:dyDescent="0.35">
      <c r="U340" s="243"/>
    </row>
    <row r="341" spans="21:21" x14ac:dyDescent="0.35">
      <c r="U341" s="243"/>
    </row>
    <row r="342" spans="21:21" x14ac:dyDescent="0.35">
      <c r="U342" s="243"/>
    </row>
    <row r="343" spans="21:21" x14ac:dyDescent="0.35">
      <c r="U343" s="243"/>
    </row>
    <row r="344" spans="21:21" x14ac:dyDescent="0.35">
      <c r="U344" s="243"/>
    </row>
    <row r="345" spans="21:21" x14ac:dyDescent="0.35">
      <c r="U345" s="243"/>
    </row>
    <row r="346" spans="21:21" x14ac:dyDescent="0.35">
      <c r="U346" s="243"/>
    </row>
    <row r="347" spans="21:21" x14ac:dyDescent="0.35">
      <c r="U347" s="243"/>
    </row>
    <row r="348" spans="21:21" x14ac:dyDescent="0.35">
      <c r="U348" s="243"/>
    </row>
    <row r="349" spans="21:21" x14ac:dyDescent="0.35">
      <c r="U349" s="243"/>
    </row>
    <row r="350" spans="21:21" x14ac:dyDescent="0.35">
      <c r="U350" s="243"/>
    </row>
    <row r="351" spans="21:21" x14ac:dyDescent="0.35">
      <c r="U351" s="243"/>
    </row>
    <row r="352" spans="21:21" x14ac:dyDescent="0.35">
      <c r="U352" s="243"/>
    </row>
    <row r="353" spans="21:21" x14ac:dyDescent="0.35">
      <c r="U353" s="243"/>
    </row>
    <row r="354" spans="21:21" x14ac:dyDescent="0.35">
      <c r="U354" s="243"/>
    </row>
    <row r="355" spans="21:21" x14ac:dyDescent="0.35">
      <c r="U355" s="243"/>
    </row>
    <row r="356" spans="21:21" x14ac:dyDescent="0.35">
      <c r="U356" s="243"/>
    </row>
    <row r="357" spans="21:21" x14ac:dyDescent="0.35">
      <c r="U357" s="243"/>
    </row>
    <row r="358" spans="21:21" x14ac:dyDescent="0.35">
      <c r="U358" s="243"/>
    </row>
    <row r="359" spans="21:21" x14ac:dyDescent="0.35">
      <c r="U359" s="243"/>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1">
    <mergeCell ref="R13:R18"/>
    <mergeCell ref="R6:R7"/>
    <mergeCell ref="A1:W1"/>
    <mergeCell ref="A2:W2"/>
    <mergeCell ref="A3:W3"/>
    <mergeCell ref="A4:E4"/>
    <mergeCell ref="F4:L4"/>
    <mergeCell ref="M4:N4"/>
    <mergeCell ref="O4:R4"/>
    <mergeCell ref="S4:U4"/>
    <mergeCell ref="V4:W4"/>
  </mergeCells>
  <conditionalFormatting sqref="O6:R6 O7:Q8 O9:R9 O10:Q10 O11:R11 O12:Q18 O19:R1048576">
    <cfRule type="containsText" dxfId="97" priority="1" operator="containsText" text="No">
      <formula>NOT(ISERROR(SEARCH("No",O6)))</formula>
    </cfRule>
    <cfRule type="containsText" dxfId="96" priority="2" operator="containsText" text="Yes">
      <formula>NOT(ISERROR(SEARCH("Yes",O6)))</formula>
    </cfRule>
  </conditionalFormatting>
  <conditionalFormatting sqref="S6:S1048576">
    <cfRule type="containsText" dxfId="95" priority="3" operator="containsText" text="Rejected">
      <formula>NOT(ISERROR(SEARCH("Rejected",S6)))</formula>
    </cfRule>
    <cfRule type="containsText" dxfId="94" priority="4" operator="containsText" text="Revisions Needed">
      <formula>NOT(ISERROR(SEARCH("Revisions Needed",S6)))</formula>
    </cfRule>
    <cfRule type="containsText" dxfId="93" priority="5" operator="containsText" text="Approved">
      <formula>NOT(ISERROR(SEARCH("Approved",S6)))</formula>
    </cfRule>
  </conditionalFormatting>
  <dataValidations count="3">
    <dataValidation type="list" allowBlank="1" showInputMessage="1" showErrorMessage="1" sqref="C6:C1048576" xr:uid="{A6692B74-37D3-43DE-BD41-1CDA9CA260AA}">
      <formula1>"Monthly, Yearly"</formula1>
    </dataValidation>
    <dataValidation type="list" allowBlank="1" showInputMessage="1" showErrorMessage="1" sqref="O6:Q7 O19:O1048576 P8:Q1048576" xr:uid="{2D6CC6A7-B4EE-4075-8049-194569F7A38F}">
      <formula1>"No, Yes"</formula1>
    </dataValidation>
    <dataValidation type="list" allowBlank="1" sqref="S6:S1048576" xr:uid="{5807C4F7-D7A9-4FE9-98E8-C888B9C51216}">
      <formula1>"Approved,Revisions Needed, Rejected"</formula1>
    </dataValidation>
  </dataValidations>
  <pageMargins left="0.75" right="0.75" top="1" bottom="1" header="0.511811023622047" footer="0.511811023622047"/>
  <pageSetup paperSize="9"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DAD16-C16D-459A-994A-82AC0381BCE6}">
  <sheetPr>
    <tabColor theme="6"/>
  </sheetPr>
  <dimension ref="A1:W359"/>
  <sheetViews>
    <sheetView showGridLines="0" topLeftCell="A11" zoomScale="70" zoomScaleNormal="70" workbookViewId="0">
      <selection activeCell="N19" sqref="N19"/>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3.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0.81640625" style="2" hidden="1" customWidth="1"/>
    <col min="13" max="13" width="36" style="1" customWidth="1"/>
    <col min="14" max="14" width="46.1796875" style="440" customWidth="1"/>
    <col min="15" max="15" width="12.81640625" style="76" customWidth="1"/>
    <col min="16" max="16" width="10.81640625" style="76" customWidth="1"/>
    <col min="17" max="17" width="13.1796875" style="76" customWidth="1"/>
    <col min="18" max="18" width="47.54296875" style="76" customWidth="1"/>
    <col min="19" max="19" width="20.54296875" style="2" customWidth="1"/>
    <col min="20" max="20" width="76.54296875" style="17" customWidth="1"/>
    <col min="21" max="21" width="53.726562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227</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c r="W3" s="512"/>
    </row>
    <row r="4" spans="1:23" s="4" customFormat="1" ht="27.75" customHeight="1" thickTop="1" thickBot="1" x14ac:dyDescent="0.45">
      <c r="A4" s="513" t="s">
        <v>3</v>
      </c>
      <c r="B4" s="514"/>
      <c r="C4" s="514"/>
      <c r="D4" s="514"/>
      <c r="E4" s="514"/>
      <c r="F4" s="513" t="s">
        <v>4</v>
      </c>
      <c r="G4" s="514"/>
      <c r="H4" s="514"/>
      <c r="I4" s="514"/>
      <c r="J4" s="514"/>
      <c r="K4" s="514"/>
      <c r="L4" s="515"/>
      <c r="M4" s="516" t="s">
        <v>5</v>
      </c>
      <c r="N4" s="516"/>
      <c r="O4" s="513" t="s">
        <v>6</v>
      </c>
      <c r="P4" s="514"/>
      <c r="Q4" s="514"/>
      <c r="R4" s="515"/>
      <c r="S4" s="513" t="s">
        <v>7</v>
      </c>
      <c r="T4" s="514"/>
      <c r="U4" s="515"/>
      <c r="V4" s="513" t="s">
        <v>8</v>
      </c>
      <c r="W4" s="515"/>
    </row>
    <row r="5" spans="1:23" ht="71.5" customHeight="1" thickTop="1" thickBot="1" x14ac:dyDescent="0.4">
      <c r="A5" s="10" t="s">
        <v>9</v>
      </c>
      <c r="B5" s="10" t="s">
        <v>10</v>
      </c>
      <c r="C5" s="10" t="s">
        <v>11</v>
      </c>
      <c r="D5" s="10" t="s">
        <v>12</v>
      </c>
      <c r="E5" s="10" t="s">
        <v>13</v>
      </c>
      <c r="F5" s="10" t="s">
        <v>14</v>
      </c>
      <c r="G5" s="10" t="s">
        <v>228</v>
      </c>
      <c r="H5" s="10" t="s">
        <v>15</v>
      </c>
      <c r="I5" s="10" t="s">
        <v>16</v>
      </c>
      <c r="J5" s="10" t="s">
        <v>17</v>
      </c>
      <c r="K5" s="10" t="s">
        <v>18</v>
      </c>
      <c r="L5" s="10" t="s">
        <v>19</v>
      </c>
      <c r="M5" s="10" t="s">
        <v>20</v>
      </c>
      <c r="N5" s="10" t="s">
        <v>21</v>
      </c>
      <c r="O5" s="10" t="s">
        <v>22</v>
      </c>
      <c r="P5" s="10" t="s">
        <v>23</v>
      </c>
      <c r="Q5" s="10" t="s">
        <v>24</v>
      </c>
      <c r="R5" s="10" t="s">
        <v>25</v>
      </c>
      <c r="S5" s="23" t="s">
        <v>26</v>
      </c>
      <c r="T5" s="18" t="s">
        <v>27</v>
      </c>
      <c r="U5" s="18" t="s">
        <v>28</v>
      </c>
      <c r="V5" s="18" t="s">
        <v>29</v>
      </c>
      <c r="W5" s="433" t="s">
        <v>30</v>
      </c>
    </row>
    <row r="6" spans="1:23" s="5" customFormat="1" ht="308.5" customHeight="1" thickTop="1" x14ac:dyDescent="0.35">
      <c r="A6" s="117">
        <v>1</v>
      </c>
      <c r="B6" s="244" t="s">
        <v>45</v>
      </c>
      <c r="C6" s="432" t="s">
        <v>67</v>
      </c>
      <c r="D6" s="117" t="s">
        <v>229</v>
      </c>
      <c r="E6" s="436" t="s">
        <v>230</v>
      </c>
      <c r="F6" s="117" t="s">
        <v>49</v>
      </c>
      <c r="G6" s="117"/>
      <c r="H6" s="117" t="s">
        <v>231</v>
      </c>
      <c r="I6" s="25" t="s">
        <v>232</v>
      </c>
      <c r="J6" s="25"/>
      <c r="K6" s="117" t="s">
        <v>74</v>
      </c>
      <c r="L6" s="426"/>
      <c r="M6" s="274" t="s">
        <v>233</v>
      </c>
      <c r="N6" s="437" t="s">
        <v>234</v>
      </c>
      <c r="O6" s="120" t="s">
        <v>150</v>
      </c>
      <c r="P6" s="120" t="s">
        <v>150</v>
      </c>
      <c r="Q6" s="162" t="s">
        <v>150</v>
      </c>
      <c r="R6" s="524" t="s">
        <v>235</v>
      </c>
      <c r="S6" s="130" t="s">
        <v>56</v>
      </c>
      <c r="T6" s="168"/>
      <c r="U6" s="179"/>
      <c r="V6" s="179" t="s">
        <v>76</v>
      </c>
      <c r="W6" s="176"/>
    </row>
    <row r="7" spans="1:23" s="5" customFormat="1" ht="263.14999999999998" customHeight="1" x14ac:dyDescent="0.35">
      <c r="A7" s="8">
        <v>2</v>
      </c>
      <c r="B7" s="244" t="s">
        <v>45</v>
      </c>
      <c r="C7" s="432" t="s">
        <v>67</v>
      </c>
      <c r="D7" s="117" t="s">
        <v>229</v>
      </c>
      <c r="E7" s="150" t="s">
        <v>236</v>
      </c>
      <c r="F7" s="117" t="s">
        <v>49</v>
      </c>
      <c r="G7" s="8"/>
      <c r="H7" s="117" t="s">
        <v>231</v>
      </c>
      <c r="I7" s="25" t="s">
        <v>232</v>
      </c>
      <c r="J7" s="25"/>
      <c r="K7" s="117" t="s">
        <v>74</v>
      </c>
      <c r="L7" s="426"/>
      <c r="M7" s="142" t="s">
        <v>233</v>
      </c>
      <c r="N7" s="437" t="s">
        <v>237</v>
      </c>
      <c r="O7" s="120" t="s">
        <v>150</v>
      </c>
      <c r="P7" s="120" t="s">
        <v>150</v>
      </c>
      <c r="Q7" s="162" t="s">
        <v>150</v>
      </c>
      <c r="R7" s="524"/>
      <c r="S7" s="102" t="s">
        <v>56</v>
      </c>
      <c r="T7" s="169"/>
      <c r="U7" s="174"/>
      <c r="V7" s="179" t="s">
        <v>76</v>
      </c>
      <c r="W7" s="126"/>
    </row>
    <row r="8" spans="1:23" s="5" customFormat="1" ht="276" customHeight="1" x14ac:dyDescent="0.35">
      <c r="A8" s="8">
        <v>3</v>
      </c>
      <c r="B8" s="244" t="s">
        <v>45</v>
      </c>
      <c r="C8" s="432" t="s">
        <v>67</v>
      </c>
      <c r="D8" s="117" t="s">
        <v>229</v>
      </c>
      <c r="E8" s="150" t="s">
        <v>238</v>
      </c>
      <c r="F8" s="117" t="s">
        <v>49</v>
      </c>
      <c r="G8" s="8"/>
      <c r="H8" s="117" t="s">
        <v>231</v>
      </c>
      <c r="I8" s="25" t="s">
        <v>232</v>
      </c>
      <c r="J8" s="25"/>
      <c r="K8" s="117" t="s">
        <v>74</v>
      </c>
      <c r="L8" s="426"/>
      <c r="M8" s="135" t="s">
        <v>239</v>
      </c>
      <c r="N8" s="437" t="s">
        <v>240</v>
      </c>
      <c r="O8" s="120" t="s">
        <v>150</v>
      </c>
      <c r="P8" s="120" t="s">
        <v>150</v>
      </c>
      <c r="Q8" s="162" t="s">
        <v>150</v>
      </c>
      <c r="R8" s="518"/>
      <c r="S8" s="102" t="s">
        <v>56</v>
      </c>
      <c r="T8" s="169"/>
      <c r="U8" s="174"/>
      <c r="V8" s="179" t="s">
        <v>76</v>
      </c>
      <c r="W8" s="171"/>
    </row>
    <row r="9" spans="1:23" s="5" customFormat="1" ht="327.64999999999998" customHeight="1" x14ac:dyDescent="0.35">
      <c r="A9" s="8">
        <v>4</v>
      </c>
      <c r="B9" s="244" t="s">
        <v>45</v>
      </c>
      <c r="C9" s="432" t="s">
        <v>67</v>
      </c>
      <c r="D9" s="8" t="s">
        <v>241</v>
      </c>
      <c r="E9" s="150" t="s">
        <v>242</v>
      </c>
      <c r="F9" s="117" t="s">
        <v>49</v>
      </c>
      <c r="G9" s="117"/>
      <c r="H9" s="117" t="s">
        <v>231</v>
      </c>
      <c r="I9" s="26" t="s">
        <v>243</v>
      </c>
      <c r="J9" s="25"/>
      <c r="K9" s="117" t="s">
        <v>74</v>
      </c>
      <c r="L9" s="426"/>
      <c r="M9" s="135" t="s">
        <v>233</v>
      </c>
      <c r="N9" s="437" t="s">
        <v>240</v>
      </c>
      <c r="O9" s="120" t="s">
        <v>150</v>
      </c>
      <c r="P9" s="120" t="s">
        <v>150</v>
      </c>
      <c r="Q9" s="162" t="s">
        <v>150</v>
      </c>
      <c r="R9" s="428" t="s">
        <v>244</v>
      </c>
      <c r="S9" s="102" t="s">
        <v>56</v>
      </c>
      <c r="T9" s="169"/>
      <c r="U9" s="174"/>
      <c r="V9" s="179" t="s">
        <v>76</v>
      </c>
      <c r="W9" s="171"/>
    </row>
    <row r="10" spans="1:23" s="5" customFormat="1" ht="169" hidden="1" customHeight="1" x14ac:dyDescent="0.35">
      <c r="A10" s="8">
        <v>5</v>
      </c>
      <c r="B10" s="244" t="s">
        <v>45</v>
      </c>
      <c r="C10" s="432" t="s">
        <v>46</v>
      </c>
      <c r="D10" s="8" t="s">
        <v>245</v>
      </c>
      <c r="E10" s="150" t="s">
        <v>246</v>
      </c>
      <c r="F10" s="117" t="s">
        <v>49</v>
      </c>
      <c r="G10" s="8"/>
      <c r="H10" s="117" t="s">
        <v>71</v>
      </c>
      <c r="I10" s="26" t="s">
        <v>154</v>
      </c>
      <c r="J10" s="25"/>
      <c r="K10" s="117" t="s">
        <v>74</v>
      </c>
      <c r="L10" s="426"/>
      <c r="M10" s="135" t="s">
        <v>247</v>
      </c>
      <c r="N10" s="153" t="s">
        <v>248</v>
      </c>
      <c r="O10" s="120" t="s">
        <v>150</v>
      </c>
      <c r="P10" s="120" t="s">
        <v>150</v>
      </c>
      <c r="Q10" s="162" t="s">
        <v>150</v>
      </c>
      <c r="R10" s="517" t="s">
        <v>249</v>
      </c>
      <c r="S10" s="102" t="s">
        <v>201</v>
      </c>
      <c r="T10" s="169" t="s">
        <v>270</v>
      </c>
      <c r="U10" s="174"/>
      <c r="V10" s="179" t="s">
        <v>76</v>
      </c>
      <c r="W10" s="171"/>
    </row>
    <row r="11" spans="1:23" s="5" customFormat="1" ht="211" customHeight="1" x14ac:dyDescent="0.4">
      <c r="A11" s="8">
        <v>6</v>
      </c>
      <c r="B11" s="244" t="s">
        <v>45</v>
      </c>
      <c r="C11" s="432" t="s">
        <v>46</v>
      </c>
      <c r="D11" s="8" t="s">
        <v>245</v>
      </c>
      <c r="E11" s="150" t="s">
        <v>209</v>
      </c>
      <c r="F11" s="117" t="s">
        <v>49</v>
      </c>
      <c r="G11" s="8"/>
      <c r="H11" s="117" t="s">
        <v>231</v>
      </c>
      <c r="I11" s="26" t="s">
        <v>154</v>
      </c>
      <c r="J11" s="25"/>
      <c r="K11" s="117" t="s">
        <v>74</v>
      </c>
      <c r="L11" s="426"/>
      <c r="M11" s="135" t="s">
        <v>251</v>
      </c>
      <c r="N11" s="153" t="s">
        <v>252</v>
      </c>
      <c r="O11" s="120" t="s">
        <v>150</v>
      </c>
      <c r="P11" s="120" t="s">
        <v>150</v>
      </c>
      <c r="Q11" s="162" t="s">
        <v>150</v>
      </c>
      <c r="R11" s="518"/>
      <c r="S11" s="102" t="s">
        <v>56</v>
      </c>
      <c r="T11" s="169"/>
      <c r="U11" s="174"/>
      <c r="V11" s="179" t="s">
        <v>76</v>
      </c>
      <c r="W11" s="173"/>
    </row>
    <row r="12" spans="1:23" s="5" customFormat="1" ht="187" customHeight="1" x14ac:dyDescent="0.35">
      <c r="A12" s="8">
        <v>7</v>
      </c>
      <c r="B12" s="244" t="s">
        <v>45</v>
      </c>
      <c r="C12" s="432" t="s">
        <v>46</v>
      </c>
      <c r="D12" s="8" t="s">
        <v>253</v>
      </c>
      <c r="E12" s="8" t="s">
        <v>254</v>
      </c>
      <c r="F12" s="8" t="s">
        <v>255</v>
      </c>
      <c r="G12" s="8"/>
      <c r="H12" s="117" t="s">
        <v>231</v>
      </c>
      <c r="I12" s="26" t="s">
        <v>154</v>
      </c>
      <c r="J12" s="25"/>
      <c r="K12" s="117" t="s">
        <v>74</v>
      </c>
      <c r="L12" s="426"/>
      <c r="M12" s="135" t="s">
        <v>256</v>
      </c>
      <c r="N12" s="38" t="s">
        <v>52</v>
      </c>
      <c r="O12" s="120" t="s">
        <v>150</v>
      </c>
      <c r="P12" s="120" t="s">
        <v>150</v>
      </c>
      <c r="Q12" s="162" t="s">
        <v>150</v>
      </c>
      <c r="R12" s="517" t="s">
        <v>257</v>
      </c>
      <c r="S12" s="215" t="s">
        <v>56</v>
      </c>
      <c r="T12" s="169"/>
      <c r="U12" s="265"/>
      <c r="V12" s="179" t="s">
        <v>152</v>
      </c>
      <c r="W12" s="34"/>
    </row>
    <row r="13" spans="1:23" s="5" customFormat="1" ht="202.5" customHeight="1" x14ac:dyDescent="0.35">
      <c r="A13" s="8">
        <v>8</v>
      </c>
      <c r="B13" s="244" t="s">
        <v>45</v>
      </c>
      <c r="C13" s="432" t="s">
        <v>46</v>
      </c>
      <c r="D13" s="8" t="s">
        <v>253</v>
      </c>
      <c r="E13" s="99" t="s">
        <v>153</v>
      </c>
      <c r="F13" s="8" t="s">
        <v>255</v>
      </c>
      <c r="G13" s="8"/>
      <c r="H13" s="117" t="s">
        <v>231</v>
      </c>
      <c r="I13" s="26" t="s">
        <v>154</v>
      </c>
      <c r="J13" s="25"/>
      <c r="K13" s="117" t="s">
        <v>74</v>
      </c>
      <c r="L13" s="426"/>
      <c r="M13" s="135" t="s">
        <v>258</v>
      </c>
      <c r="N13" s="38" t="s">
        <v>52</v>
      </c>
      <c r="O13" s="120" t="s">
        <v>150</v>
      </c>
      <c r="P13" s="120" t="s">
        <v>150</v>
      </c>
      <c r="Q13" s="162" t="s">
        <v>150</v>
      </c>
      <c r="R13" s="524"/>
      <c r="S13" s="38" t="s">
        <v>56</v>
      </c>
      <c r="T13" s="434"/>
      <c r="U13" s="265"/>
      <c r="V13" s="179" t="s">
        <v>152</v>
      </c>
      <c r="W13" s="435"/>
    </row>
    <row r="14" spans="1:23" s="5" customFormat="1" ht="209.5" customHeight="1" x14ac:dyDescent="0.35">
      <c r="A14" s="8">
        <v>9</v>
      </c>
      <c r="B14" s="244" t="s">
        <v>45</v>
      </c>
      <c r="C14" s="432" t="s">
        <v>46</v>
      </c>
      <c r="D14" s="8" t="s">
        <v>253</v>
      </c>
      <c r="E14" s="99" t="s">
        <v>259</v>
      </c>
      <c r="F14" s="8" t="s">
        <v>255</v>
      </c>
      <c r="G14" s="8"/>
      <c r="H14" s="117" t="s">
        <v>231</v>
      </c>
      <c r="I14" s="26" t="s">
        <v>154</v>
      </c>
      <c r="J14" s="25"/>
      <c r="K14" s="117" t="s">
        <v>74</v>
      </c>
      <c r="L14" s="426"/>
      <c r="M14" s="135" t="s">
        <v>256</v>
      </c>
      <c r="N14" s="38" t="s">
        <v>52</v>
      </c>
      <c r="O14" s="120" t="s">
        <v>150</v>
      </c>
      <c r="P14" s="120" t="s">
        <v>150</v>
      </c>
      <c r="Q14" s="162" t="s">
        <v>150</v>
      </c>
      <c r="R14" s="518"/>
      <c r="S14" s="38" t="s">
        <v>56</v>
      </c>
      <c r="T14" s="434"/>
      <c r="U14" s="174"/>
      <c r="V14" s="179" t="s">
        <v>152</v>
      </c>
      <c r="W14" s="435"/>
    </row>
    <row r="15" spans="1:23" s="5" customFormat="1" ht="213" customHeight="1" x14ac:dyDescent="0.35">
      <c r="A15" s="8">
        <v>10</v>
      </c>
      <c r="B15" s="244" t="s">
        <v>260</v>
      </c>
      <c r="C15" s="432" t="s">
        <v>46</v>
      </c>
      <c r="D15" s="104" t="s">
        <v>261</v>
      </c>
      <c r="E15" s="104" t="s">
        <v>246</v>
      </c>
      <c r="F15" s="130" t="s">
        <v>262</v>
      </c>
      <c r="G15" s="8"/>
      <c r="H15" s="8" t="s">
        <v>71</v>
      </c>
      <c r="I15" s="26" t="s">
        <v>154</v>
      </c>
      <c r="J15" s="25"/>
      <c r="K15" s="117" t="s">
        <v>74</v>
      </c>
      <c r="L15" s="426"/>
      <c r="M15" s="135" t="s">
        <v>263</v>
      </c>
      <c r="N15" s="153" t="s">
        <v>264</v>
      </c>
      <c r="O15" s="38" t="s">
        <v>55</v>
      </c>
      <c r="P15" s="120" t="s">
        <v>55</v>
      </c>
      <c r="Q15" s="162" t="s">
        <v>55</v>
      </c>
      <c r="R15" s="38" t="s">
        <v>52</v>
      </c>
      <c r="S15" s="38" t="s">
        <v>56</v>
      </c>
      <c r="T15" s="434"/>
      <c r="U15" s="174"/>
      <c r="V15" s="179" t="s">
        <v>76</v>
      </c>
      <c r="W15" s="435"/>
    </row>
    <row r="16" spans="1:23" s="5" customFormat="1" ht="409.5" hidden="1" customHeight="1" x14ac:dyDescent="0.35">
      <c r="A16" s="8">
        <v>11</v>
      </c>
      <c r="B16" s="244" t="s">
        <v>45</v>
      </c>
      <c r="C16" s="432" t="s">
        <v>67</v>
      </c>
      <c r="D16" s="101" t="s">
        <v>265</v>
      </c>
      <c r="E16" s="99" t="s">
        <v>266</v>
      </c>
      <c r="F16" s="130" t="s">
        <v>70</v>
      </c>
      <c r="G16" s="8"/>
      <c r="H16" s="8" t="s">
        <v>71</v>
      </c>
      <c r="I16" s="26" t="s">
        <v>154</v>
      </c>
      <c r="J16" s="25"/>
      <c r="K16" s="117" t="s">
        <v>74</v>
      </c>
      <c r="L16" s="426"/>
      <c r="M16" s="135" t="s">
        <v>267</v>
      </c>
      <c r="N16" s="153" t="s">
        <v>268</v>
      </c>
      <c r="O16" s="38" t="s">
        <v>150</v>
      </c>
      <c r="P16" s="120" t="s">
        <v>150</v>
      </c>
      <c r="Q16" s="162" t="s">
        <v>150</v>
      </c>
      <c r="R16" s="153" t="s">
        <v>269</v>
      </c>
      <c r="S16" s="38" t="s">
        <v>201</v>
      </c>
      <c r="T16" s="434" t="s">
        <v>270</v>
      </c>
      <c r="U16" s="174"/>
      <c r="V16" s="179" t="s">
        <v>76</v>
      </c>
      <c r="W16" s="435"/>
    </row>
    <row r="17" spans="1:23" s="5" customFormat="1" ht="298" hidden="1" customHeight="1" x14ac:dyDescent="0.35">
      <c r="A17" s="8">
        <v>12</v>
      </c>
      <c r="B17" s="244" t="s">
        <v>45</v>
      </c>
      <c r="C17" s="432" t="s">
        <v>46</v>
      </c>
      <c r="D17" s="101" t="s">
        <v>272</v>
      </c>
      <c r="E17" s="99" t="s">
        <v>273</v>
      </c>
      <c r="F17" s="130" t="s">
        <v>255</v>
      </c>
      <c r="G17" s="8"/>
      <c r="H17" s="8" t="s">
        <v>71</v>
      </c>
      <c r="I17" s="26" t="s">
        <v>154</v>
      </c>
      <c r="J17" s="25"/>
      <c r="K17" s="117" t="s">
        <v>74</v>
      </c>
      <c r="L17" s="426"/>
      <c r="M17" s="135" t="s">
        <v>274</v>
      </c>
      <c r="N17" s="153" t="s">
        <v>275</v>
      </c>
      <c r="O17" s="38" t="s">
        <v>150</v>
      </c>
      <c r="P17" s="120" t="s">
        <v>150</v>
      </c>
      <c r="Q17" s="162" t="s">
        <v>150</v>
      </c>
      <c r="R17" s="75" t="s">
        <v>276</v>
      </c>
      <c r="S17" s="38" t="s">
        <v>201</v>
      </c>
      <c r="T17" s="434" t="s">
        <v>270</v>
      </c>
      <c r="U17" s="174"/>
      <c r="V17" s="179" t="s">
        <v>152</v>
      </c>
      <c r="W17" s="435"/>
    </row>
    <row r="18" spans="1:23" s="3" customFormat="1" ht="196" customHeight="1" x14ac:dyDescent="0.35">
      <c r="A18" s="8">
        <v>13</v>
      </c>
      <c r="B18" s="244" t="s">
        <v>260</v>
      </c>
      <c r="C18" s="432" t="s">
        <v>46</v>
      </c>
      <c r="D18" s="101" t="s">
        <v>278</v>
      </c>
      <c r="E18" s="8" t="s">
        <v>279</v>
      </c>
      <c r="F18" s="130" t="s">
        <v>280</v>
      </c>
      <c r="G18" s="8"/>
      <c r="H18" s="8" t="s">
        <v>71</v>
      </c>
      <c r="I18" s="26" t="s">
        <v>154</v>
      </c>
      <c r="J18" s="25"/>
      <c r="K18" s="117" t="s">
        <v>74</v>
      </c>
      <c r="L18" s="426"/>
      <c r="M18" s="135" t="s">
        <v>281</v>
      </c>
      <c r="N18" s="38" t="s">
        <v>52</v>
      </c>
      <c r="O18" s="38" t="s">
        <v>55</v>
      </c>
      <c r="P18" s="120" t="s">
        <v>55</v>
      </c>
      <c r="Q18" s="162" t="s">
        <v>55</v>
      </c>
      <c r="R18" s="38" t="s">
        <v>52</v>
      </c>
      <c r="S18" s="38" t="s">
        <v>56</v>
      </c>
      <c r="T18" s="434"/>
      <c r="U18" s="174"/>
      <c r="V18" s="179" t="s">
        <v>76</v>
      </c>
      <c r="W18" s="435"/>
    </row>
    <row r="19" spans="1:23" s="3" customFormat="1" ht="223.5" customHeight="1" x14ac:dyDescent="0.35">
      <c r="A19" s="8"/>
      <c r="B19" s="13"/>
      <c r="C19" s="144"/>
      <c r="D19" s="8"/>
      <c r="E19" s="8"/>
      <c r="F19" s="8"/>
      <c r="G19" s="8"/>
      <c r="H19" s="8"/>
      <c r="I19" s="26"/>
      <c r="J19" s="26"/>
      <c r="K19" s="8"/>
      <c r="L19" s="8"/>
      <c r="M19" s="9"/>
      <c r="N19" s="438"/>
      <c r="O19" s="77"/>
      <c r="P19" s="120"/>
      <c r="Q19" s="141"/>
      <c r="R19" s="38"/>
      <c r="S19" s="130"/>
      <c r="T19" s="169"/>
      <c r="U19" s="174"/>
      <c r="V19" s="174"/>
      <c r="W19" s="34"/>
    </row>
    <row r="20" spans="1:23" s="3" customFormat="1" ht="79.5" customHeight="1" x14ac:dyDescent="0.35">
      <c r="A20" s="8"/>
      <c r="B20" s="12"/>
      <c r="C20" s="144"/>
      <c r="D20" s="8"/>
      <c r="E20" s="8"/>
      <c r="F20" s="8"/>
      <c r="G20" s="8"/>
      <c r="H20" s="8"/>
      <c r="I20" s="26"/>
      <c r="J20" s="27"/>
      <c r="K20" s="8"/>
      <c r="L20" s="8"/>
      <c r="M20" s="9"/>
      <c r="N20" s="438"/>
      <c r="O20" s="8"/>
      <c r="P20" s="8"/>
      <c r="Q20" s="132"/>
      <c r="R20" s="38"/>
      <c r="S20" s="102"/>
      <c r="T20" s="169"/>
      <c r="U20" s="174"/>
      <c r="V20" s="174"/>
      <c r="W20" s="34"/>
    </row>
    <row r="21" spans="1:23" s="3" customFormat="1" ht="79.5" customHeight="1" x14ac:dyDescent="0.35">
      <c r="A21" s="8"/>
      <c r="B21" s="12"/>
      <c r="C21" s="144"/>
      <c r="D21" s="8"/>
      <c r="E21" s="8"/>
      <c r="F21" s="8"/>
      <c r="G21" s="8"/>
      <c r="H21" s="8"/>
      <c r="I21" s="26"/>
      <c r="J21" s="26"/>
      <c r="K21" s="8"/>
      <c r="L21" s="8"/>
      <c r="M21" s="9"/>
      <c r="N21" s="438"/>
      <c r="O21" s="8"/>
      <c r="P21" s="8"/>
      <c r="Q21" s="132"/>
      <c r="R21" s="38"/>
      <c r="S21" s="102"/>
      <c r="T21" s="169"/>
      <c r="U21" s="174"/>
      <c r="V21" s="174"/>
      <c r="W21" s="34"/>
    </row>
    <row r="22" spans="1:23" s="3" customFormat="1" ht="79.5" customHeight="1" x14ac:dyDescent="0.35">
      <c r="A22" s="8"/>
      <c r="B22" s="12"/>
      <c r="C22" s="144"/>
      <c r="D22" s="8"/>
      <c r="E22" s="8"/>
      <c r="F22" s="8"/>
      <c r="G22" s="8"/>
      <c r="H22" s="8"/>
      <c r="I22" s="26"/>
      <c r="J22" s="26"/>
      <c r="K22" s="8"/>
      <c r="L22" s="8"/>
      <c r="M22" s="9"/>
      <c r="N22" s="438"/>
      <c r="O22" s="8"/>
      <c r="P22" s="8"/>
      <c r="Q22" s="132"/>
      <c r="R22" s="38"/>
      <c r="S22" s="102"/>
      <c r="T22" s="169"/>
      <c r="U22" s="174"/>
      <c r="V22" s="174"/>
      <c r="W22" s="34"/>
    </row>
    <row r="23" spans="1:23" s="3" customFormat="1" ht="79.5" customHeight="1" x14ac:dyDescent="0.35">
      <c r="A23" s="8"/>
      <c r="B23" s="12"/>
      <c r="C23" s="144"/>
      <c r="D23" s="8"/>
      <c r="E23" s="8"/>
      <c r="F23" s="8"/>
      <c r="G23" s="8"/>
      <c r="H23" s="8"/>
      <c r="I23" s="26"/>
      <c r="J23" s="26"/>
      <c r="K23" s="8"/>
      <c r="L23" s="8"/>
      <c r="M23" s="9"/>
      <c r="N23" s="438"/>
      <c r="O23" s="8"/>
      <c r="P23" s="8"/>
      <c r="Q23" s="132"/>
      <c r="R23" s="38"/>
      <c r="S23" s="102"/>
      <c r="T23" s="169"/>
      <c r="U23" s="174"/>
      <c r="V23" s="174"/>
      <c r="W23" s="34"/>
    </row>
    <row r="24" spans="1:23" s="3" customFormat="1" ht="79.5" customHeight="1" x14ac:dyDescent="0.35">
      <c r="A24" s="8"/>
      <c r="B24" s="12"/>
      <c r="C24" s="144"/>
      <c r="D24" s="8"/>
      <c r="E24" s="8"/>
      <c r="F24" s="8"/>
      <c r="G24" s="8"/>
      <c r="H24" s="8"/>
      <c r="I24" s="26"/>
      <c r="J24" s="26"/>
      <c r="K24" s="8"/>
      <c r="L24" s="8"/>
      <c r="M24" s="9"/>
      <c r="N24" s="438"/>
      <c r="O24" s="8"/>
      <c r="P24" s="8"/>
      <c r="Q24" s="132"/>
      <c r="R24" s="38"/>
      <c r="S24" s="102"/>
      <c r="T24" s="169"/>
      <c r="U24" s="174"/>
      <c r="V24" s="174"/>
      <c r="W24" s="34"/>
    </row>
    <row r="25" spans="1:23" s="3" customFormat="1" ht="79.5" customHeight="1" x14ac:dyDescent="0.35">
      <c r="A25" s="8"/>
      <c r="B25" s="12"/>
      <c r="C25" s="144"/>
      <c r="D25" s="8"/>
      <c r="E25" s="8"/>
      <c r="F25" s="8"/>
      <c r="G25" s="8"/>
      <c r="H25" s="8"/>
      <c r="I25" s="26"/>
      <c r="J25" s="26"/>
      <c r="K25" s="8"/>
      <c r="L25" s="8"/>
      <c r="M25" s="9"/>
      <c r="N25" s="438"/>
      <c r="O25" s="80"/>
      <c r="P25" s="80"/>
      <c r="Q25" s="190"/>
      <c r="R25" s="38"/>
      <c r="S25" s="102"/>
      <c r="T25" s="169"/>
      <c r="U25" s="174"/>
      <c r="V25" s="174"/>
      <c r="W25" s="34"/>
    </row>
    <row r="26" spans="1:23" s="3" customFormat="1" ht="79.5" customHeight="1" x14ac:dyDescent="0.35">
      <c r="A26" s="8"/>
      <c r="B26" s="12"/>
      <c r="C26" s="144"/>
      <c r="D26" s="8"/>
      <c r="E26" s="8"/>
      <c r="F26" s="8"/>
      <c r="G26" s="8"/>
      <c r="H26" s="8"/>
      <c r="I26" s="26"/>
      <c r="J26" s="26"/>
      <c r="K26" s="8"/>
      <c r="L26" s="8"/>
      <c r="M26" s="9"/>
      <c r="N26" s="439"/>
      <c r="O26" s="38"/>
      <c r="P26" s="38"/>
      <c r="Q26" s="136"/>
      <c r="R26" s="38"/>
      <c r="S26" s="102"/>
      <c r="T26" s="169"/>
      <c r="U26" s="174"/>
      <c r="V26" s="174"/>
      <c r="W26" s="34"/>
    </row>
    <row r="27" spans="1:23" ht="79.5" customHeight="1" x14ac:dyDescent="0.4">
      <c r="A27" s="19"/>
      <c r="B27" s="20"/>
      <c r="C27" s="144"/>
      <c r="D27" s="19"/>
      <c r="E27" s="19"/>
      <c r="F27" s="19"/>
      <c r="G27" s="19"/>
      <c r="H27" s="19"/>
      <c r="I27" s="28"/>
      <c r="J27" s="28"/>
      <c r="K27" s="19"/>
      <c r="L27" s="19"/>
      <c r="M27" s="21"/>
      <c r="N27" s="439"/>
      <c r="O27" s="38"/>
      <c r="P27" s="38"/>
      <c r="Q27" s="136"/>
      <c r="R27" s="38"/>
      <c r="S27" s="178"/>
      <c r="T27" s="170"/>
      <c r="U27" s="174"/>
      <c r="V27" s="175"/>
      <c r="W27" s="34"/>
    </row>
    <row r="28" spans="1:23" ht="16" x14ac:dyDescent="0.35">
      <c r="O28" s="79"/>
      <c r="P28" s="79"/>
      <c r="Q28" s="79"/>
      <c r="R28" s="79"/>
      <c r="U28" s="235"/>
    </row>
    <row r="29" spans="1:23" ht="16" x14ac:dyDescent="0.35">
      <c r="O29" s="79"/>
      <c r="P29" s="79"/>
      <c r="Q29" s="79"/>
      <c r="R29" s="79"/>
      <c r="U29" s="235"/>
    </row>
    <row r="30" spans="1:23" ht="16" x14ac:dyDescent="0.35">
      <c r="O30" s="79"/>
      <c r="P30" s="79"/>
      <c r="Q30" s="79"/>
      <c r="R30" s="79"/>
      <c r="U30" s="235"/>
    </row>
    <row r="31" spans="1:23" ht="16" x14ac:dyDescent="0.35">
      <c r="O31" s="79"/>
      <c r="P31" s="79"/>
      <c r="Q31" s="79"/>
      <c r="R31" s="79"/>
      <c r="U31" s="235"/>
    </row>
    <row r="32" spans="1:23" ht="16" x14ac:dyDescent="0.35">
      <c r="O32" s="79"/>
      <c r="P32" s="79"/>
      <c r="Q32" s="79"/>
      <c r="R32" s="79"/>
      <c r="U32" s="235"/>
    </row>
    <row r="33" spans="15:21" ht="16" x14ac:dyDescent="0.35">
      <c r="O33" s="79"/>
      <c r="P33" s="79"/>
      <c r="Q33" s="79"/>
      <c r="R33" s="79"/>
      <c r="U33" s="235"/>
    </row>
    <row r="34" spans="15:21" ht="16" x14ac:dyDescent="0.35">
      <c r="O34" s="79"/>
      <c r="P34" s="79"/>
      <c r="Q34" s="79"/>
      <c r="R34" s="79"/>
      <c r="U34" s="235"/>
    </row>
    <row r="35" spans="15:21" ht="16" x14ac:dyDescent="0.35">
      <c r="O35" s="79"/>
      <c r="P35" s="79"/>
      <c r="Q35" s="79"/>
      <c r="R35" s="79"/>
      <c r="U35" s="235"/>
    </row>
    <row r="36" spans="15:21" ht="16" x14ac:dyDescent="0.35">
      <c r="O36" s="79"/>
      <c r="P36" s="79"/>
      <c r="Q36" s="79"/>
      <c r="R36" s="79"/>
      <c r="U36" s="235"/>
    </row>
    <row r="37" spans="15:21" ht="16" x14ac:dyDescent="0.35">
      <c r="O37" s="79"/>
      <c r="P37" s="79"/>
      <c r="Q37" s="79"/>
      <c r="R37" s="79"/>
      <c r="U37" s="235"/>
    </row>
    <row r="38" spans="15:21" ht="16" x14ac:dyDescent="0.35">
      <c r="O38" s="79"/>
      <c r="P38" s="79"/>
      <c r="Q38" s="79"/>
      <c r="R38" s="79"/>
      <c r="U38" s="235"/>
    </row>
    <row r="39" spans="15:21" ht="16" x14ac:dyDescent="0.35">
      <c r="O39" s="79"/>
      <c r="P39" s="79"/>
      <c r="Q39" s="79"/>
      <c r="R39" s="79"/>
      <c r="U39" s="235"/>
    </row>
    <row r="40" spans="15:21" ht="16" x14ac:dyDescent="0.35">
      <c r="O40" s="79"/>
      <c r="P40" s="79"/>
      <c r="Q40" s="79"/>
      <c r="R40" s="79"/>
      <c r="U40" s="235"/>
    </row>
    <row r="41" spans="15:21" ht="16" x14ac:dyDescent="0.35">
      <c r="O41" s="79"/>
      <c r="P41" s="79"/>
      <c r="Q41" s="79"/>
      <c r="R41" s="79"/>
      <c r="U41" s="235"/>
    </row>
    <row r="42" spans="15:21" ht="16" x14ac:dyDescent="0.35">
      <c r="O42" s="79"/>
      <c r="P42" s="79"/>
      <c r="Q42" s="79"/>
      <c r="R42" s="79"/>
      <c r="U42" s="235"/>
    </row>
    <row r="43" spans="15:21" ht="16" x14ac:dyDescent="0.35">
      <c r="O43" s="79"/>
      <c r="P43" s="79"/>
      <c r="Q43" s="79"/>
      <c r="R43" s="79"/>
      <c r="U43" s="235"/>
    </row>
    <row r="44" spans="15:21" ht="16" x14ac:dyDescent="0.35">
      <c r="O44" s="79"/>
      <c r="P44" s="79"/>
      <c r="Q44" s="79"/>
      <c r="R44" s="79"/>
      <c r="U44" s="235"/>
    </row>
    <row r="45" spans="15:21" ht="16" x14ac:dyDescent="0.35">
      <c r="O45" s="79"/>
      <c r="P45" s="79"/>
      <c r="Q45" s="79"/>
      <c r="R45" s="79"/>
      <c r="U45" s="235"/>
    </row>
    <row r="46" spans="15:21" ht="16" x14ac:dyDescent="0.35">
      <c r="O46" s="79"/>
      <c r="P46" s="79"/>
      <c r="Q46" s="79"/>
      <c r="R46" s="79"/>
      <c r="U46" s="235"/>
    </row>
    <row r="47" spans="15:21" ht="16" x14ac:dyDescent="0.35">
      <c r="O47" s="79"/>
      <c r="P47" s="79"/>
      <c r="Q47" s="79"/>
      <c r="R47" s="79"/>
      <c r="U47" s="235"/>
    </row>
    <row r="48" spans="15:21" ht="16" x14ac:dyDescent="0.35">
      <c r="O48" s="79"/>
      <c r="P48" s="79"/>
      <c r="Q48" s="79"/>
      <c r="R48" s="79"/>
      <c r="U48" s="235"/>
    </row>
    <row r="49" spans="15:21" ht="16" x14ac:dyDescent="0.35">
      <c r="O49" s="79"/>
      <c r="P49" s="79"/>
      <c r="Q49" s="79"/>
      <c r="R49" s="79"/>
      <c r="U49" s="235"/>
    </row>
    <row r="50" spans="15:21" ht="16" x14ac:dyDescent="0.35">
      <c r="O50" s="79"/>
      <c r="P50" s="79"/>
      <c r="Q50" s="79"/>
      <c r="R50" s="79"/>
      <c r="U50" s="235"/>
    </row>
    <row r="51" spans="15:21" ht="16" x14ac:dyDescent="0.35">
      <c r="O51" s="79"/>
      <c r="P51" s="79"/>
      <c r="Q51" s="79"/>
      <c r="R51" s="79"/>
      <c r="U51" s="235"/>
    </row>
    <row r="52" spans="15:21" ht="16" x14ac:dyDescent="0.35">
      <c r="O52" s="79"/>
      <c r="P52" s="79"/>
      <c r="Q52" s="79"/>
      <c r="R52" s="79"/>
      <c r="U52" s="235"/>
    </row>
    <row r="53" spans="15:21" ht="16" x14ac:dyDescent="0.35">
      <c r="O53" s="79"/>
      <c r="P53" s="79"/>
      <c r="Q53" s="79"/>
      <c r="R53" s="79"/>
      <c r="U53" s="235"/>
    </row>
    <row r="54" spans="15:21" ht="16" x14ac:dyDescent="0.35">
      <c r="O54" s="79"/>
      <c r="P54" s="79"/>
      <c r="Q54" s="79"/>
      <c r="R54" s="79"/>
      <c r="U54" s="235"/>
    </row>
    <row r="55" spans="15:21" ht="16" x14ac:dyDescent="0.35">
      <c r="O55" s="79"/>
      <c r="P55" s="79"/>
      <c r="Q55" s="79"/>
      <c r="R55" s="79"/>
      <c r="U55" s="235"/>
    </row>
    <row r="56" spans="15:21" ht="16" x14ac:dyDescent="0.35">
      <c r="O56" s="79"/>
      <c r="P56" s="79"/>
      <c r="Q56" s="79"/>
      <c r="R56" s="79"/>
      <c r="U56" s="235"/>
    </row>
    <row r="57" spans="15:21" ht="16" x14ac:dyDescent="0.35">
      <c r="O57" s="79"/>
      <c r="P57" s="79"/>
      <c r="Q57" s="79"/>
      <c r="R57" s="79"/>
      <c r="U57" s="235"/>
    </row>
    <row r="58" spans="15:21" ht="16" x14ac:dyDescent="0.35">
      <c r="O58" s="79"/>
      <c r="P58" s="79"/>
      <c r="Q58" s="79"/>
      <c r="R58" s="79"/>
      <c r="U58" s="235"/>
    </row>
    <row r="59" spans="15:21" ht="16" x14ac:dyDescent="0.35">
      <c r="O59" s="79"/>
      <c r="P59" s="79"/>
      <c r="Q59" s="79"/>
      <c r="R59" s="79"/>
      <c r="U59" s="235"/>
    </row>
    <row r="60" spans="15:21" ht="16" x14ac:dyDescent="0.35">
      <c r="O60" s="79"/>
      <c r="P60" s="79"/>
      <c r="Q60" s="79"/>
      <c r="R60" s="79"/>
      <c r="U60" s="235"/>
    </row>
    <row r="61" spans="15:21" ht="16" x14ac:dyDescent="0.35">
      <c r="O61" s="79"/>
      <c r="P61" s="79"/>
      <c r="Q61" s="79"/>
      <c r="R61" s="79"/>
      <c r="U61" s="235"/>
    </row>
    <row r="62" spans="15:21" ht="16" x14ac:dyDescent="0.35">
      <c r="O62" s="79"/>
      <c r="P62" s="79"/>
      <c r="Q62" s="79"/>
      <c r="R62" s="79"/>
      <c r="U62" s="235"/>
    </row>
    <row r="63" spans="15:21" ht="16" x14ac:dyDescent="0.35">
      <c r="O63" s="79"/>
      <c r="P63" s="79"/>
      <c r="Q63" s="79"/>
      <c r="R63" s="79"/>
      <c r="U63" s="235"/>
    </row>
    <row r="64" spans="15:21" ht="16" x14ac:dyDescent="0.35">
      <c r="O64" s="79"/>
      <c r="P64" s="79"/>
      <c r="Q64" s="79"/>
      <c r="R64" s="79"/>
      <c r="U64" s="235"/>
    </row>
    <row r="65" spans="15:21" ht="16" x14ac:dyDescent="0.35">
      <c r="O65" s="79"/>
      <c r="P65" s="79"/>
      <c r="Q65" s="79"/>
      <c r="R65" s="79"/>
      <c r="U65" s="235"/>
    </row>
    <row r="66" spans="15:21" ht="16" x14ac:dyDescent="0.35">
      <c r="O66" s="79"/>
      <c r="P66" s="79"/>
      <c r="Q66" s="79"/>
      <c r="R66" s="79"/>
      <c r="U66" s="235"/>
    </row>
    <row r="67" spans="15:21" ht="16" x14ac:dyDescent="0.35">
      <c r="O67" s="79"/>
      <c r="P67" s="79"/>
      <c r="Q67" s="79"/>
      <c r="R67" s="79"/>
      <c r="U67" s="235"/>
    </row>
    <row r="68" spans="15:21" ht="16" x14ac:dyDescent="0.35">
      <c r="O68" s="79"/>
      <c r="P68" s="79"/>
      <c r="Q68" s="79"/>
      <c r="R68" s="79"/>
      <c r="U68" s="235"/>
    </row>
    <row r="69" spans="15:21" ht="16" x14ac:dyDescent="0.35">
      <c r="O69" s="79"/>
      <c r="P69" s="79"/>
      <c r="Q69" s="79"/>
      <c r="R69" s="79"/>
      <c r="U69" s="235"/>
    </row>
    <row r="70" spans="15:21" ht="16" x14ac:dyDescent="0.35">
      <c r="O70" s="79"/>
      <c r="P70" s="79"/>
      <c r="Q70" s="79"/>
      <c r="R70" s="79"/>
      <c r="U70" s="235"/>
    </row>
    <row r="71" spans="15:21" ht="16" x14ac:dyDescent="0.35">
      <c r="O71" s="79"/>
      <c r="P71" s="79"/>
      <c r="Q71" s="79"/>
      <c r="R71" s="79"/>
      <c r="U71" s="235"/>
    </row>
    <row r="72" spans="15:21" ht="16" x14ac:dyDescent="0.35">
      <c r="O72" s="79"/>
      <c r="P72" s="79"/>
      <c r="Q72" s="79"/>
      <c r="R72" s="79"/>
      <c r="U72" s="235"/>
    </row>
    <row r="73" spans="15:21" ht="16" x14ac:dyDescent="0.35">
      <c r="O73" s="79"/>
      <c r="P73" s="79"/>
      <c r="Q73" s="79"/>
      <c r="R73" s="79"/>
      <c r="U73" s="235"/>
    </row>
    <row r="74" spans="15:21" ht="16" x14ac:dyDescent="0.35">
      <c r="O74" s="79"/>
      <c r="P74" s="79"/>
      <c r="Q74" s="79"/>
      <c r="R74" s="79"/>
      <c r="U74" s="235"/>
    </row>
    <row r="75" spans="15:21" ht="16" x14ac:dyDescent="0.35">
      <c r="O75" s="79"/>
      <c r="P75" s="79"/>
      <c r="Q75" s="79"/>
      <c r="R75" s="79"/>
      <c r="U75" s="235"/>
    </row>
    <row r="76" spans="15:21" x14ac:dyDescent="0.35">
      <c r="U76" s="235"/>
    </row>
    <row r="77" spans="15:21" x14ac:dyDescent="0.35">
      <c r="U77" s="235"/>
    </row>
    <row r="78" spans="15:21" x14ac:dyDescent="0.35">
      <c r="U78" s="235"/>
    </row>
    <row r="79" spans="15:21" x14ac:dyDescent="0.35">
      <c r="U79" s="235"/>
    </row>
    <row r="80" spans="15:21" x14ac:dyDescent="0.35">
      <c r="U80" s="235"/>
    </row>
    <row r="81" spans="21:21" x14ac:dyDescent="0.35">
      <c r="U81" s="235"/>
    </row>
    <row r="82" spans="21:21" x14ac:dyDescent="0.35">
      <c r="U82" s="235"/>
    </row>
    <row r="83" spans="21:21" x14ac:dyDescent="0.35">
      <c r="U83" s="235"/>
    </row>
    <row r="84" spans="21:21" x14ac:dyDescent="0.35">
      <c r="U84" s="235"/>
    </row>
    <row r="85" spans="21:21" x14ac:dyDescent="0.35">
      <c r="U85" s="235"/>
    </row>
    <row r="86" spans="21:21" x14ac:dyDescent="0.35">
      <c r="U86" s="235"/>
    </row>
    <row r="87" spans="21:21" x14ac:dyDescent="0.35">
      <c r="U87" s="235"/>
    </row>
    <row r="88" spans="21:21" x14ac:dyDescent="0.35">
      <c r="U88" s="235"/>
    </row>
    <row r="89" spans="21:21" x14ac:dyDescent="0.35">
      <c r="U89" s="235"/>
    </row>
    <row r="90" spans="21:21" x14ac:dyDescent="0.35">
      <c r="U90" s="235"/>
    </row>
    <row r="91" spans="21:21" x14ac:dyDescent="0.35">
      <c r="U91" s="235"/>
    </row>
    <row r="92" spans="21:21" x14ac:dyDescent="0.35">
      <c r="U92" s="235"/>
    </row>
    <row r="93" spans="21:21" x14ac:dyDescent="0.35">
      <c r="U93" s="235"/>
    </row>
    <row r="94" spans="21:21" x14ac:dyDescent="0.35">
      <c r="U94" s="235"/>
    </row>
    <row r="95" spans="21:21" x14ac:dyDescent="0.35">
      <c r="U95" s="235"/>
    </row>
    <row r="96" spans="21:21" x14ac:dyDescent="0.35">
      <c r="U96" s="235"/>
    </row>
    <row r="97" spans="21:21" x14ac:dyDescent="0.35">
      <c r="U97" s="235"/>
    </row>
    <row r="98" spans="21:21" x14ac:dyDescent="0.35">
      <c r="U98" s="235"/>
    </row>
    <row r="99" spans="21:21" x14ac:dyDescent="0.35">
      <c r="U99" s="235"/>
    </row>
    <row r="100" spans="21:21" x14ac:dyDescent="0.35">
      <c r="U100" s="235"/>
    </row>
    <row r="101" spans="21:21" x14ac:dyDescent="0.35">
      <c r="U101" s="235"/>
    </row>
    <row r="102" spans="21:21" x14ac:dyDescent="0.35">
      <c r="U102" s="235"/>
    </row>
    <row r="103" spans="21:21" x14ac:dyDescent="0.35">
      <c r="U103" s="235"/>
    </row>
    <row r="104" spans="21:21" x14ac:dyDescent="0.35">
      <c r="U104" s="235"/>
    </row>
    <row r="105" spans="21:21" x14ac:dyDescent="0.35">
      <c r="U105" s="235"/>
    </row>
    <row r="106" spans="21:21" x14ac:dyDescent="0.35">
      <c r="U106" s="235"/>
    </row>
    <row r="107" spans="21:21" x14ac:dyDescent="0.35">
      <c r="U107" s="235"/>
    </row>
    <row r="108" spans="21:21" x14ac:dyDescent="0.35">
      <c r="U108" s="235"/>
    </row>
    <row r="109" spans="21:21" x14ac:dyDescent="0.35">
      <c r="U109" s="235"/>
    </row>
    <row r="110" spans="21:21" x14ac:dyDescent="0.35">
      <c r="U110" s="235"/>
    </row>
    <row r="111" spans="21:21" x14ac:dyDescent="0.35">
      <c r="U111" s="235"/>
    </row>
    <row r="112" spans="21:21" x14ac:dyDescent="0.35">
      <c r="U112" s="235"/>
    </row>
    <row r="113" spans="21:21" x14ac:dyDescent="0.35">
      <c r="U113" s="235"/>
    </row>
    <row r="114" spans="21:21" x14ac:dyDescent="0.35">
      <c r="U114" s="235"/>
    </row>
    <row r="115" spans="21:21" x14ac:dyDescent="0.35">
      <c r="U115" s="235"/>
    </row>
    <row r="116" spans="21:21" x14ac:dyDescent="0.35">
      <c r="U116" s="235"/>
    </row>
    <row r="117" spans="21:21" x14ac:dyDescent="0.35">
      <c r="U117" s="235"/>
    </row>
    <row r="118" spans="21:21" x14ac:dyDescent="0.35">
      <c r="U118" s="235"/>
    </row>
    <row r="119" spans="21:21" x14ac:dyDescent="0.35">
      <c r="U119" s="235"/>
    </row>
    <row r="120" spans="21:21" x14ac:dyDescent="0.35">
      <c r="U120" s="235"/>
    </row>
    <row r="121" spans="21:21" x14ac:dyDescent="0.35">
      <c r="U121" s="235"/>
    </row>
    <row r="122" spans="21:21" x14ac:dyDescent="0.35">
      <c r="U122" s="235"/>
    </row>
    <row r="123" spans="21:21" x14ac:dyDescent="0.35">
      <c r="U123" s="235"/>
    </row>
    <row r="124" spans="21:21" x14ac:dyDescent="0.35">
      <c r="U124" s="235"/>
    </row>
    <row r="125" spans="21:21" x14ac:dyDescent="0.35">
      <c r="U125" s="235"/>
    </row>
    <row r="126" spans="21:21" x14ac:dyDescent="0.35">
      <c r="U126" s="235"/>
    </row>
    <row r="127" spans="21:21" x14ac:dyDescent="0.35">
      <c r="U127" s="235"/>
    </row>
    <row r="128" spans="21:21" x14ac:dyDescent="0.35">
      <c r="U128" s="235"/>
    </row>
    <row r="129" spans="21:21" x14ac:dyDescent="0.35">
      <c r="U129" s="235"/>
    </row>
    <row r="130" spans="21:21" x14ac:dyDescent="0.35">
      <c r="U130" s="235"/>
    </row>
    <row r="131" spans="21:21" x14ac:dyDescent="0.35">
      <c r="U131" s="235"/>
    </row>
    <row r="132" spans="21:21" x14ac:dyDescent="0.35">
      <c r="U132" s="235"/>
    </row>
    <row r="133" spans="21:21" x14ac:dyDescent="0.35">
      <c r="U133" s="235"/>
    </row>
    <row r="134" spans="21:21" x14ac:dyDescent="0.35">
      <c r="U134" s="235"/>
    </row>
    <row r="135" spans="21:21" x14ac:dyDescent="0.35">
      <c r="U135" s="235"/>
    </row>
    <row r="136" spans="21:21" x14ac:dyDescent="0.35">
      <c r="U136" s="235"/>
    </row>
    <row r="137" spans="21:21" x14ac:dyDescent="0.35">
      <c r="U137" s="235"/>
    </row>
    <row r="138" spans="21:21" x14ac:dyDescent="0.35">
      <c r="U138" s="235"/>
    </row>
    <row r="139" spans="21:21" x14ac:dyDescent="0.35">
      <c r="U139" s="235"/>
    </row>
    <row r="140" spans="21:21" x14ac:dyDescent="0.35">
      <c r="U140" s="235"/>
    </row>
    <row r="141" spans="21:21" x14ac:dyDescent="0.35">
      <c r="U141" s="235"/>
    </row>
    <row r="142" spans="21:21" x14ac:dyDescent="0.35">
      <c r="U142" s="235"/>
    </row>
    <row r="143" spans="21:21" x14ac:dyDescent="0.35">
      <c r="U143" s="235"/>
    </row>
    <row r="144" spans="21:21" x14ac:dyDescent="0.35">
      <c r="U144" s="235"/>
    </row>
    <row r="145" spans="21:21" x14ac:dyDescent="0.35">
      <c r="U145" s="235"/>
    </row>
    <row r="146" spans="21:21" x14ac:dyDescent="0.35">
      <c r="U146" s="235"/>
    </row>
    <row r="147" spans="21:21" x14ac:dyDescent="0.35">
      <c r="U147" s="235"/>
    </row>
    <row r="148" spans="21:21" x14ac:dyDescent="0.35">
      <c r="U148" s="235"/>
    </row>
    <row r="149" spans="21:21" x14ac:dyDescent="0.35">
      <c r="U149" s="235"/>
    </row>
    <row r="150" spans="21:21" x14ac:dyDescent="0.35">
      <c r="U150" s="235"/>
    </row>
    <row r="151" spans="21:21" x14ac:dyDescent="0.35">
      <c r="U151" s="235"/>
    </row>
    <row r="152" spans="21:21" x14ac:dyDescent="0.35">
      <c r="U152" s="235"/>
    </row>
    <row r="153" spans="21:21" x14ac:dyDescent="0.35">
      <c r="U153" s="235"/>
    </row>
    <row r="154" spans="21:21" x14ac:dyDescent="0.35">
      <c r="U154" s="235"/>
    </row>
    <row r="155" spans="21:21" x14ac:dyDescent="0.35">
      <c r="U155" s="235"/>
    </row>
    <row r="156" spans="21:21" x14ac:dyDescent="0.35">
      <c r="U156" s="235"/>
    </row>
    <row r="157" spans="21:21" x14ac:dyDescent="0.35">
      <c r="U157" s="235"/>
    </row>
    <row r="158" spans="21:21" x14ac:dyDescent="0.35">
      <c r="U158" s="235"/>
    </row>
    <row r="159" spans="21:21" x14ac:dyDescent="0.35">
      <c r="U159" s="235"/>
    </row>
    <row r="160" spans="21:21" x14ac:dyDescent="0.35">
      <c r="U160" s="235"/>
    </row>
    <row r="161" spans="21:21" x14ac:dyDescent="0.35">
      <c r="U161" s="235"/>
    </row>
    <row r="162" spans="21:21" x14ac:dyDescent="0.35">
      <c r="U162" s="235"/>
    </row>
    <row r="163" spans="21:21" x14ac:dyDescent="0.35">
      <c r="U163" s="235"/>
    </row>
    <row r="164" spans="21:21" x14ac:dyDescent="0.35">
      <c r="U164" s="235"/>
    </row>
    <row r="165" spans="21:21" x14ac:dyDescent="0.35">
      <c r="U165" s="235"/>
    </row>
    <row r="166" spans="21:21" x14ac:dyDescent="0.35">
      <c r="U166" s="235"/>
    </row>
    <row r="167" spans="21:21" x14ac:dyDescent="0.35">
      <c r="U167" s="235"/>
    </row>
    <row r="168" spans="21:21" x14ac:dyDescent="0.35">
      <c r="U168" s="235"/>
    </row>
    <row r="169" spans="21:21" x14ac:dyDescent="0.35">
      <c r="U169" s="235"/>
    </row>
    <row r="170" spans="21:21" x14ac:dyDescent="0.35">
      <c r="U170" s="235"/>
    </row>
    <row r="171" spans="21:21" x14ac:dyDescent="0.35">
      <c r="U171" s="235"/>
    </row>
    <row r="172" spans="21:21" x14ac:dyDescent="0.35">
      <c r="U172" s="235"/>
    </row>
    <row r="173" spans="21:21" x14ac:dyDescent="0.35">
      <c r="U173" s="235"/>
    </row>
    <row r="174" spans="21:21" x14ac:dyDescent="0.35">
      <c r="U174" s="235"/>
    </row>
    <row r="175" spans="21:21" x14ac:dyDescent="0.35">
      <c r="U175" s="235"/>
    </row>
    <row r="176" spans="21:21" x14ac:dyDescent="0.35">
      <c r="U176" s="235"/>
    </row>
    <row r="177" spans="21:21" x14ac:dyDescent="0.35">
      <c r="U177" s="235"/>
    </row>
    <row r="178" spans="21:21" x14ac:dyDescent="0.35">
      <c r="U178" s="235"/>
    </row>
    <row r="179" spans="21:21" x14ac:dyDescent="0.35">
      <c r="U179" s="235"/>
    </row>
    <row r="180" spans="21:21" x14ac:dyDescent="0.35">
      <c r="U180" s="235"/>
    </row>
    <row r="181" spans="21:21" x14ac:dyDescent="0.35">
      <c r="U181" s="235"/>
    </row>
    <row r="182" spans="21:21" x14ac:dyDescent="0.35">
      <c r="U182" s="235"/>
    </row>
    <row r="183" spans="21:21" x14ac:dyDescent="0.35">
      <c r="U183" s="235"/>
    </row>
    <row r="184" spans="21:21" x14ac:dyDescent="0.35">
      <c r="U184" s="235"/>
    </row>
    <row r="185" spans="21:21" x14ac:dyDescent="0.35">
      <c r="U185" s="235"/>
    </row>
    <row r="186" spans="21:21" x14ac:dyDescent="0.35">
      <c r="U186" s="235"/>
    </row>
    <row r="187" spans="21:21" x14ac:dyDescent="0.35">
      <c r="U187" s="235"/>
    </row>
    <row r="188" spans="21:21" x14ac:dyDescent="0.35">
      <c r="U188" s="235"/>
    </row>
    <row r="189" spans="21:21" x14ac:dyDescent="0.35">
      <c r="U189" s="235"/>
    </row>
    <row r="190" spans="21:21" x14ac:dyDescent="0.35">
      <c r="U190" s="235"/>
    </row>
    <row r="191" spans="21:21" x14ac:dyDescent="0.35">
      <c r="U191" s="235"/>
    </row>
    <row r="192" spans="21:21" x14ac:dyDescent="0.35">
      <c r="U192" s="235"/>
    </row>
    <row r="193" spans="21:21" x14ac:dyDescent="0.35">
      <c r="U193" s="235"/>
    </row>
    <row r="194" spans="21:21" x14ac:dyDescent="0.35">
      <c r="U194" s="235"/>
    </row>
    <row r="195" spans="21:21" x14ac:dyDescent="0.35">
      <c r="U195" s="235"/>
    </row>
    <row r="196" spans="21:21" x14ac:dyDescent="0.35">
      <c r="U196" s="235"/>
    </row>
    <row r="197" spans="21:21" x14ac:dyDescent="0.35">
      <c r="U197" s="235"/>
    </row>
    <row r="198" spans="21:21" x14ac:dyDescent="0.35">
      <c r="U198" s="235"/>
    </row>
    <row r="199" spans="21:21" x14ac:dyDescent="0.35">
      <c r="U199" s="235"/>
    </row>
    <row r="200" spans="21:21" x14ac:dyDescent="0.35">
      <c r="U200" s="235"/>
    </row>
    <row r="201" spans="21:21" x14ac:dyDescent="0.35">
      <c r="U201" s="235"/>
    </row>
    <row r="202" spans="21:21" x14ac:dyDescent="0.35">
      <c r="U202" s="235"/>
    </row>
    <row r="203" spans="21:21" x14ac:dyDescent="0.35">
      <c r="U203" s="235"/>
    </row>
    <row r="204" spans="21:21" x14ac:dyDescent="0.35">
      <c r="U204" s="235"/>
    </row>
    <row r="205" spans="21:21" x14ac:dyDescent="0.35">
      <c r="U205" s="235"/>
    </row>
    <row r="206" spans="21:21" x14ac:dyDescent="0.35">
      <c r="U206" s="235"/>
    </row>
    <row r="207" spans="21:21" x14ac:dyDescent="0.35">
      <c r="U207" s="235"/>
    </row>
    <row r="208" spans="21:21" x14ac:dyDescent="0.35">
      <c r="U208" s="235"/>
    </row>
    <row r="209" spans="21:21" x14ac:dyDescent="0.35">
      <c r="U209" s="235"/>
    </row>
    <row r="210" spans="21:21" x14ac:dyDescent="0.35">
      <c r="U210" s="235"/>
    </row>
    <row r="211" spans="21:21" x14ac:dyDescent="0.35">
      <c r="U211" s="235"/>
    </row>
    <row r="212" spans="21:21" x14ac:dyDescent="0.35">
      <c r="U212" s="235"/>
    </row>
    <row r="213" spans="21:21" x14ac:dyDescent="0.35">
      <c r="U213" s="235"/>
    </row>
    <row r="214" spans="21:21" x14ac:dyDescent="0.35">
      <c r="U214" s="235"/>
    </row>
    <row r="215" spans="21:21" x14ac:dyDescent="0.35">
      <c r="U215" s="235"/>
    </row>
    <row r="216" spans="21:21" x14ac:dyDescent="0.35">
      <c r="U216" s="235"/>
    </row>
    <row r="217" spans="21:21" x14ac:dyDescent="0.35">
      <c r="U217" s="235"/>
    </row>
    <row r="218" spans="21:21" x14ac:dyDescent="0.35">
      <c r="U218" s="235"/>
    </row>
    <row r="219" spans="21:21" x14ac:dyDescent="0.35">
      <c r="U219" s="235"/>
    </row>
    <row r="220" spans="21:21" x14ac:dyDescent="0.35">
      <c r="U220" s="235"/>
    </row>
    <row r="221" spans="21:21" x14ac:dyDescent="0.35">
      <c r="U221" s="235"/>
    </row>
    <row r="222" spans="21:21" x14ac:dyDescent="0.35">
      <c r="U222" s="235"/>
    </row>
    <row r="223" spans="21:21" x14ac:dyDescent="0.35">
      <c r="U223" s="235"/>
    </row>
    <row r="224" spans="21:21" x14ac:dyDescent="0.35">
      <c r="U224" s="235"/>
    </row>
    <row r="225" spans="21:21" x14ac:dyDescent="0.35">
      <c r="U225" s="235"/>
    </row>
    <row r="226" spans="21:21" x14ac:dyDescent="0.35">
      <c r="U226" s="235"/>
    </row>
    <row r="227" spans="21:21" x14ac:dyDescent="0.35">
      <c r="U227" s="235"/>
    </row>
    <row r="228" spans="21:21" x14ac:dyDescent="0.35">
      <c r="U228" s="235"/>
    </row>
    <row r="229" spans="21:21" x14ac:dyDescent="0.35">
      <c r="U229" s="235"/>
    </row>
    <row r="230" spans="21:21" x14ac:dyDescent="0.35">
      <c r="U230" s="235"/>
    </row>
    <row r="231" spans="21:21" x14ac:dyDescent="0.35">
      <c r="U231" s="235"/>
    </row>
    <row r="232" spans="21:21" x14ac:dyDescent="0.35">
      <c r="U232" s="235"/>
    </row>
    <row r="233" spans="21:21" x14ac:dyDescent="0.35">
      <c r="U233" s="235"/>
    </row>
    <row r="234" spans="21:21" x14ac:dyDescent="0.35">
      <c r="U234" s="235"/>
    </row>
    <row r="235" spans="21:21" x14ac:dyDescent="0.35">
      <c r="U235" s="235"/>
    </row>
    <row r="236" spans="21:21" x14ac:dyDescent="0.35">
      <c r="U236" s="235"/>
    </row>
    <row r="237" spans="21:21" x14ac:dyDescent="0.35">
      <c r="U237" s="235"/>
    </row>
    <row r="238" spans="21:21" x14ac:dyDescent="0.35">
      <c r="U238" s="235"/>
    </row>
    <row r="239" spans="21:21" x14ac:dyDescent="0.35">
      <c r="U239" s="235"/>
    </row>
    <row r="240" spans="21:21" x14ac:dyDescent="0.35">
      <c r="U240" s="235"/>
    </row>
    <row r="241" spans="21:21" x14ac:dyDescent="0.35">
      <c r="U241" s="235"/>
    </row>
    <row r="242" spans="21:21" x14ac:dyDescent="0.35">
      <c r="U242" s="235"/>
    </row>
    <row r="243" spans="21:21" x14ac:dyDescent="0.35">
      <c r="U243" s="235"/>
    </row>
    <row r="244" spans="21:21" x14ac:dyDescent="0.35">
      <c r="U244" s="235"/>
    </row>
    <row r="245" spans="21:21" x14ac:dyDescent="0.35">
      <c r="U245" s="235"/>
    </row>
    <row r="246" spans="21:21" x14ac:dyDescent="0.35">
      <c r="U246" s="235"/>
    </row>
    <row r="247" spans="21:21" x14ac:dyDescent="0.35">
      <c r="U247" s="235"/>
    </row>
    <row r="248" spans="21:21" x14ac:dyDescent="0.35">
      <c r="U248" s="235"/>
    </row>
    <row r="249" spans="21:21" x14ac:dyDescent="0.35">
      <c r="U249" s="235"/>
    </row>
    <row r="250" spans="21:21" x14ac:dyDescent="0.35">
      <c r="U250" s="235"/>
    </row>
    <row r="251" spans="21:21" x14ac:dyDescent="0.35">
      <c r="U251" s="235"/>
    </row>
    <row r="252" spans="21:21" x14ac:dyDescent="0.35">
      <c r="U252" s="235"/>
    </row>
    <row r="253" spans="21:21" x14ac:dyDescent="0.35">
      <c r="U253" s="235"/>
    </row>
    <row r="254" spans="21:21" x14ac:dyDescent="0.35">
      <c r="U254" s="235"/>
    </row>
    <row r="255" spans="21:21" x14ac:dyDescent="0.35">
      <c r="U255" s="235"/>
    </row>
    <row r="256" spans="21:21" x14ac:dyDescent="0.35">
      <c r="U256" s="235"/>
    </row>
    <row r="257" spans="21:21" x14ac:dyDescent="0.35">
      <c r="U257" s="235"/>
    </row>
    <row r="258" spans="21:21" x14ac:dyDescent="0.35">
      <c r="U258" s="235"/>
    </row>
    <row r="259" spans="21:21" x14ac:dyDescent="0.35">
      <c r="U259" s="235"/>
    </row>
    <row r="260" spans="21:21" x14ac:dyDescent="0.35">
      <c r="U260" s="235"/>
    </row>
    <row r="261" spans="21:21" x14ac:dyDescent="0.35">
      <c r="U261" s="235"/>
    </row>
    <row r="262" spans="21:21" x14ac:dyDescent="0.35">
      <c r="U262" s="235"/>
    </row>
    <row r="263" spans="21:21" x14ac:dyDescent="0.35">
      <c r="U263" s="235"/>
    </row>
    <row r="264" spans="21:21" x14ac:dyDescent="0.35">
      <c r="U264" s="235"/>
    </row>
    <row r="265" spans="21:21" x14ac:dyDescent="0.35">
      <c r="U265" s="235"/>
    </row>
    <row r="266" spans="21:21" x14ac:dyDescent="0.35">
      <c r="U266" s="235"/>
    </row>
    <row r="267" spans="21:21" x14ac:dyDescent="0.35">
      <c r="U267" s="235"/>
    </row>
    <row r="268" spans="21:21" x14ac:dyDescent="0.35">
      <c r="U268" s="235"/>
    </row>
    <row r="269" spans="21:21" x14ac:dyDescent="0.35">
      <c r="U269" s="235"/>
    </row>
    <row r="270" spans="21:21" x14ac:dyDescent="0.35">
      <c r="U270" s="235"/>
    </row>
    <row r="271" spans="21:21" x14ac:dyDescent="0.35">
      <c r="U271" s="235"/>
    </row>
    <row r="272" spans="21:21" x14ac:dyDescent="0.35">
      <c r="U272" s="235"/>
    </row>
    <row r="273" spans="21:21" x14ac:dyDescent="0.35">
      <c r="U273" s="235"/>
    </row>
    <row r="274" spans="21:21" x14ac:dyDescent="0.35">
      <c r="U274" s="235"/>
    </row>
    <row r="275" spans="21:21" x14ac:dyDescent="0.35">
      <c r="U275" s="235"/>
    </row>
    <row r="276" spans="21:21" x14ac:dyDescent="0.35">
      <c r="U276" s="235"/>
    </row>
    <row r="277" spans="21:21" x14ac:dyDescent="0.35">
      <c r="U277" s="235"/>
    </row>
    <row r="278" spans="21:21" x14ac:dyDescent="0.35">
      <c r="U278" s="235"/>
    </row>
    <row r="279" spans="21:21" x14ac:dyDescent="0.35">
      <c r="U279" s="235"/>
    </row>
    <row r="280" spans="21:21" x14ac:dyDescent="0.35">
      <c r="U280" s="235"/>
    </row>
    <row r="281" spans="21:21" x14ac:dyDescent="0.35">
      <c r="U281" s="235"/>
    </row>
    <row r="282" spans="21:21" x14ac:dyDescent="0.35">
      <c r="U282" s="235"/>
    </row>
    <row r="283" spans="21:21" x14ac:dyDescent="0.35">
      <c r="U283" s="235"/>
    </row>
    <row r="284" spans="21:21" x14ac:dyDescent="0.35">
      <c r="U284" s="235"/>
    </row>
    <row r="285" spans="21:21" x14ac:dyDescent="0.35">
      <c r="U285" s="235"/>
    </row>
    <row r="286" spans="21:21" x14ac:dyDescent="0.35">
      <c r="U286" s="235"/>
    </row>
    <row r="287" spans="21:21" x14ac:dyDescent="0.35">
      <c r="U287" s="235"/>
    </row>
    <row r="288" spans="21:21" x14ac:dyDescent="0.35">
      <c r="U288" s="235"/>
    </row>
    <row r="289" spans="21:21" x14ac:dyDescent="0.35">
      <c r="U289" s="235"/>
    </row>
    <row r="290" spans="21:21" x14ac:dyDescent="0.35">
      <c r="U290" s="235"/>
    </row>
    <row r="291" spans="21:21" x14ac:dyDescent="0.35">
      <c r="U291" s="235"/>
    </row>
    <row r="292" spans="21:21" x14ac:dyDescent="0.35">
      <c r="U292" s="235"/>
    </row>
    <row r="293" spans="21:21" x14ac:dyDescent="0.35">
      <c r="U293" s="235"/>
    </row>
    <row r="294" spans="21:21" x14ac:dyDescent="0.35">
      <c r="U294" s="235"/>
    </row>
    <row r="295" spans="21:21" x14ac:dyDescent="0.35">
      <c r="U295" s="235"/>
    </row>
    <row r="296" spans="21:21" x14ac:dyDescent="0.35">
      <c r="U296" s="235"/>
    </row>
    <row r="297" spans="21:21" x14ac:dyDescent="0.35">
      <c r="U297" s="235"/>
    </row>
    <row r="298" spans="21:21" x14ac:dyDescent="0.35">
      <c r="U298" s="235"/>
    </row>
    <row r="299" spans="21:21" x14ac:dyDescent="0.35">
      <c r="U299" s="235"/>
    </row>
    <row r="300" spans="21:21" x14ac:dyDescent="0.35">
      <c r="U300" s="235"/>
    </row>
    <row r="301" spans="21:21" x14ac:dyDescent="0.35">
      <c r="U301" s="235"/>
    </row>
    <row r="302" spans="21:21" x14ac:dyDescent="0.35">
      <c r="U302" s="235"/>
    </row>
    <row r="303" spans="21:21" x14ac:dyDescent="0.35">
      <c r="U303" s="235"/>
    </row>
    <row r="304" spans="21:21" x14ac:dyDescent="0.35">
      <c r="U304" s="235"/>
    </row>
    <row r="305" spans="21:21" x14ac:dyDescent="0.35">
      <c r="U305" s="235"/>
    </row>
    <row r="306" spans="21:21" x14ac:dyDescent="0.35">
      <c r="U306" s="235"/>
    </row>
    <row r="307" spans="21:21" x14ac:dyDescent="0.35">
      <c r="U307" s="235"/>
    </row>
    <row r="308" spans="21:21" x14ac:dyDescent="0.35">
      <c r="U308" s="235"/>
    </row>
    <row r="309" spans="21:21" x14ac:dyDescent="0.35">
      <c r="U309" s="243"/>
    </row>
    <row r="310" spans="21:21" x14ac:dyDescent="0.35">
      <c r="U310" s="243"/>
    </row>
    <row r="311" spans="21:21" x14ac:dyDescent="0.35">
      <c r="U311" s="243"/>
    </row>
    <row r="312" spans="21:21" x14ac:dyDescent="0.35">
      <c r="U312" s="243"/>
    </row>
    <row r="313" spans="21:21" x14ac:dyDescent="0.35">
      <c r="U313" s="243"/>
    </row>
    <row r="314" spans="21:21" x14ac:dyDescent="0.35">
      <c r="U314" s="243"/>
    </row>
    <row r="315" spans="21:21" x14ac:dyDescent="0.35">
      <c r="U315" s="243"/>
    </row>
    <row r="316" spans="21:21" x14ac:dyDescent="0.35">
      <c r="U316" s="243"/>
    </row>
    <row r="317" spans="21:21" x14ac:dyDescent="0.35">
      <c r="U317" s="243"/>
    </row>
    <row r="318" spans="21:21" x14ac:dyDescent="0.35">
      <c r="U318" s="243"/>
    </row>
    <row r="319" spans="21:21" x14ac:dyDescent="0.35">
      <c r="U319" s="243"/>
    </row>
    <row r="320" spans="21:21" x14ac:dyDescent="0.35">
      <c r="U320" s="243"/>
    </row>
    <row r="321" spans="21:21" x14ac:dyDescent="0.35">
      <c r="U321" s="243"/>
    </row>
    <row r="322" spans="21:21" x14ac:dyDescent="0.35">
      <c r="U322" s="243"/>
    </row>
    <row r="323" spans="21:21" x14ac:dyDescent="0.35">
      <c r="U323" s="243"/>
    </row>
    <row r="324" spans="21:21" x14ac:dyDescent="0.35">
      <c r="U324" s="243"/>
    </row>
    <row r="325" spans="21:21" x14ac:dyDescent="0.35">
      <c r="U325" s="243"/>
    </row>
    <row r="326" spans="21:21" x14ac:dyDescent="0.35">
      <c r="U326" s="243"/>
    </row>
    <row r="327" spans="21:21" x14ac:dyDescent="0.35">
      <c r="U327" s="243"/>
    </row>
    <row r="328" spans="21:21" x14ac:dyDescent="0.35">
      <c r="U328" s="243"/>
    </row>
    <row r="329" spans="21:21" x14ac:dyDescent="0.35">
      <c r="U329" s="243"/>
    </row>
    <row r="330" spans="21:21" x14ac:dyDescent="0.35">
      <c r="U330" s="243"/>
    </row>
    <row r="331" spans="21:21" x14ac:dyDescent="0.35">
      <c r="U331" s="243"/>
    </row>
    <row r="332" spans="21:21" x14ac:dyDescent="0.35">
      <c r="U332" s="243"/>
    </row>
    <row r="333" spans="21:21" x14ac:dyDescent="0.35">
      <c r="U333" s="243"/>
    </row>
    <row r="334" spans="21:21" x14ac:dyDescent="0.35">
      <c r="U334" s="243"/>
    </row>
    <row r="335" spans="21:21" x14ac:dyDescent="0.35">
      <c r="U335" s="243"/>
    </row>
    <row r="336" spans="21:21" x14ac:dyDescent="0.35">
      <c r="U336" s="243"/>
    </row>
    <row r="337" spans="21:21" x14ac:dyDescent="0.35">
      <c r="U337" s="243"/>
    </row>
    <row r="338" spans="21:21" x14ac:dyDescent="0.35">
      <c r="U338" s="243"/>
    </row>
    <row r="339" spans="21:21" x14ac:dyDescent="0.35">
      <c r="U339" s="243"/>
    </row>
    <row r="340" spans="21:21" x14ac:dyDescent="0.35">
      <c r="U340" s="243"/>
    </row>
    <row r="341" spans="21:21" x14ac:dyDescent="0.35">
      <c r="U341" s="243"/>
    </row>
    <row r="342" spans="21:21" x14ac:dyDescent="0.35">
      <c r="U342" s="243"/>
    </row>
    <row r="343" spans="21:21" x14ac:dyDescent="0.35">
      <c r="U343" s="243"/>
    </row>
    <row r="344" spans="21:21" x14ac:dyDescent="0.35">
      <c r="U344" s="243"/>
    </row>
    <row r="345" spans="21:21" x14ac:dyDescent="0.35">
      <c r="U345" s="243"/>
    </row>
    <row r="346" spans="21:21" x14ac:dyDescent="0.35">
      <c r="U346" s="243"/>
    </row>
    <row r="347" spans="21:21" x14ac:dyDescent="0.35">
      <c r="U347" s="243"/>
    </row>
    <row r="348" spans="21:21" x14ac:dyDescent="0.35">
      <c r="U348" s="243"/>
    </row>
    <row r="349" spans="21:21" x14ac:dyDescent="0.35">
      <c r="U349" s="243"/>
    </row>
    <row r="350" spans="21:21" x14ac:dyDescent="0.35">
      <c r="U350" s="243"/>
    </row>
    <row r="351" spans="21:21" x14ac:dyDescent="0.35">
      <c r="U351" s="243"/>
    </row>
    <row r="352" spans="21:21" x14ac:dyDescent="0.35">
      <c r="U352" s="243"/>
    </row>
    <row r="353" spans="21:21" x14ac:dyDescent="0.35">
      <c r="U353" s="243"/>
    </row>
    <row r="354" spans="21:21" x14ac:dyDescent="0.35">
      <c r="U354" s="243"/>
    </row>
    <row r="355" spans="21:21" x14ac:dyDescent="0.35">
      <c r="U355" s="243"/>
    </row>
    <row r="356" spans="21:21" x14ac:dyDescent="0.35">
      <c r="U356" s="243"/>
    </row>
    <row r="357" spans="21:21" x14ac:dyDescent="0.35">
      <c r="U357" s="243"/>
    </row>
    <row r="358" spans="21:21" x14ac:dyDescent="0.35">
      <c r="U358" s="243"/>
    </row>
    <row r="359" spans="21:21" x14ac:dyDescent="0.35">
      <c r="U359" s="243"/>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2">
    <mergeCell ref="R6:R8"/>
    <mergeCell ref="R10:R11"/>
    <mergeCell ref="R12:R14"/>
    <mergeCell ref="A1:W1"/>
    <mergeCell ref="A2:W2"/>
    <mergeCell ref="A3:W3"/>
    <mergeCell ref="A4:E4"/>
    <mergeCell ref="F4:L4"/>
    <mergeCell ref="M4:N4"/>
    <mergeCell ref="O4:R4"/>
    <mergeCell ref="S4:U4"/>
    <mergeCell ref="V4:W4"/>
  </mergeCells>
  <conditionalFormatting sqref="O6:R6 O7:Q8 O9:R9 O10:Q16 O17:R1048576">
    <cfRule type="containsText" dxfId="92" priority="1" operator="containsText" text="No">
      <formula>NOT(ISERROR(SEARCH("No",O6)))</formula>
    </cfRule>
    <cfRule type="containsText" dxfId="91" priority="2" operator="containsText" text="Yes">
      <formula>NOT(ISERROR(SEARCH("Yes",O6)))</formula>
    </cfRule>
  </conditionalFormatting>
  <conditionalFormatting sqref="S6:S1048576">
    <cfRule type="containsText" dxfId="90" priority="3" operator="containsText" text="Rejected">
      <formula>NOT(ISERROR(SEARCH("Rejected",S6)))</formula>
    </cfRule>
    <cfRule type="containsText" dxfId="89" priority="4" operator="containsText" text="Revisions Needed">
      <formula>NOT(ISERROR(SEARCH("Revisions Needed",S6)))</formula>
    </cfRule>
    <cfRule type="containsText" dxfId="88" priority="5" operator="containsText" text="Approved">
      <formula>NOT(ISERROR(SEARCH("Approved",S6)))</formula>
    </cfRule>
  </conditionalFormatting>
  <dataValidations count="3">
    <dataValidation type="list" allowBlank="1" showInputMessage="1" showErrorMessage="1" sqref="C6:C1048576" xr:uid="{92251FE4-33D6-465F-BA5D-7735EC311A42}">
      <formula1>"Monthly, Yearly"</formula1>
    </dataValidation>
    <dataValidation type="list" allowBlank="1" showInputMessage="1" showErrorMessage="1" sqref="O19:O1048576 O6:O14 P6:Q1048576" xr:uid="{4C031CD5-C347-468D-8909-4C6536717AAE}">
      <formula1>"No, Yes"</formula1>
    </dataValidation>
    <dataValidation type="list" allowBlank="1" sqref="S6:S1048576" xr:uid="{DF7762C7-0657-4175-9D1D-F6F2249C5409}">
      <formula1>"Approved,Revisions Needed, Rejected"</formula1>
    </dataValidation>
  </dataValidations>
  <pageMargins left="0.75" right="0.75" top="1" bottom="1" header="0.511811023622047" footer="0.511811023622047"/>
  <pageSetup paperSize="9" orientation="portrait" horizontalDpi="300" verticalDpi="30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B72B-1E22-4663-A704-1ECCA49B3421}">
  <sheetPr>
    <tabColor theme="6"/>
  </sheetPr>
  <dimension ref="A1:W359"/>
  <sheetViews>
    <sheetView showGridLines="0" topLeftCell="A5" zoomScale="70" zoomScaleNormal="70" workbookViewId="0">
      <selection activeCell="H19" sqref="H19"/>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3.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0.81640625" style="2" customWidth="1"/>
    <col min="13" max="13" width="36" style="1" customWidth="1"/>
    <col min="14" max="14" width="46.1796875" style="143" customWidth="1"/>
    <col min="15" max="15" width="12.81640625" style="76" customWidth="1"/>
    <col min="16" max="16" width="10.81640625" style="76" customWidth="1"/>
    <col min="17" max="17" width="13.1796875" style="76" customWidth="1"/>
    <col min="18" max="18" width="45.26953125" style="76" customWidth="1"/>
    <col min="19" max="19" width="20.54296875" style="2" customWidth="1"/>
    <col min="20" max="20" width="76.54296875" style="17" customWidth="1"/>
    <col min="21" max="21" width="53.726562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676</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c r="W3" s="512"/>
    </row>
    <row r="4" spans="1:23" s="4" customFormat="1" ht="27.75" customHeight="1" thickTop="1" thickBot="1" x14ac:dyDescent="0.45">
      <c r="A4" s="513" t="s">
        <v>3</v>
      </c>
      <c r="B4" s="514"/>
      <c r="C4" s="514"/>
      <c r="D4" s="514"/>
      <c r="E4" s="514"/>
      <c r="F4" s="513" t="s">
        <v>4</v>
      </c>
      <c r="G4" s="514"/>
      <c r="H4" s="514"/>
      <c r="I4" s="514"/>
      <c r="J4" s="514"/>
      <c r="K4" s="514"/>
      <c r="L4" s="515"/>
      <c r="M4" s="516" t="s">
        <v>5</v>
      </c>
      <c r="N4" s="516"/>
      <c r="O4" s="513" t="s">
        <v>6</v>
      </c>
      <c r="P4" s="514"/>
      <c r="Q4" s="514"/>
      <c r="R4" s="515"/>
      <c r="S4" s="513" t="s">
        <v>7</v>
      </c>
      <c r="T4" s="514"/>
      <c r="U4" s="515"/>
      <c r="V4" s="513" t="s">
        <v>8</v>
      </c>
      <c r="W4" s="515"/>
    </row>
    <row r="5" spans="1:23" ht="71.5" customHeight="1" thickTop="1" thickBot="1" x14ac:dyDescent="0.4">
      <c r="A5" s="10" t="s">
        <v>9</v>
      </c>
      <c r="B5" s="10" t="s">
        <v>10</v>
      </c>
      <c r="C5" s="10" t="s">
        <v>11</v>
      </c>
      <c r="D5" s="10" t="s">
        <v>12</v>
      </c>
      <c r="E5" s="10" t="s">
        <v>13</v>
      </c>
      <c r="F5" s="10" t="s">
        <v>14</v>
      </c>
      <c r="G5" s="10" t="s">
        <v>228</v>
      </c>
      <c r="H5" s="10" t="s">
        <v>15</v>
      </c>
      <c r="I5" s="10" t="s">
        <v>16</v>
      </c>
      <c r="J5" s="10" t="s">
        <v>17</v>
      </c>
      <c r="K5" s="10" t="s">
        <v>18</v>
      </c>
      <c r="L5" s="10" t="s">
        <v>19</v>
      </c>
      <c r="M5" s="10" t="s">
        <v>20</v>
      </c>
      <c r="N5" s="10" t="s">
        <v>21</v>
      </c>
      <c r="O5" s="10" t="s">
        <v>22</v>
      </c>
      <c r="P5" s="10" t="s">
        <v>23</v>
      </c>
      <c r="Q5" s="10" t="s">
        <v>24</v>
      </c>
      <c r="R5" s="10" t="s">
        <v>25</v>
      </c>
      <c r="S5" s="23" t="s">
        <v>26</v>
      </c>
      <c r="T5" s="18" t="s">
        <v>27</v>
      </c>
      <c r="U5" s="18" t="s">
        <v>28</v>
      </c>
      <c r="V5" s="18" t="s">
        <v>29</v>
      </c>
      <c r="W5" s="433" t="s">
        <v>30</v>
      </c>
    </row>
    <row r="6" spans="1:23" s="5" customFormat="1" ht="394.5" customHeight="1" thickTop="1" x14ac:dyDescent="0.35">
      <c r="A6" s="117">
        <v>1</v>
      </c>
      <c r="B6" s="244" t="s">
        <v>45</v>
      </c>
      <c r="C6" s="432" t="s">
        <v>46</v>
      </c>
      <c r="D6" s="117" t="s">
        <v>677</v>
      </c>
      <c r="E6" s="429" t="s">
        <v>678</v>
      </c>
      <c r="F6" s="117" t="s">
        <v>49</v>
      </c>
      <c r="G6" s="117"/>
      <c r="H6" s="117" t="s">
        <v>50</v>
      </c>
      <c r="I6" s="25" t="s">
        <v>51</v>
      </c>
      <c r="J6" s="25" t="s">
        <v>52</v>
      </c>
      <c r="K6" s="117" t="s">
        <v>74</v>
      </c>
      <c r="L6" s="426" t="s">
        <v>52</v>
      </c>
      <c r="M6" s="274" t="s">
        <v>679</v>
      </c>
      <c r="N6" s="162" t="s">
        <v>680</v>
      </c>
      <c r="O6" s="120" t="s">
        <v>150</v>
      </c>
      <c r="P6" s="120" t="s">
        <v>55</v>
      </c>
      <c r="Q6" s="162" t="s">
        <v>55</v>
      </c>
      <c r="R6" s="552" t="s">
        <v>681</v>
      </c>
      <c r="S6" s="130" t="s">
        <v>56</v>
      </c>
      <c r="T6" s="168"/>
      <c r="U6" s="179"/>
      <c r="V6" s="179" t="s">
        <v>76</v>
      </c>
      <c r="W6" s="176"/>
    </row>
    <row r="7" spans="1:23" s="5" customFormat="1" ht="252.65" customHeight="1" x14ac:dyDescent="0.35">
      <c r="A7" s="8">
        <v>2</v>
      </c>
      <c r="B7" s="244" t="s">
        <v>45</v>
      </c>
      <c r="C7" s="432" t="s">
        <v>46</v>
      </c>
      <c r="D7" s="117" t="s">
        <v>677</v>
      </c>
      <c r="E7" s="430" t="s">
        <v>682</v>
      </c>
      <c r="F7" s="117" t="s">
        <v>49</v>
      </c>
      <c r="G7" s="8"/>
      <c r="H7" s="117" t="s">
        <v>50</v>
      </c>
      <c r="I7" s="26" t="s">
        <v>405</v>
      </c>
      <c r="J7" s="25" t="s">
        <v>52</v>
      </c>
      <c r="K7" s="117" t="s">
        <v>74</v>
      </c>
      <c r="L7" s="426" t="s">
        <v>52</v>
      </c>
      <c r="M7" s="142" t="s">
        <v>683</v>
      </c>
      <c r="N7" s="162" t="s">
        <v>680</v>
      </c>
      <c r="O7" s="120" t="s">
        <v>150</v>
      </c>
      <c r="P7" s="120" t="s">
        <v>55</v>
      </c>
      <c r="Q7" s="162" t="s">
        <v>55</v>
      </c>
      <c r="R7" s="518"/>
      <c r="S7" s="102" t="s">
        <v>56</v>
      </c>
      <c r="T7" s="169"/>
      <c r="U7" s="174"/>
      <c r="V7" s="179" t="s">
        <v>76</v>
      </c>
      <c r="W7" s="126"/>
    </row>
    <row r="8" spans="1:23" s="5" customFormat="1" ht="340.5" customHeight="1" x14ac:dyDescent="0.35">
      <c r="A8" s="8">
        <v>3</v>
      </c>
      <c r="B8" s="244" t="s">
        <v>45</v>
      </c>
      <c r="C8" s="432" t="s">
        <v>46</v>
      </c>
      <c r="D8" s="8" t="s">
        <v>684</v>
      </c>
      <c r="E8" s="430" t="s">
        <v>685</v>
      </c>
      <c r="F8" s="8" t="s">
        <v>262</v>
      </c>
      <c r="G8" s="8"/>
      <c r="H8" s="117" t="s">
        <v>50</v>
      </c>
      <c r="I8" s="26" t="s">
        <v>686</v>
      </c>
      <c r="J8" s="25" t="s">
        <v>52</v>
      </c>
      <c r="K8" s="117" t="s">
        <v>74</v>
      </c>
      <c r="L8" s="426" t="s">
        <v>52</v>
      </c>
      <c r="M8" s="135" t="s">
        <v>687</v>
      </c>
      <c r="N8" s="141" t="s">
        <v>52</v>
      </c>
      <c r="O8" s="38" t="s">
        <v>55</v>
      </c>
      <c r="P8" s="120" t="s">
        <v>55</v>
      </c>
      <c r="Q8" s="162" t="s">
        <v>55</v>
      </c>
      <c r="R8" s="75"/>
      <c r="S8" s="102" t="s">
        <v>56</v>
      </c>
      <c r="T8" s="169"/>
      <c r="U8" s="174"/>
      <c r="V8" s="179" t="s">
        <v>152</v>
      </c>
      <c r="W8" s="171"/>
    </row>
    <row r="9" spans="1:23" s="5" customFormat="1" ht="180" customHeight="1" x14ac:dyDescent="0.35">
      <c r="A9" s="8">
        <v>4</v>
      </c>
      <c r="B9" s="244" t="s">
        <v>45</v>
      </c>
      <c r="C9" s="432" t="s">
        <v>46</v>
      </c>
      <c r="D9" s="8" t="s">
        <v>684</v>
      </c>
      <c r="E9" s="430" t="s">
        <v>688</v>
      </c>
      <c r="F9" s="8" t="s">
        <v>262</v>
      </c>
      <c r="G9" s="117"/>
      <c r="H9" s="117" t="s">
        <v>50</v>
      </c>
      <c r="I9" s="26" t="s">
        <v>647</v>
      </c>
      <c r="J9" s="25" t="s">
        <v>52</v>
      </c>
      <c r="K9" s="117" t="s">
        <v>74</v>
      </c>
      <c r="L9" s="426" t="s">
        <v>52</v>
      </c>
      <c r="M9" s="135" t="s">
        <v>689</v>
      </c>
      <c r="N9" s="141" t="s">
        <v>52</v>
      </c>
      <c r="O9" s="38" t="s">
        <v>55</v>
      </c>
      <c r="P9" s="120" t="s">
        <v>55</v>
      </c>
      <c r="Q9" s="162" t="s">
        <v>55</v>
      </c>
      <c r="R9" s="428"/>
      <c r="S9" s="102" t="s">
        <v>291</v>
      </c>
      <c r="T9" s="169"/>
      <c r="U9" s="174"/>
      <c r="V9" s="179" t="s">
        <v>152</v>
      </c>
      <c r="W9" s="171"/>
    </row>
    <row r="10" spans="1:23" s="5" customFormat="1" ht="141.65" customHeight="1" x14ac:dyDescent="0.35">
      <c r="A10" s="8">
        <v>5</v>
      </c>
      <c r="B10" s="244" t="s">
        <v>45</v>
      </c>
      <c r="C10" s="432" t="s">
        <v>46</v>
      </c>
      <c r="D10" s="8" t="s">
        <v>684</v>
      </c>
      <c r="E10" s="430" t="s">
        <v>690</v>
      </c>
      <c r="F10" s="8" t="s">
        <v>262</v>
      </c>
      <c r="G10" s="8"/>
      <c r="H10" s="117" t="s">
        <v>88</v>
      </c>
      <c r="I10" s="26" t="s">
        <v>691</v>
      </c>
      <c r="J10" s="25" t="s">
        <v>52</v>
      </c>
      <c r="K10" s="117" t="s">
        <v>74</v>
      </c>
      <c r="L10" s="426" t="s">
        <v>52</v>
      </c>
      <c r="M10" s="135" t="s">
        <v>585</v>
      </c>
      <c r="N10" s="38" t="s">
        <v>52</v>
      </c>
      <c r="O10" s="38" t="s">
        <v>55</v>
      </c>
      <c r="P10" s="120" t="s">
        <v>55</v>
      </c>
      <c r="Q10" s="162" t="s">
        <v>55</v>
      </c>
      <c r="R10" s="38"/>
      <c r="S10" s="102" t="s">
        <v>291</v>
      </c>
      <c r="T10" s="169"/>
      <c r="U10" s="174"/>
      <c r="V10" s="179" t="s">
        <v>152</v>
      </c>
      <c r="W10" s="171"/>
    </row>
    <row r="11" spans="1:23" s="5" customFormat="1" ht="223.5" customHeight="1" x14ac:dyDescent="0.4">
      <c r="A11" s="8">
        <v>6</v>
      </c>
      <c r="B11" s="244" t="s">
        <v>45</v>
      </c>
      <c r="C11" s="432" t="s">
        <v>46</v>
      </c>
      <c r="D11" s="8" t="s">
        <v>684</v>
      </c>
      <c r="E11" s="430" t="s">
        <v>692</v>
      </c>
      <c r="F11" s="8" t="s">
        <v>262</v>
      </c>
      <c r="G11" s="8"/>
      <c r="H11" s="117" t="s">
        <v>88</v>
      </c>
      <c r="I11" s="26" t="s">
        <v>693</v>
      </c>
      <c r="J11" s="25" t="s">
        <v>52</v>
      </c>
      <c r="K11" s="117" t="s">
        <v>74</v>
      </c>
      <c r="L11" s="426" t="s">
        <v>52</v>
      </c>
      <c r="M11" s="135" t="s">
        <v>580</v>
      </c>
      <c r="N11" s="38" t="s">
        <v>52</v>
      </c>
      <c r="O11" s="38" t="s">
        <v>55</v>
      </c>
      <c r="P11" s="120" t="s">
        <v>55</v>
      </c>
      <c r="Q11" s="162" t="s">
        <v>55</v>
      </c>
      <c r="R11" s="431"/>
      <c r="S11" s="102" t="s">
        <v>291</v>
      </c>
      <c r="T11" s="169"/>
      <c r="U11" s="174"/>
      <c r="V11" s="179" t="s">
        <v>152</v>
      </c>
      <c r="W11" s="173"/>
    </row>
    <row r="12" spans="1:23" s="5" customFormat="1" ht="143.15" customHeight="1" x14ac:dyDescent="0.35">
      <c r="A12" s="8">
        <v>7</v>
      </c>
      <c r="B12" s="244" t="s">
        <v>45</v>
      </c>
      <c r="C12" s="432" t="s">
        <v>46</v>
      </c>
      <c r="D12" s="8" t="s">
        <v>684</v>
      </c>
      <c r="E12" s="99" t="s">
        <v>694</v>
      </c>
      <c r="F12" s="8" t="s">
        <v>262</v>
      </c>
      <c r="G12" s="8"/>
      <c r="H12" s="8" t="s">
        <v>71</v>
      </c>
      <c r="I12" s="26" t="s">
        <v>154</v>
      </c>
      <c r="J12" s="25" t="s">
        <v>52</v>
      </c>
      <c r="K12" s="117" t="s">
        <v>74</v>
      </c>
      <c r="L12" s="426" t="s">
        <v>52</v>
      </c>
      <c r="M12" s="135" t="s">
        <v>585</v>
      </c>
      <c r="N12" s="38" t="s">
        <v>52</v>
      </c>
      <c r="O12" s="38" t="s">
        <v>55</v>
      </c>
      <c r="P12" s="120" t="s">
        <v>55</v>
      </c>
      <c r="Q12" s="162" t="s">
        <v>55</v>
      </c>
      <c r="R12" s="75"/>
      <c r="S12" s="102" t="s">
        <v>291</v>
      </c>
      <c r="T12" s="169"/>
      <c r="U12" s="265"/>
      <c r="V12" s="179" t="s">
        <v>152</v>
      </c>
      <c r="W12" s="34"/>
    </row>
    <row r="13" spans="1:23" s="5" customFormat="1" ht="202.5" hidden="1" customHeight="1" x14ac:dyDescent="0.35">
      <c r="A13" s="8">
        <v>8</v>
      </c>
      <c r="B13" s="244" t="s">
        <v>45</v>
      </c>
      <c r="C13" s="432" t="s">
        <v>46</v>
      </c>
      <c r="D13" s="101" t="s">
        <v>695</v>
      </c>
      <c r="E13" s="99" t="s">
        <v>696</v>
      </c>
      <c r="F13" s="130" t="s">
        <v>590</v>
      </c>
      <c r="G13" s="8"/>
      <c r="H13" s="8" t="s">
        <v>457</v>
      </c>
      <c r="I13" s="25" t="s">
        <v>104</v>
      </c>
      <c r="J13" s="25" t="s">
        <v>52</v>
      </c>
      <c r="K13" s="117" t="s">
        <v>74</v>
      </c>
      <c r="L13" s="426" t="s">
        <v>52</v>
      </c>
      <c r="M13" s="135" t="s">
        <v>697</v>
      </c>
      <c r="N13" s="75" t="s">
        <v>708</v>
      </c>
      <c r="O13" s="38" t="s">
        <v>55</v>
      </c>
      <c r="P13" s="120" t="s">
        <v>55</v>
      </c>
      <c r="Q13" s="162" t="s">
        <v>55</v>
      </c>
      <c r="R13" s="75"/>
      <c r="S13" s="102" t="s">
        <v>201</v>
      </c>
      <c r="T13" s="169" t="s">
        <v>699</v>
      </c>
      <c r="U13" s="265"/>
      <c r="V13" s="179" t="s">
        <v>152</v>
      </c>
      <c r="W13" s="34"/>
    </row>
    <row r="14" spans="1:23" s="5" customFormat="1" ht="209.5" hidden="1" customHeight="1" x14ac:dyDescent="0.35">
      <c r="A14" s="8">
        <v>9</v>
      </c>
      <c r="B14" s="244" t="s">
        <v>45</v>
      </c>
      <c r="C14" s="432" t="s">
        <v>46</v>
      </c>
      <c r="D14" s="101" t="s">
        <v>695</v>
      </c>
      <c r="E14" s="99" t="s">
        <v>701</v>
      </c>
      <c r="F14" s="130" t="s">
        <v>590</v>
      </c>
      <c r="G14" s="8"/>
      <c r="H14" s="8" t="s">
        <v>457</v>
      </c>
      <c r="I14" s="25" t="s">
        <v>104</v>
      </c>
      <c r="J14" s="25" t="s">
        <v>52</v>
      </c>
      <c r="K14" s="117" t="s">
        <v>74</v>
      </c>
      <c r="L14" s="426" t="s">
        <v>52</v>
      </c>
      <c r="M14" s="135" t="s">
        <v>697</v>
      </c>
      <c r="N14" s="75" t="s">
        <v>708</v>
      </c>
      <c r="O14" s="38" t="s">
        <v>55</v>
      </c>
      <c r="P14" s="120" t="s">
        <v>55</v>
      </c>
      <c r="Q14" s="162" t="s">
        <v>55</v>
      </c>
      <c r="R14" s="75"/>
      <c r="S14" s="102" t="s">
        <v>201</v>
      </c>
      <c r="T14" s="169" t="s">
        <v>699</v>
      </c>
      <c r="U14" s="174"/>
      <c r="V14" s="179" t="s">
        <v>152</v>
      </c>
      <c r="W14" s="34"/>
    </row>
    <row r="15" spans="1:23" s="5" customFormat="1" ht="213" hidden="1" customHeight="1" x14ac:dyDescent="0.35">
      <c r="A15" s="8">
        <v>10</v>
      </c>
      <c r="B15" s="244" t="s">
        <v>45</v>
      </c>
      <c r="C15" s="432" t="s">
        <v>46</v>
      </c>
      <c r="D15" s="101" t="s">
        <v>695</v>
      </c>
      <c r="E15" s="99" t="s">
        <v>702</v>
      </c>
      <c r="F15" s="130" t="s">
        <v>590</v>
      </c>
      <c r="G15" s="8"/>
      <c r="H15" s="8" t="s">
        <v>457</v>
      </c>
      <c r="I15" s="25" t="s">
        <v>104</v>
      </c>
      <c r="J15" s="25" t="s">
        <v>52</v>
      </c>
      <c r="K15" s="117" t="s">
        <v>74</v>
      </c>
      <c r="L15" s="426" t="s">
        <v>52</v>
      </c>
      <c r="M15" s="135" t="s">
        <v>697</v>
      </c>
      <c r="N15" s="75" t="s">
        <v>708</v>
      </c>
      <c r="O15" s="38" t="s">
        <v>55</v>
      </c>
      <c r="P15" s="120" t="s">
        <v>55</v>
      </c>
      <c r="Q15" s="162" t="s">
        <v>55</v>
      </c>
      <c r="R15" s="75"/>
      <c r="S15" s="102" t="s">
        <v>201</v>
      </c>
      <c r="T15" s="169" t="s">
        <v>699</v>
      </c>
      <c r="U15" s="174"/>
      <c r="V15" s="179" t="s">
        <v>152</v>
      </c>
      <c r="W15" s="34"/>
    </row>
    <row r="16" spans="1:23" s="5" customFormat="1" ht="206.15" hidden="1" customHeight="1" x14ac:dyDescent="0.35">
      <c r="A16" s="8">
        <v>11</v>
      </c>
      <c r="B16" s="244" t="s">
        <v>45</v>
      </c>
      <c r="C16" s="432" t="s">
        <v>46</v>
      </c>
      <c r="D16" s="101" t="s">
        <v>695</v>
      </c>
      <c r="E16" s="99" t="s">
        <v>703</v>
      </c>
      <c r="F16" s="130" t="s">
        <v>590</v>
      </c>
      <c r="G16" s="8"/>
      <c r="H16" s="8" t="s">
        <v>457</v>
      </c>
      <c r="I16" s="25" t="s">
        <v>104</v>
      </c>
      <c r="J16" s="25" t="s">
        <v>52</v>
      </c>
      <c r="K16" s="117" t="s">
        <v>74</v>
      </c>
      <c r="L16" s="426" t="s">
        <v>52</v>
      </c>
      <c r="M16" s="135" t="s">
        <v>697</v>
      </c>
      <c r="N16" s="75" t="s">
        <v>708</v>
      </c>
      <c r="O16" s="38" t="s">
        <v>55</v>
      </c>
      <c r="P16" s="120" t="s">
        <v>55</v>
      </c>
      <c r="Q16" s="162" t="s">
        <v>55</v>
      </c>
      <c r="R16" s="75"/>
      <c r="S16" s="102" t="s">
        <v>201</v>
      </c>
      <c r="T16" s="169" t="s">
        <v>699</v>
      </c>
      <c r="U16" s="174"/>
      <c r="V16" s="179" t="s">
        <v>152</v>
      </c>
      <c r="W16" s="34"/>
    </row>
    <row r="17" spans="1:23" s="5" customFormat="1" ht="198" hidden="1" customHeight="1" x14ac:dyDescent="0.35">
      <c r="A17" s="8">
        <v>12</v>
      </c>
      <c r="B17" s="244" t="s">
        <v>45</v>
      </c>
      <c r="C17" s="432" t="s">
        <v>46</v>
      </c>
      <c r="D17" s="101" t="s">
        <v>695</v>
      </c>
      <c r="E17" s="99" t="s">
        <v>704</v>
      </c>
      <c r="F17" s="130" t="s">
        <v>590</v>
      </c>
      <c r="G17" s="8"/>
      <c r="H17" s="8" t="s">
        <v>457</v>
      </c>
      <c r="I17" s="26" t="s">
        <v>296</v>
      </c>
      <c r="J17" s="25" t="s">
        <v>52</v>
      </c>
      <c r="K17" s="117" t="s">
        <v>74</v>
      </c>
      <c r="L17" s="426" t="s">
        <v>52</v>
      </c>
      <c r="M17" s="135" t="s">
        <v>697</v>
      </c>
      <c r="N17" s="75" t="s">
        <v>708</v>
      </c>
      <c r="O17" s="38" t="s">
        <v>55</v>
      </c>
      <c r="P17" s="120" t="s">
        <v>55</v>
      </c>
      <c r="Q17" s="162" t="s">
        <v>55</v>
      </c>
      <c r="R17" s="75"/>
      <c r="S17" s="102" t="s">
        <v>201</v>
      </c>
      <c r="T17" s="169" t="s">
        <v>699</v>
      </c>
      <c r="U17" s="174"/>
      <c r="V17" s="179" t="s">
        <v>152</v>
      </c>
      <c r="W17" s="34"/>
    </row>
    <row r="18" spans="1:23" s="3" customFormat="1" ht="196" hidden="1" customHeight="1" x14ac:dyDescent="0.35">
      <c r="A18" s="8">
        <v>13</v>
      </c>
      <c r="B18" s="244" t="s">
        <v>45</v>
      </c>
      <c r="C18" s="432" t="s">
        <v>46</v>
      </c>
      <c r="D18" s="101" t="s">
        <v>695</v>
      </c>
      <c r="E18" s="8" t="s">
        <v>706</v>
      </c>
      <c r="F18" s="130" t="s">
        <v>590</v>
      </c>
      <c r="G18" s="8"/>
      <c r="H18" s="8" t="s">
        <v>457</v>
      </c>
      <c r="I18" s="26" t="s">
        <v>296</v>
      </c>
      <c r="J18" s="25" t="s">
        <v>52</v>
      </c>
      <c r="K18" s="117" t="s">
        <v>74</v>
      </c>
      <c r="L18" s="426" t="s">
        <v>52</v>
      </c>
      <c r="M18" s="135" t="s">
        <v>707</v>
      </c>
      <c r="N18" s="75" t="s">
        <v>708</v>
      </c>
      <c r="O18" s="38" t="s">
        <v>55</v>
      </c>
      <c r="P18" s="120" t="s">
        <v>55</v>
      </c>
      <c r="Q18" s="162" t="s">
        <v>55</v>
      </c>
      <c r="R18" s="38"/>
      <c r="S18" s="102" t="s">
        <v>201</v>
      </c>
      <c r="T18" s="169" t="s">
        <v>699</v>
      </c>
      <c r="U18" s="174"/>
      <c r="V18" s="179" t="s">
        <v>152</v>
      </c>
      <c r="W18" s="34"/>
    </row>
    <row r="19" spans="1:23" s="3" customFormat="1" ht="223.5" customHeight="1" x14ac:dyDescent="0.35">
      <c r="A19" s="8"/>
      <c r="B19" s="13"/>
      <c r="C19" s="144"/>
      <c r="D19" s="8"/>
      <c r="E19" s="8"/>
      <c r="F19" s="8"/>
      <c r="G19" s="8"/>
      <c r="H19" s="8"/>
      <c r="I19" s="26"/>
      <c r="J19" s="26"/>
      <c r="K19" s="8"/>
      <c r="L19" s="8"/>
      <c r="M19" s="9"/>
      <c r="N19" s="9"/>
      <c r="O19" s="77"/>
      <c r="P19" s="120"/>
      <c r="Q19" s="141"/>
      <c r="R19" s="38"/>
      <c r="S19" s="102"/>
      <c r="T19" s="169"/>
      <c r="U19" s="174"/>
      <c r="V19" s="174"/>
      <c r="W19" s="34"/>
    </row>
    <row r="20" spans="1:23" s="3" customFormat="1" ht="79.5" customHeight="1" x14ac:dyDescent="0.35">
      <c r="A20" s="8"/>
      <c r="B20" s="12"/>
      <c r="C20" s="144"/>
      <c r="D20" s="8"/>
      <c r="E20" s="8"/>
      <c r="F20" s="8"/>
      <c r="G20" s="8"/>
      <c r="H20" s="8"/>
      <c r="I20" s="26"/>
      <c r="J20" s="27"/>
      <c r="K20" s="8"/>
      <c r="L20" s="8"/>
      <c r="M20" s="9"/>
      <c r="N20" s="9"/>
      <c r="O20" s="8"/>
      <c r="P20" s="8"/>
      <c r="Q20" s="132"/>
      <c r="R20" s="38"/>
      <c r="S20" s="102"/>
      <c r="T20" s="169"/>
      <c r="U20" s="174"/>
      <c r="V20" s="174"/>
      <c r="W20" s="34"/>
    </row>
    <row r="21" spans="1:23" s="3" customFormat="1" ht="79.5" customHeight="1" x14ac:dyDescent="0.35">
      <c r="A21" s="8"/>
      <c r="B21" s="12"/>
      <c r="C21" s="144"/>
      <c r="D21" s="8"/>
      <c r="E21" s="8"/>
      <c r="F21" s="8"/>
      <c r="G21" s="8"/>
      <c r="H21" s="8"/>
      <c r="I21" s="26"/>
      <c r="J21" s="26"/>
      <c r="K21" s="8"/>
      <c r="L21" s="8"/>
      <c r="M21" s="9"/>
      <c r="N21" s="9"/>
      <c r="O21" s="8"/>
      <c r="P21" s="8"/>
      <c r="Q21" s="132"/>
      <c r="R21" s="38"/>
      <c r="S21" s="102"/>
      <c r="T21" s="169"/>
      <c r="U21" s="174"/>
      <c r="V21" s="174"/>
      <c r="W21" s="34"/>
    </row>
    <row r="22" spans="1:23" s="3" customFormat="1" ht="79.5" customHeight="1" x14ac:dyDescent="0.35">
      <c r="A22" s="8"/>
      <c r="B22" s="12"/>
      <c r="C22" s="144"/>
      <c r="D22" s="8"/>
      <c r="E22" s="8"/>
      <c r="F22" s="8"/>
      <c r="G22" s="8"/>
      <c r="H22" s="8"/>
      <c r="I22" s="26"/>
      <c r="J22" s="26"/>
      <c r="K22" s="8"/>
      <c r="L22" s="8"/>
      <c r="M22" s="9"/>
      <c r="N22" s="9"/>
      <c r="O22" s="8"/>
      <c r="P22" s="8"/>
      <c r="Q22" s="132"/>
      <c r="R22" s="38"/>
      <c r="S22" s="102"/>
      <c r="T22" s="169"/>
      <c r="U22" s="174"/>
      <c r="V22" s="174"/>
      <c r="W22" s="34"/>
    </row>
    <row r="23" spans="1:23" s="3" customFormat="1" ht="79.5" customHeight="1" x14ac:dyDescent="0.35">
      <c r="A23" s="8"/>
      <c r="B23" s="12"/>
      <c r="C23" s="144"/>
      <c r="D23" s="8"/>
      <c r="E23" s="8"/>
      <c r="F23" s="8"/>
      <c r="G23" s="8"/>
      <c r="H23" s="8"/>
      <c r="I23" s="26"/>
      <c r="J23" s="26"/>
      <c r="K23" s="8"/>
      <c r="L23" s="8"/>
      <c r="M23" s="9"/>
      <c r="N23" s="9"/>
      <c r="O23" s="8"/>
      <c r="P23" s="8"/>
      <c r="Q23" s="132"/>
      <c r="R23" s="38"/>
      <c r="S23" s="102"/>
      <c r="T23" s="169"/>
      <c r="U23" s="174"/>
      <c r="V23" s="174"/>
      <c r="W23" s="34"/>
    </row>
    <row r="24" spans="1:23" s="3" customFormat="1" ht="79.5" customHeight="1" x14ac:dyDescent="0.35">
      <c r="A24" s="8"/>
      <c r="B24" s="12"/>
      <c r="C24" s="144"/>
      <c r="D24" s="8"/>
      <c r="E24" s="8"/>
      <c r="F24" s="8"/>
      <c r="G24" s="8"/>
      <c r="H24" s="8"/>
      <c r="I24" s="26"/>
      <c r="J24" s="26"/>
      <c r="K24" s="8"/>
      <c r="L24" s="8"/>
      <c r="M24" s="9"/>
      <c r="N24" s="9"/>
      <c r="O24" s="8"/>
      <c r="P24" s="8"/>
      <c r="Q24" s="132"/>
      <c r="R24" s="38"/>
      <c r="S24" s="102"/>
      <c r="T24" s="169"/>
      <c r="U24" s="174"/>
      <c r="V24" s="174"/>
      <c r="W24" s="34"/>
    </row>
    <row r="25" spans="1:23" s="3" customFormat="1" ht="79.5" customHeight="1" x14ac:dyDescent="0.35">
      <c r="A25" s="8"/>
      <c r="B25" s="12"/>
      <c r="C25" s="144"/>
      <c r="D25" s="8"/>
      <c r="E25" s="8"/>
      <c r="F25" s="8"/>
      <c r="G25" s="8"/>
      <c r="H25" s="8"/>
      <c r="I25" s="26"/>
      <c r="J25" s="26"/>
      <c r="K25" s="8"/>
      <c r="L25" s="8"/>
      <c r="M25" s="9"/>
      <c r="N25" s="9"/>
      <c r="O25" s="80"/>
      <c r="P25" s="80"/>
      <c r="Q25" s="190"/>
      <c r="R25" s="38"/>
      <c r="S25" s="102"/>
      <c r="T25" s="169"/>
      <c r="U25" s="174"/>
      <c r="V25" s="174"/>
      <c r="W25" s="34"/>
    </row>
    <row r="26" spans="1:23" s="3" customFormat="1" ht="79.5" customHeight="1" x14ac:dyDescent="0.35">
      <c r="A26" s="8"/>
      <c r="B26" s="12"/>
      <c r="C26" s="144"/>
      <c r="D26" s="8"/>
      <c r="E26" s="8"/>
      <c r="F26" s="8"/>
      <c r="G26" s="8"/>
      <c r="H26" s="8"/>
      <c r="I26" s="26"/>
      <c r="J26" s="26"/>
      <c r="K26" s="8"/>
      <c r="L26" s="8"/>
      <c r="M26" s="9"/>
      <c r="N26" s="138"/>
      <c r="O26" s="38"/>
      <c r="P26" s="38"/>
      <c r="Q26" s="136"/>
      <c r="R26" s="38"/>
      <c r="S26" s="102"/>
      <c r="T26" s="169"/>
      <c r="U26" s="174"/>
      <c r="V26" s="174"/>
      <c r="W26" s="34"/>
    </row>
    <row r="27" spans="1:23" ht="79.5" customHeight="1" x14ac:dyDescent="0.4">
      <c r="A27" s="19"/>
      <c r="B27" s="20"/>
      <c r="C27" s="144"/>
      <c r="D27" s="19"/>
      <c r="E27" s="19"/>
      <c r="F27" s="19"/>
      <c r="G27" s="19"/>
      <c r="H27" s="19"/>
      <c r="I27" s="28"/>
      <c r="J27" s="28"/>
      <c r="K27" s="19"/>
      <c r="L27" s="19"/>
      <c r="M27" s="21"/>
      <c r="N27" s="138"/>
      <c r="O27" s="38"/>
      <c r="P27" s="38"/>
      <c r="Q27" s="136"/>
      <c r="R27" s="38"/>
      <c r="S27" s="178"/>
      <c r="T27" s="170"/>
      <c r="U27" s="174"/>
      <c r="V27" s="175"/>
      <c r="W27" s="34"/>
    </row>
    <row r="28" spans="1:23" ht="16" x14ac:dyDescent="0.35">
      <c r="O28" s="79"/>
      <c r="P28" s="79"/>
      <c r="Q28" s="79"/>
      <c r="R28" s="79"/>
      <c r="U28" s="235"/>
    </row>
    <row r="29" spans="1:23" ht="16" x14ac:dyDescent="0.35">
      <c r="O29" s="79"/>
      <c r="P29" s="79"/>
      <c r="Q29" s="79"/>
      <c r="R29" s="79"/>
      <c r="U29" s="235"/>
    </row>
    <row r="30" spans="1:23" ht="16" x14ac:dyDescent="0.35">
      <c r="O30" s="79"/>
      <c r="P30" s="79"/>
      <c r="Q30" s="79"/>
      <c r="R30" s="79"/>
      <c r="U30" s="235"/>
    </row>
    <row r="31" spans="1:23" ht="16" x14ac:dyDescent="0.35">
      <c r="O31" s="79"/>
      <c r="P31" s="79"/>
      <c r="Q31" s="79"/>
      <c r="R31" s="79"/>
      <c r="U31" s="235"/>
    </row>
    <row r="32" spans="1:23" ht="16" x14ac:dyDescent="0.35">
      <c r="O32" s="79"/>
      <c r="P32" s="79"/>
      <c r="Q32" s="79"/>
      <c r="R32" s="79"/>
      <c r="U32" s="235"/>
    </row>
    <row r="33" spans="15:21" ht="16" x14ac:dyDescent="0.35">
      <c r="O33" s="79"/>
      <c r="P33" s="79"/>
      <c r="Q33" s="79"/>
      <c r="R33" s="79"/>
      <c r="U33" s="235"/>
    </row>
    <row r="34" spans="15:21" ht="16" x14ac:dyDescent="0.35">
      <c r="O34" s="79"/>
      <c r="P34" s="79"/>
      <c r="Q34" s="79"/>
      <c r="R34" s="79"/>
      <c r="U34" s="235"/>
    </row>
    <row r="35" spans="15:21" ht="16" x14ac:dyDescent="0.35">
      <c r="O35" s="79"/>
      <c r="P35" s="79"/>
      <c r="Q35" s="79"/>
      <c r="R35" s="79"/>
      <c r="U35" s="235"/>
    </row>
    <row r="36" spans="15:21" ht="16" x14ac:dyDescent="0.35">
      <c r="O36" s="79"/>
      <c r="P36" s="79"/>
      <c r="Q36" s="79"/>
      <c r="R36" s="79"/>
      <c r="U36" s="235"/>
    </row>
    <row r="37" spans="15:21" ht="16" x14ac:dyDescent="0.35">
      <c r="O37" s="79"/>
      <c r="P37" s="79"/>
      <c r="Q37" s="79"/>
      <c r="R37" s="79"/>
      <c r="U37" s="235"/>
    </row>
    <row r="38" spans="15:21" ht="16" x14ac:dyDescent="0.35">
      <c r="O38" s="79"/>
      <c r="P38" s="79"/>
      <c r="Q38" s="79"/>
      <c r="R38" s="79"/>
      <c r="U38" s="235"/>
    </row>
    <row r="39" spans="15:21" ht="16" x14ac:dyDescent="0.35">
      <c r="O39" s="79"/>
      <c r="P39" s="79"/>
      <c r="Q39" s="79"/>
      <c r="R39" s="79"/>
      <c r="U39" s="235"/>
    </row>
    <row r="40" spans="15:21" ht="16" x14ac:dyDescent="0.35">
      <c r="O40" s="79"/>
      <c r="P40" s="79"/>
      <c r="Q40" s="79"/>
      <c r="R40" s="79"/>
      <c r="U40" s="235"/>
    </row>
    <row r="41" spans="15:21" ht="16" x14ac:dyDescent="0.35">
      <c r="O41" s="79"/>
      <c r="P41" s="79"/>
      <c r="Q41" s="79"/>
      <c r="R41" s="79"/>
      <c r="U41" s="235"/>
    </row>
    <row r="42" spans="15:21" ht="16" x14ac:dyDescent="0.35">
      <c r="O42" s="79"/>
      <c r="P42" s="79"/>
      <c r="Q42" s="79"/>
      <c r="R42" s="79"/>
      <c r="U42" s="235"/>
    </row>
    <row r="43" spans="15:21" ht="16" x14ac:dyDescent="0.35">
      <c r="O43" s="79"/>
      <c r="P43" s="79"/>
      <c r="Q43" s="79"/>
      <c r="R43" s="79"/>
      <c r="U43" s="235"/>
    </row>
    <row r="44" spans="15:21" ht="16" x14ac:dyDescent="0.35">
      <c r="O44" s="79"/>
      <c r="P44" s="79"/>
      <c r="Q44" s="79"/>
      <c r="R44" s="79"/>
      <c r="U44" s="235"/>
    </row>
    <row r="45" spans="15:21" ht="16" x14ac:dyDescent="0.35">
      <c r="O45" s="79"/>
      <c r="P45" s="79"/>
      <c r="Q45" s="79"/>
      <c r="R45" s="79"/>
      <c r="U45" s="235"/>
    </row>
    <row r="46" spans="15:21" ht="16" x14ac:dyDescent="0.35">
      <c r="O46" s="79"/>
      <c r="P46" s="79"/>
      <c r="Q46" s="79"/>
      <c r="R46" s="79"/>
      <c r="U46" s="235"/>
    </row>
    <row r="47" spans="15:21" ht="16" x14ac:dyDescent="0.35">
      <c r="O47" s="79"/>
      <c r="P47" s="79"/>
      <c r="Q47" s="79"/>
      <c r="R47" s="79"/>
      <c r="U47" s="235"/>
    </row>
    <row r="48" spans="15:21" ht="16" x14ac:dyDescent="0.35">
      <c r="O48" s="79"/>
      <c r="P48" s="79"/>
      <c r="Q48" s="79"/>
      <c r="R48" s="79"/>
      <c r="U48" s="235"/>
    </row>
    <row r="49" spans="15:21" ht="16" x14ac:dyDescent="0.35">
      <c r="O49" s="79"/>
      <c r="P49" s="79"/>
      <c r="Q49" s="79"/>
      <c r="R49" s="79"/>
      <c r="U49" s="235"/>
    </row>
    <row r="50" spans="15:21" ht="16" x14ac:dyDescent="0.35">
      <c r="O50" s="79"/>
      <c r="P50" s="79"/>
      <c r="Q50" s="79"/>
      <c r="R50" s="79"/>
      <c r="U50" s="235"/>
    </row>
    <row r="51" spans="15:21" ht="16" x14ac:dyDescent="0.35">
      <c r="O51" s="79"/>
      <c r="P51" s="79"/>
      <c r="Q51" s="79"/>
      <c r="R51" s="79"/>
      <c r="U51" s="235"/>
    </row>
    <row r="52" spans="15:21" ht="16" x14ac:dyDescent="0.35">
      <c r="O52" s="79"/>
      <c r="P52" s="79"/>
      <c r="Q52" s="79"/>
      <c r="R52" s="79"/>
      <c r="U52" s="235"/>
    </row>
    <row r="53" spans="15:21" ht="16" x14ac:dyDescent="0.35">
      <c r="O53" s="79"/>
      <c r="P53" s="79"/>
      <c r="Q53" s="79"/>
      <c r="R53" s="79"/>
      <c r="U53" s="235"/>
    </row>
    <row r="54" spans="15:21" ht="16" x14ac:dyDescent="0.35">
      <c r="O54" s="79"/>
      <c r="P54" s="79"/>
      <c r="Q54" s="79"/>
      <c r="R54" s="79"/>
      <c r="U54" s="235"/>
    </row>
    <row r="55" spans="15:21" ht="16" x14ac:dyDescent="0.35">
      <c r="O55" s="79"/>
      <c r="P55" s="79"/>
      <c r="Q55" s="79"/>
      <c r="R55" s="79"/>
      <c r="U55" s="235"/>
    </row>
    <row r="56" spans="15:21" ht="16" x14ac:dyDescent="0.35">
      <c r="O56" s="79"/>
      <c r="P56" s="79"/>
      <c r="Q56" s="79"/>
      <c r="R56" s="79"/>
      <c r="U56" s="235"/>
    </row>
    <row r="57" spans="15:21" ht="16" x14ac:dyDescent="0.35">
      <c r="O57" s="79"/>
      <c r="P57" s="79"/>
      <c r="Q57" s="79"/>
      <c r="R57" s="79"/>
      <c r="U57" s="235"/>
    </row>
    <row r="58" spans="15:21" ht="16" x14ac:dyDescent="0.35">
      <c r="O58" s="79"/>
      <c r="P58" s="79"/>
      <c r="Q58" s="79"/>
      <c r="R58" s="79"/>
      <c r="U58" s="235"/>
    </row>
    <row r="59" spans="15:21" ht="16" x14ac:dyDescent="0.35">
      <c r="O59" s="79"/>
      <c r="P59" s="79"/>
      <c r="Q59" s="79"/>
      <c r="R59" s="79"/>
      <c r="U59" s="235"/>
    </row>
    <row r="60" spans="15:21" ht="16" x14ac:dyDescent="0.35">
      <c r="O60" s="79"/>
      <c r="P60" s="79"/>
      <c r="Q60" s="79"/>
      <c r="R60" s="79"/>
      <c r="U60" s="235"/>
    </row>
    <row r="61" spans="15:21" ht="16" x14ac:dyDescent="0.35">
      <c r="O61" s="79"/>
      <c r="P61" s="79"/>
      <c r="Q61" s="79"/>
      <c r="R61" s="79"/>
      <c r="U61" s="235"/>
    </row>
    <row r="62" spans="15:21" ht="16" x14ac:dyDescent="0.35">
      <c r="O62" s="79"/>
      <c r="P62" s="79"/>
      <c r="Q62" s="79"/>
      <c r="R62" s="79"/>
      <c r="U62" s="235"/>
    </row>
    <row r="63" spans="15:21" ht="16" x14ac:dyDescent="0.35">
      <c r="O63" s="79"/>
      <c r="P63" s="79"/>
      <c r="Q63" s="79"/>
      <c r="R63" s="79"/>
      <c r="U63" s="235"/>
    </row>
    <row r="64" spans="15:21" ht="16" x14ac:dyDescent="0.35">
      <c r="O64" s="79"/>
      <c r="P64" s="79"/>
      <c r="Q64" s="79"/>
      <c r="R64" s="79"/>
      <c r="U64" s="235"/>
    </row>
    <row r="65" spans="15:21" ht="16" x14ac:dyDescent="0.35">
      <c r="O65" s="79"/>
      <c r="P65" s="79"/>
      <c r="Q65" s="79"/>
      <c r="R65" s="79"/>
      <c r="U65" s="235"/>
    </row>
    <row r="66" spans="15:21" ht="16" x14ac:dyDescent="0.35">
      <c r="O66" s="79"/>
      <c r="P66" s="79"/>
      <c r="Q66" s="79"/>
      <c r="R66" s="79"/>
      <c r="U66" s="235"/>
    </row>
    <row r="67" spans="15:21" ht="16" x14ac:dyDescent="0.35">
      <c r="O67" s="79"/>
      <c r="P67" s="79"/>
      <c r="Q67" s="79"/>
      <c r="R67" s="79"/>
      <c r="U67" s="235"/>
    </row>
    <row r="68" spans="15:21" ht="16" x14ac:dyDescent="0.35">
      <c r="O68" s="79"/>
      <c r="P68" s="79"/>
      <c r="Q68" s="79"/>
      <c r="R68" s="79"/>
      <c r="U68" s="235"/>
    </row>
    <row r="69" spans="15:21" ht="16" x14ac:dyDescent="0.35">
      <c r="O69" s="79"/>
      <c r="P69" s="79"/>
      <c r="Q69" s="79"/>
      <c r="R69" s="79"/>
      <c r="U69" s="235"/>
    </row>
    <row r="70" spans="15:21" ht="16" x14ac:dyDescent="0.35">
      <c r="O70" s="79"/>
      <c r="P70" s="79"/>
      <c r="Q70" s="79"/>
      <c r="R70" s="79"/>
      <c r="U70" s="235"/>
    </row>
    <row r="71" spans="15:21" ht="16" x14ac:dyDescent="0.35">
      <c r="O71" s="79"/>
      <c r="P71" s="79"/>
      <c r="Q71" s="79"/>
      <c r="R71" s="79"/>
      <c r="U71" s="235"/>
    </row>
    <row r="72" spans="15:21" ht="16" x14ac:dyDescent="0.35">
      <c r="O72" s="79"/>
      <c r="P72" s="79"/>
      <c r="Q72" s="79"/>
      <c r="R72" s="79"/>
      <c r="U72" s="235"/>
    </row>
    <row r="73" spans="15:21" ht="16" x14ac:dyDescent="0.35">
      <c r="O73" s="79"/>
      <c r="P73" s="79"/>
      <c r="Q73" s="79"/>
      <c r="R73" s="79"/>
      <c r="U73" s="235"/>
    </row>
    <row r="74" spans="15:21" ht="16" x14ac:dyDescent="0.35">
      <c r="O74" s="79"/>
      <c r="P74" s="79"/>
      <c r="Q74" s="79"/>
      <c r="R74" s="79"/>
      <c r="U74" s="235"/>
    </row>
    <row r="75" spans="15:21" ht="16" x14ac:dyDescent="0.35">
      <c r="O75" s="79"/>
      <c r="P75" s="79"/>
      <c r="Q75" s="79"/>
      <c r="R75" s="79"/>
      <c r="U75" s="235"/>
    </row>
    <row r="76" spans="15:21" x14ac:dyDescent="0.35">
      <c r="U76" s="235"/>
    </row>
    <row r="77" spans="15:21" x14ac:dyDescent="0.35">
      <c r="U77" s="235"/>
    </row>
    <row r="78" spans="15:21" x14ac:dyDescent="0.35">
      <c r="U78" s="235"/>
    </row>
    <row r="79" spans="15:21" x14ac:dyDescent="0.35">
      <c r="U79" s="235"/>
    </row>
    <row r="80" spans="15:21" x14ac:dyDescent="0.35">
      <c r="U80" s="235"/>
    </row>
    <row r="81" spans="21:21" x14ac:dyDescent="0.35">
      <c r="U81" s="235"/>
    </row>
    <row r="82" spans="21:21" x14ac:dyDescent="0.35">
      <c r="U82" s="235"/>
    </row>
    <row r="83" spans="21:21" x14ac:dyDescent="0.35">
      <c r="U83" s="235"/>
    </row>
    <row r="84" spans="21:21" x14ac:dyDescent="0.35">
      <c r="U84" s="235"/>
    </row>
    <row r="85" spans="21:21" x14ac:dyDescent="0.35">
      <c r="U85" s="235"/>
    </row>
    <row r="86" spans="21:21" x14ac:dyDescent="0.35">
      <c r="U86" s="235"/>
    </row>
    <row r="87" spans="21:21" x14ac:dyDescent="0.35">
      <c r="U87" s="235"/>
    </row>
    <row r="88" spans="21:21" x14ac:dyDescent="0.35">
      <c r="U88" s="235"/>
    </row>
    <row r="89" spans="21:21" x14ac:dyDescent="0.35">
      <c r="U89" s="235"/>
    </row>
    <row r="90" spans="21:21" x14ac:dyDescent="0.35">
      <c r="U90" s="235"/>
    </row>
    <row r="91" spans="21:21" x14ac:dyDescent="0.35">
      <c r="U91" s="235"/>
    </row>
    <row r="92" spans="21:21" x14ac:dyDescent="0.35">
      <c r="U92" s="235"/>
    </row>
    <row r="93" spans="21:21" x14ac:dyDescent="0.35">
      <c r="U93" s="235"/>
    </row>
    <row r="94" spans="21:21" x14ac:dyDescent="0.35">
      <c r="U94" s="235"/>
    </row>
    <row r="95" spans="21:21" x14ac:dyDescent="0.35">
      <c r="U95" s="235"/>
    </row>
    <row r="96" spans="21:21" x14ac:dyDescent="0.35">
      <c r="U96" s="235"/>
    </row>
    <row r="97" spans="21:21" x14ac:dyDescent="0.35">
      <c r="U97" s="235"/>
    </row>
    <row r="98" spans="21:21" x14ac:dyDescent="0.35">
      <c r="U98" s="235"/>
    </row>
    <row r="99" spans="21:21" x14ac:dyDescent="0.35">
      <c r="U99" s="235"/>
    </row>
    <row r="100" spans="21:21" x14ac:dyDescent="0.35">
      <c r="U100" s="235"/>
    </row>
    <row r="101" spans="21:21" x14ac:dyDescent="0.35">
      <c r="U101" s="235"/>
    </row>
    <row r="102" spans="21:21" x14ac:dyDescent="0.35">
      <c r="U102" s="235"/>
    </row>
    <row r="103" spans="21:21" x14ac:dyDescent="0.35">
      <c r="U103" s="235"/>
    </row>
    <row r="104" spans="21:21" x14ac:dyDescent="0.35">
      <c r="U104" s="235"/>
    </row>
    <row r="105" spans="21:21" x14ac:dyDescent="0.35">
      <c r="U105" s="235"/>
    </row>
    <row r="106" spans="21:21" x14ac:dyDescent="0.35">
      <c r="U106" s="235"/>
    </row>
    <row r="107" spans="21:21" x14ac:dyDescent="0.35">
      <c r="U107" s="235"/>
    </row>
    <row r="108" spans="21:21" x14ac:dyDescent="0.35">
      <c r="U108" s="235"/>
    </row>
    <row r="109" spans="21:21" x14ac:dyDescent="0.35">
      <c r="U109" s="235"/>
    </row>
    <row r="110" spans="21:21" x14ac:dyDescent="0.35">
      <c r="U110" s="235"/>
    </row>
    <row r="111" spans="21:21" x14ac:dyDescent="0.35">
      <c r="U111" s="235"/>
    </row>
    <row r="112" spans="21:21" x14ac:dyDescent="0.35">
      <c r="U112" s="235"/>
    </row>
    <row r="113" spans="21:21" x14ac:dyDescent="0.35">
      <c r="U113" s="235"/>
    </row>
    <row r="114" spans="21:21" x14ac:dyDescent="0.35">
      <c r="U114" s="235"/>
    </row>
    <row r="115" spans="21:21" x14ac:dyDescent="0.35">
      <c r="U115" s="235"/>
    </row>
    <row r="116" spans="21:21" x14ac:dyDescent="0.35">
      <c r="U116" s="235"/>
    </row>
    <row r="117" spans="21:21" x14ac:dyDescent="0.35">
      <c r="U117" s="235"/>
    </row>
    <row r="118" spans="21:21" x14ac:dyDescent="0.35">
      <c r="U118" s="235"/>
    </row>
    <row r="119" spans="21:21" x14ac:dyDescent="0.35">
      <c r="U119" s="235"/>
    </row>
    <row r="120" spans="21:21" x14ac:dyDescent="0.35">
      <c r="U120" s="235"/>
    </row>
    <row r="121" spans="21:21" x14ac:dyDescent="0.35">
      <c r="U121" s="235"/>
    </row>
    <row r="122" spans="21:21" x14ac:dyDescent="0.35">
      <c r="U122" s="235"/>
    </row>
    <row r="123" spans="21:21" x14ac:dyDescent="0.35">
      <c r="U123" s="235"/>
    </row>
    <row r="124" spans="21:21" x14ac:dyDescent="0.35">
      <c r="U124" s="235"/>
    </row>
    <row r="125" spans="21:21" x14ac:dyDescent="0.35">
      <c r="U125" s="235"/>
    </row>
    <row r="126" spans="21:21" x14ac:dyDescent="0.35">
      <c r="U126" s="235"/>
    </row>
    <row r="127" spans="21:21" x14ac:dyDescent="0.35">
      <c r="U127" s="235"/>
    </row>
    <row r="128" spans="21:21" x14ac:dyDescent="0.35">
      <c r="U128" s="235"/>
    </row>
    <row r="129" spans="21:21" x14ac:dyDescent="0.35">
      <c r="U129" s="235"/>
    </row>
    <row r="130" spans="21:21" x14ac:dyDescent="0.35">
      <c r="U130" s="235"/>
    </row>
    <row r="131" spans="21:21" x14ac:dyDescent="0.35">
      <c r="U131" s="235"/>
    </row>
    <row r="132" spans="21:21" x14ac:dyDescent="0.35">
      <c r="U132" s="235"/>
    </row>
    <row r="133" spans="21:21" x14ac:dyDescent="0.35">
      <c r="U133" s="235"/>
    </row>
    <row r="134" spans="21:21" x14ac:dyDescent="0.35">
      <c r="U134" s="235"/>
    </row>
    <row r="135" spans="21:21" x14ac:dyDescent="0.35">
      <c r="U135" s="235"/>
    </row>
    <row r="136" spans="21:21" x14ac:dyDescent="0.35">
      <c r="U136" s="235"/>
    </row>
    <row r="137" spans="21:21" x14ac:dyDescent="0.35">
      <c r="U137" s="235"/>
    </row>
    <row r="138" spans="21:21" x14ac:dyDescent="0.35">
      <c r="U138" s="235"/>
    </row>
    <row r="139" spans="21:21" x14ac:dyDescent="0.35">
      <c r="U139" s="235"/>
    </row>
    <row r="140" spans="21:21" x14ac:dyDescent="0.35">
      <c r="U140" s="235"/>
    </row>
    <row r="141" spans="21:21" x14ac:dyDescent="0.35">
      <c r="U141" s="235"/>
    </row>
    <row r="142" spans="21:21" x14ac:dyDescent="0.35">
      <c r="U142" s="235"/>
    </row>
    <row r="143" spans="21:21" x14ac:dyDescent="0.35">
      <c r="U143" s="235"/>
    </row>
    <row r="144" spans="21:21" x14ac:dyDescent="0.35">
      <c r="U144" s="235"/>
    </row>
    <row r="145" spans="21:21" x14ac:dyDescent="0.35">
      <c r="U145" s="235"/>
    </row>
    <row r="146" spans="21:21" x14ac:dyDescent="0.35">
      <c r="U146" s="235"/>
    </row>
    <row r="147" spans="21:21" x14ac:dyDescent="0.35">
      <c r="U147" s="235"/>
    </row>
    <row r="148" spans="21:21" x14ac:dyDescent="0.35">
      <c r="U148" s="235"/>
    </row>
    <row r="149" spans="21:21" x14ac:dyDescent="0.35">
      <c r="U149" s="235"/>
    </row>
    <row r="150" spans="21:21" x14ac:dyDescent="0.35">
      <c r="U150" s="235"/>
    </row>
    <row r="151" spans="21:21" x14ac:dyDescent="0.35">
      <c r="U151" s="235"/>
    </row>
    <row r="152" spans="21:21" x14ac:dyDescent="0.35">
      <c r="U152" s="235"/>
    </row>
    <row r="153" spans="21:21" x14ac:dyDescent="0.35">
      <c r="U153" s="235"/>
    </row>
    <row r="154" spans="21:21" x14ac:dyDescent="0.35">
      <c r="U154" s="235"/>
    </row>
    <row r="155" spans="21:21" x14ac:dyDescent="0.35">
      <c r="U155" s="235"/>
    </row>
    <row r="156" spans="21:21" x14ac:dyDescent="0.35">
      <c r="U156" s="235"/>
    </row>
    <row r="157" spans="21:21" x14ac:dyDescent="0.35">
      <c r="U157" s="235"/>
    </row>
    <row r="158" spans="21:21" x14ac:dyDescent="0.35">
      <c r="U158" s="235"/>
    </row>
    <row r="159" spans="21:21" x14ac:dyDescent="0.35">
      <c r="U159" s="235"/>
    </row>
    <row r="160" spans="21:21" x14ac:dyDescent="0.35">
      <c r="U160" s="235"/>
    </row>
    <row r="161" spans="21:21" x14ac:dyDescent="0.35">
      <c r="U161" s="235"/>
    </row>
    <row r="162" spans="21:21" x14ac:dyDescent="0.35">
      <c r="U162" s="235"/>
    </row>
    <row r="163" spans="21:21" x14ac:dyDescent="0.35">
      <c r="U163" s="235"/>
    </row>
    <row r="164" spans="21:21" x14ac:dyDescent="0.35">
      <c r="U164" s="235"/>
    </row>
    <row r="165" spans="21:21" x14ac:dyDescent="0.35">
      <c r="U165" s="235"/>
    </row>
    <row r="166" spans="21:21" x14ac:dyDescent="0.35">
      <c r="U166" s="235"/>
    </row>
    <row r="167" spans="21:21" x14ac:dyDescent="0.35">
      <c r="U167" s="235"/>
    </row>
    <row r="168" spans="21:21" x14ac:dyDescent="0.35">
      <c r="U168" s="235"/>
    </row>
    <row r="169" spans="21:21" x14ac:dyDescent="0.35">
      <c r="U169" s="235"/>
    </row>
    <row r="170" spans="21:21" x14ac:dyDescent="0.35">
      <c r="U170" s="235"/>
    </row>
    <row r="171" spans="21:21" x14ac:dyDescent="0.35">
      <c r="U171" s="235"/>
    </row>
    <row r="172" spans="21:21" x14ac:dyDescent="0.35">
      <c r="U172" s="235"/>
    </row>
    <row r="173" spans="21:21" x14ac:dyDescent="0.35">
      <c r="U173" s="235"/>
    </row>
    <row r="174" spans="21:21" x14ac:dyDescent="0.35">
      <c r="U174" s="235"/>
    </row>
    <row r="175" spans="21:21" x14ac:dyDescent="0.35">
      <c r="U175" s="235"/>
    </row>
    <row r="176" spans="21:21" x14ac:dyDescent="0.35">
      <c r="U176" s="235"/>
    </row>
    <row r="177" spans="21:21" x14ac:dyDescent="0.35">
      <c r="U177" s="235"/>
    </row>
    <row r="178" spans="21:21" x14ac:dyDescent="0.35">
      <c r="U178" s="235"/>
    </row>
    <row r="179" spans="21:21" x14ac:dyDescent="0.35">
      <c r="U179" s="235"/>
    </row>
    <row r="180" spans="21:21" x14ac:dyDescent="0.35">
      <c r="U180" s="235"/>
    </row>
    <row r="181" spans="21:21" x14ac:dyDescent="0.35">
      <c r="U181" s="235"/>
    </row>
    <row r="182" spans="21:21" x14ac:dyDescent="0.35">
      <c r="U182" s="235"/>
    </row>
    <row r="183" spans="21:21" x14ac:dyDescent="0.35">
      <c r="U183" s="235"/>
    </row>
    <row r="184" spans="21:21" x14ac:dyDescent="0.35">
      <c r="U184" s="235"/>
    </row>
    <row r="185" spans="21:21" x14ac:dyDescent="0.35">
      <c r="U185" s="235"/>
    </row>
    <row r="186" spans="21:21" x14ac:dyDescent="0.35">
      <c r="U186" s="235"/>
    </row>
    <row r="187" spans="21:21" x14ac:dyDescent="0.35">
      <c r="U187" s="235"/>
    </row>
    <row r="188" spans="21:21" x14ac:dyDescent="0.35">
      <c r="U188" s="235"/>
    </row>
    <row r="189" spans="21:21" x14ac:dyDescent="0.35">
      <c r="U189" s="235"/>
    </row>
    <row r="190" spans="21:21" x14ac:dyDescent="0.35">
      <c r="U190" s="235"/>
    </row>
    <row r="191" spans="21:21" x14ac:dyDescent="0.35">
      <c r="U191" s="235"/>
    </row>
    <row r="192" spans="21:21" x14ac:dyDescent="0.35">
      <c r="U192" s="235"/>
    </row>
    <row r="193" spans="21:21" x14ac:dyDescent="0.35">
      <c r="U193" s="235"/>
    </row>
    <row r="194" spans="21:21" x14ac:dyDescent="0.35">
      <c r="U194" s="235"/>
    </row>
    <row r="195" spans="21:21" x14ac:dyDescent="0.35">
      <c r="U195" s="235"/>
    </row>
    <row r="196" spans="21:21" x14ac:dyDescent="0.35">
      <c r="U196" s="235"/>
    </row>
    <row r="197" spans="21:21" x14ac:dyDescent="0.35">
      <c r="U197" s="235"/>
    </row>
    <row r="198" spans="21:21" x14ac:dyDescent="0.35">
      <c r="U198" s="235"/>
    </row>
    <row r="199" spans="21:21" x14ac:dyDescent="0.35">
      <c r="U199" s="235"/>
    </row>
    <row r="200" spans="21:21" x14ac:dyDescent="0.35">
      <c r="U200" s="235"/>
    </row>
    <row r="201" spans="21:21" x14ac:dyDescent="0.35">
      <c r="U201" s="235"/>
    </row>
    <row r="202" spans="21:21" x14ac:dyDescent="0.35">
      <c r="U202" s="235"/>
    </row>
    <row r="203" spans="21:21" x14ac:dyDescent="0.35">
      <c r="U203" s="235"/>
    </row>
    <row r="204" spans="21:21" x14ac:dyDescent="0.35">
      <c r="U204" s="235"/>
    </row>
    <row r="205" spans="21:21" x14ac:dyDescent="0.35">
      <c r="U205" s="235"/>
    </row>
    <row r="206" spans="21:21" x14ac:dyDescent="0.35">
      <c r="U206" s="235"/>
    </row>
    <row r="207" spans="21:21" x14ac:dyDescent="0.35">
      <c r="U207" s="235"/>
    </row>
    <row r="208" spans="21:21" x14ac:dyDescent="0.35">
      <c r="U208" s="235"/>
    </row>
    <row r="209" spans="21:21" x14ac:dyDescent="0.35">
      <c r="U209" s="235"/>
    </row>
    <row r="210" spans="21:21" x14ac:dyDescent="0.35">
      <c r="U210" s="235"/>
    </row>
    <row r="211" spans="21:21" x14ac:dyDescent="0.35">
      <c r="U211" s="235"/>
    </row>
    <row r="212" spans="21:21" x14ac:dyDescent="0.35">
      <c r="U212" s="235"/>
    </row>
    <row r="213" spans="21:21" x14ac:dyDescent="0.35">
      <c r="U213" s="235"/>
    </row>
    <row r="214" spans="21:21" x14ac:dyDescent="0.35">
      <c r="U214" s="235"/>
    </row>
    <row r="215" spans="21:21" x14ac:dyDescent="0.35">
      <c r="U215" s="235"/>
    </row>
    <row r="216" spans="21:21" x14ac:dyDescent="0.35">
      <c r="U216" s="235"/>
    </row>
    <row r="217" spans="21:21" x14ac:dyDescent="0.35">
      <c r="U217" s="235"/>
    </row>
    <row r="218" spans="21:21" x14ac:dyDescent="0.35">
      <c r="U218" s="235"/>
    </row>
    <row r="219" spans="21:21" x14ac:dyDescent="0.35">
      <c r="U219" s="235"/>
    </row>
    <row r="220" spans="21:21" x14ac:dyDescent="0.35">
      <c r="U220" s="235"/>
    </row>
    <row r="221" spans="21:21" x14ac:dyDescent="0.35">
      <c r="U221" s="235"/>
    </row>
    <row r="222" spans="21:21" x14ac:dyDescent="0.35">
      <c r="U222" s="235"/>
    </row>
    <row r="223" spans="21:21" x14ac:dyDescent="0.35">
      <c r="U223" s="235"/>
    </row>
    <row r="224" spans="21:21" x14ac:dyDescent="0.35">
      <c r="U224" s="235"/>
    </row>
    <row r="225" spans="21:21" x14ac:dyDescent="0.35">
      <c r="U225" s="235"/>
    </row>
    <row r="226" spans="21:21" x14ac:dyDescent="0.35">
      <c r="U226" s="235"/>
    </row>
    <row r="227" spans="21:21" x14ac:dyDescent="0.35">
      <c r="U227" s="235"/>
    </row>
    <row r="228" spans="21:21" x14ac:dyDescent="0.35">
      <c r="U228" s="235"/>
    </row>
    <row r="229" spans="21:21" x14ac:dyDescent="0.35">
      <c r="U229" s="235"/>
    </row>
    <row r="230" spans="21:21" x14ac:dyDescent="0.35">
      <c r="U230" s="235"/>
    </row>
    <row r="231" spans="21:21" x14ac:dyDescent="0.35">
      <c r="U231" s="235"/>
    </row>
    <row r="232" spans="21:21" x14ac:dyDescent="0.35">
      <c r="U232" s="235"/>
    </row>
    <row r="233" spans="21:21" x14ac:dyDescent="0.35">
      <c r="U233" s="235"/>
    </row>
    <row r="234" spans="21:21" x14ac:dyDescent="0.35">
      <c r="U234" s="235"/>
    </row>
    <row r="235" spans="21:21" x14ac:dyDescent="0.35">
      <c r="U235" s="235"/>
    </row>
    <row r="236" spans="21:21" x14ac:dyDescent="0.35">
      <c r="U236" s="235"/>
    </row>
    <row r="237" spans="21:21" x14ac:dyDescent="0.35">
      <c r="U237" s="235"/>
    </row>
    <row r="238" spans="21:21" x14ac:dyDescent="0.35">
      <c r="U238" s="235"/>
    </row>
    <row r="239" spans="21:21" x14ac:dyDescent="0.35">
      <c r="U239" s="235"/>
    </row>
    <row r="240" spans="21:21" x14ac:dyDescent="0.35">
      <c r="U240" s="235"/>
    </row>
    <row r="241" spans="21:21" x14ac:dyDescent="0.35">
      <c r="U241" s="235"/>
    </row>
    <row r="242" spans="21:21" x14ac:dyDescent="0.35">
      <c r="U242" s="235"/>
    </row>
    <row r="243" spans="21:21" x14ac:dyDescent="0.35">
      <c r="U243" s="235"/>
    </row>
    <row r="244" spans="21:21" x14ac:dyDescent="0.35">
      <c r="U244" s="235"/>
    </row>
    <row r="245" spans="21:21" x14ac:dyDescent="0.35">
      <c r="U245" s="235"/>
    </row>
    <row r="246" spans="21:21" x14ac:dyDescent="0.35">
      <c r="U246" s="235"/>
    </row>
    <row r="247" spans="21:21" x14ac:dyDescent="0.35">
      <c r="U247" s="235"/>
    </row>
    <row r="248" spans="21:21" x14ac:dyDescent="0.35">
      <c r="U248" s="235"/>
    </row>
    <row r="249" spans="21:21" x14ac:dyDescent="0.35">
      <c r="U249" s="235"/>
    </row>
    <row r="250" spans="21:21" x14ac:dyDescent="0.35">
      <c r="U250" s="235"/>
    </row>
    <row r="251" spans="21:21" x14ac:dyDescent="0.35">
      <c r="U251" s="235"/>
    </row>
    <row r="252" spans="21:21" x14ac:dyDescent="0.35">
      <c r="U252" s="235"/>
    </row>
    <row r="253" spans="21:21" x14ac:dyDescent="0.35">
      <c r="U253" s="235"/>
    </row>
    <row r="254" spans="21:21" x14ac:dyDescent="0.35">
      <c r="U254" s="235"/>
    </row>
    <row r="255" spans="21:21" x14ac:dyDescent="0.35">
      <c r="U255" s="235"/>
    </row>
    <row r="256" spans="21:21" x14ac:dyDescent="0.35">
      <c r="U256" s="235"/>
    </row>
    <row r="257" spans="21:21" x14ac:dyDescent="0.35">
      <c r="U257" s="235"/>
    </row>
    <row r="258" spans="21:21" x14ac:dyDescent="0.35">
      <c r="U258" s="235"/>
    </row>
    <row r="259" spans="21:21" x14ac:dyDescent="0.35">
      <c r="U259" s="235"/>
    </row>
    <row r="260" spans="21:21" x14ac:dyDescent="0.35">
      <c r="U260" s="235"/>
    </row>
    <row r="261" spans="21:21" x14ac:dyDescent="0.35">
      <c r="U261" s="235"/>
    </row>
    <row r="262" spans="21:21" x14ac:dyDescent="0.35">
      <c r="U262" s="235"/>
    </row>
    <row r="263" spans="21:21" x14ac:dyDescent="0.35">
      <c r="U263" s="235"/>
    </row>
    <row r="264" spans="21:21" x14ac:dyDescent="0.35">
      <c r="U264" s="235"/>
    </row>
    <row r="265" spans="21:21" x14ac:dyDescent="0.35">
      <c r="U265" s="235"/>
    </row>
    <row r="266" spans="21:21" x14ac:dyDescent="0.35">
      <c r="U266" s="235"/>
    </row>
    <row r="267" spans="21:21" x14ac:dyDescent="0.35">
      <c r="U267" s="235"/>
    </row>
    <row r="268" spans="21:21" x14ac:dyDescent="0.35">
      <c r="U268" s="235"/>
    </row>
    <row r="269" spans="21:21" x14ac:dyDescent="0.35">
      <c r="U269" s="235"/>
    </row>
    <row r="270" spans="21:21" x14ac:dyDescent="0.35">
      <c r="U270" s="235"/>
    </row>
    <row r="271" spans="21:21" x14ac:dyDescent="0.35">
      <c r="U271" s="235"/>
    </row>
    <row r="272" spans="21:21" x14ac:dyDescent="0.35">
      <c r="U272" s="235"/>
    </row>
    <row r="273" spans="21:21" x14ac:dyDescent="0.35">
      <c r="U273" s="235"/>
    </row>
    <row r="274" spans="21:21" x14ac:dyDescent="0.35">
      <c r="U274" s="235"/>
    </row>
    <row r="275" spans="21:21" x14ac:dyDescent="0.35">
      <c r="U275" s="235"/>
    </row>
    <row r="276" spans="21:21" x14ac:dyDescent="0.35">
      <c r="U276" s="235"/>
    </row>
    <row r="277" spans="21:21" x14ac:dyDescent="0.35">
      <c r="U277" s="235"/>
    </row>
    <row r="278" spans="21:21" x14ac:dyDescent="0.35">
      <c r="U278" s="235"/>
    </row>
    <row r="279" spans="21:21" x14ac:dyDescent="0.35">
      <c r="U279" s="235"/>
    </row>
    <row r="280" spans="21:21" x14ac:dyDescent="0.35">
      <c r="U280" s="235"/>
    </row>
    <row r="281" spans="21:21" x14ac:dyDescent="0.35">
      <c r="U281" s="235"/>
    </row>
    <row r="282" spans="21:21" x14ac:dyDescent="0.35">
      <c r="U282" s="235"/>
    </row>
    <row r="283" spans="21:21" x14ac:dyDescent="0.35">
      <c r="U283" s="235"/>
    </row>
    <row r="284" spans="21:21" x14ac:dyDescent="0.35">
      <c r="U284" s="235"/>
    </row>
    <row r="285" spans="21:21" x14ac:dyDescent="0.35">
      <c r="U285" s="235"/>
    </row>
    <row r="286" spans="21:21" x14ac:dyDescent="0.35">
      <c r="U286" s="235"/>
    </row>
    <row r="287" spans="21:21" x14ac:dyDescent="0.35">
      <c r="U287" s="235"/>
    </row>
    <row r="288" spans="21:21" x14ac:dyDescent="0.35">
      <c r="U288" s="235"/>
    </row>
    <row r="289" spans="21:21" x14ac:dyDescent="0.35">
      <c r="U289" s="235"/>
    </row>
    <row r="290" spans="21:21" x14ac:dyDescent="0.35">
      <c r="U290" s="235"/>
    </row>
    <row r="291" spans="21:21" x14ac:dyDescent="0.35">
      <c r="U291" s="235"/>
    </row>
    <row r="292" spans="21:21" x14ac:dyDescent="0.35">
      <c r="U292" s="235"/>
    </row>
    <row r="293" spans="21:21" x14ac:dyDescent="0.35">
      <c r="U293" s="235"/>
    </row>
    <row r="294" spans="21:21" x14ac:dyDescent="0.35">
      <c r="U294" s="235"/>
    </row>
    <row r="295" spans="21:21" x14ac:dyDescent="0.35">
      <c r="U295" s="235"/>
    </row>
    <row r="296" spans="21:21" x14ac:dyDescent="0.35">
      <c r="U296" s="235"/>
    </row>
    <row r="297" spans="21:21" x14ac:dyDescent="0.35">
      <c r="U297" s="235"/>
    </row>
    <row r="298" spans="21:21" x14ac:dyDescent="0.35">
      <c r="U298" s="235"/>
    </row>
    <row r="299" spans="21:21" x14ac:dyDescent="0.35">
      <c r="U299" s="235"/>
    </row>
    <row r="300" spans="21:21" x14ac:dyDescent="0.35">
      <c r="U300" s="235"/>
    </row>
    <row r="301" spans="21:21" x14ac:dyDescent="0.35">
      <c r="U301" s="235"/>
    </row>
    <row r="302" spans="21:21" x14ac:dyDescent="0.35">
      <c r="U302" s="235"/>
    </row>
    <row r="303" spans="21:21" x14ac:dyDescent="0.35">
      <c r="U303" s="235"/>
    </row>
    <row r="304" spans="21:21" x14ac:dyDescent="0.35">
      <c r="U304" s="235"/>
    </row>
    <row r="305" spans="21:21" x14ac:dyDescent="0.35">
      <c r="U305" s="235"/>
    </row>
    <row r="306" spans="21:21" x14ac:dyDescent="0.35">
      <c r="U306" s="235"/>
    </row>
    <row r="307" spans="21:21" x14ac:dyDescent="0.35">
      <c r="U307" s="235"/>
    </row>
    <row r="308" spans="21:21" x14ac:dyDescent="0.35">
      <c r="U308" s="235"/>
    </row>
    <row r="309" spans="21:21" x14ac:dyDescent="0.35">
      <c r="U309" s="243"/>
    </row>
    <row r="310" spans="21:21" x14ac:dyDescent="0.35">
      <c r="U310" s="243"/>
    </row>
    <row r="311" spans="21:21" x14ac:dyDescent="0.35">
      <c r="U311" s="243"/>
    </row>
    <row r="312" spans="21:21" x14ac:dyDescent="0.35">
      <c r="U312" s="243"/>
    </row>
    <row r="313" spans="21:21" x14ac:dyDescent="0.35">
      <c r="U313" s="243"/>
    </row>
    <row r="314" spans="21:21" x14ac:dyDescent="0.35">
      <c r="U314" s="243"/>
    </row>
    <row r="315" spans="21:21" x14ac:dyDescent="0.35">
      <c r="U315" s="243"/>
    </row>
    <row r="316" spans="21:21" x14ac:dyDescent="0.35">
      <c r="U316" s="243"/>
    </row>
    <row r="317" spans="21:21" x14ac:dyDescent="0.35">
      <c r="U317" s="243"/>
    </row>
    <row r="318" spans="21:21" x14ac:dyDescent="0.35">
      <c r="U318" s="243"/>
    </row>
    <row r="319" spans="21:21" x14ac:dyDescent="0.35">
      <c r="U319" s="243"/>
    </row>
    <row r="320" spans="21:21" x14ac:dyDescent="0.35">
      <c r="U320" s="243"/>
    </row>
    <row r="321" spans="21:21" x14ac:dyDescent="0.35">
      <c r="U321" s="243"/>
    </row>
    <row r="322" spans="21:21" x14ac:dyDescent="0.35">
      <c r="U322" s="243"/>
    </row>
    <row r="323" spans="21:21" x14ac:dyDescent="0.35">
      <c r="U323" s="243"/>
    </row>
    <row r="324" spans="21:21" x14ac:dyDescent="0.35">
      <c r="U324" s="243"/>
    </row>
    <row r="325" spans="21:21" x14ac:dyDescent="0.35">
      <c r="U325" s="243"/>
    </row>
    <row r="326" spans="21:21" x14ac:dyDescent="0.35">
      <c r="U326" s="243"/>
    </row>
    <row r="327" spans="21:21" x14ac:dyDescent="0.35">
      <c r="U327" s="243"/>
    </row>
    <row r="328" spans="21:21" x14ac:dyDescent="0.35">
      <c r="U328" s="243"/>
    </row>
    <row r="329" spans="21:21" x14ac:dyDescent="0.35">
      <c r="U329" s="243"/>
    </row>
    <row r="330" spans="21:21" x14ac:dyDescent="0.35">
      <c r="U330" s="243"/>
    </row>
    <row r="331" spans="21:21" x14ac:dyDescent="0.35">
      <c r="U331" s="243"/>
    </row>
    <row r="332" spans="21:21" x14ac:dyDescent="0.35">
      <c r="U332" s="243"/>
    </row>
    <row r="333" spans="21:21" x14ac:dyDescent="0.35">
      <c r="U333" s="243"/>
    </row>
    <row r="334" spans="21:21" x14ac:dyDescent="0.35">
      <c r="U334" s="243"/>
    </row>
    <row r="335" spans="21:21" x14ac:dyDescent="0.35">
      <c r="U335" s="243"/>
    </row>
    <row r="336" spans="21:21" x14ac:dyDescent="0.35">
      <c r="U336" s="243"/>
    </row>
    <row r="337" spans="21:21" x14ac:dyDescent="0.35">
      <c r="U337" s="243"/>
    </row>
    <row r="338" spans="21:21" x14ac:dyDescent="0.35">
      <c r="U338" s="243"/>
    </row>
    <row r="339" spans="21:21" x14ac:dyDescent="0.35">
      <c r="U339" s="243"/>
    </row>
    <row r="340" spans="21:21" x14ac:dyDescent="0.35">
      <c r="U340" s="243"/>
    </row>
    <row r="341" spans="21:21" x14ac:dyDescent="0.35">
      <c r="U341" s="243"/>
    </row>
    <row r="342" spans="21:21" x14ac:dyDescent="0.35">
      <c r="U342" s="243"/>
    </row>
    <row r="343" spans="21:21" x14ac:dyDescent="0.35">
      <c r="U343" s="243"/>
    </row>
    <row r="344" spans="21:21" x14ac:dyDescent="0.35">
      <c r="U344" s="243"/>
    </row>
    <row r="345" spans="21:21" x14ac:dyDescent="0.35">
      <c r="U345" s="243"/>
    </row>
    <row r="346" spans="21:21" x14ac:dyDescent="0.35">
      <c r="U346" s="243"/>
    </row>
    <row r="347" spans="21:21" x14ac:dyDescent="0.35">
      <c r="U347" s="243"/>
    </row>
    <row r="348" spans="21:21" x14ac:dyDescent="0.35">
      <c r="U348" s="243"/>
    </row>
    <row r="349" spans="21:21" x14ac:dyDescent="0.35">
      <c r="U349" s="243"/>
    </row>
    <row r="350" spans="21:21" x14ac:dyDescent="0.35">
      <c r="U350" s="243"/>
    </row>
    <row r="351" spans="21:21" x14ac:dyDescent="0.35">
      <c r="U351" s="243"/>
    </row>
    <row r="352" spans="21:21" x14ac:dyDescent="0.35">
      <c r="U352" s="243"/>
    </row>
    <row r="353" spans="21:21" x14ac:dyDescent="0.35">
      <c r="U353" s="243"/>
    </row>
    <row r="354" spans="21:21" x14ac:dyDescent="0.35">
      <c r="U354" s="243"/>
    </row>
    <row r="355" spans="21:21" x14ac:dyDescent="0.35">
      <c r="U355" s="243"/>
    </row>
    <row r="356" spans="21:21" x14ac:dyDescent="0.35">
      <c r="U356" s="243"/>
    </row>
    <row r="357" spans="21:21" x14ac:dyDescent="0.35">
      <c r="U357" s="243"/>
    </row>
    <row r="358" spans="21:21" x14ac:dyDescent="0.35">
      <c r="U358" s="243"/>
    </row>
    <row r="359" spans="21:21" x14ac:dyDescent="0.35">
      <c r="U359" s="243"/>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0">
    <mergeCell ref="R6:R7"/>
    <mergeCell ref="A1:W1"/>
    <mergeCell ref="A2:W2"/>
    <mergeCell ref="A3:W3"/>
    <mergeCell ref="A4:E4"/>
    <mergeCell ref="F4:L4"/>
    <mergeCell ref="M4:N4"/>
    <mergeCell ref="O4:R4"/>
    <mergeCell ref="S4:U4"/>
    <mergeCell ref="V4:W4"/>
  </mergeCells>
  <conditionalFormatting sqref="O6:R6 O7:Q8 O9:R9 O10:Q10 O11:R11 O12:Q13 O14:R14 O15:Q16 O17:R1048576">
    <cfRule type="containsText" dxfId="87" priority="1" operator="containsText" text="No">
      <formula>NOT(ISERROR(SEARCH("No",O6)))</formula>
    </cfRule>
    <cfRule type="containsText" dxfId="86" priority="2" operator="containsText" text="Yes">
      <formula>NOT(ISERROR(SEARCH("Yes",O6)))</formula>
    </cfRule>
  </conditionalFormatting>
  <conditionalFormatting sqref="S6:S1048576">
    <cfRule type="containsText" dxfId="85" priority="3" operator="containsText" text="Rejected">
      <formula>NOT(ISERROR(SEARCH("Rejected",S6)))</formula>
    </cfRule>
    <cfRule type="containsText" dxfId="84" priority="4" operator="containsText" text="Revisions Needed">
      <formula>NOT(ISERROR(SEARCH("Revisions Needed",S6)))</formula>
    </cfRule>
    <cfRule type="containsText" dxfId="83" priority="5" operator="containsText" text="Approved">
      <formula>NOT(ISERROR(SEARCH("Approved",S6)))</formula>
    </cfRule>
  </conditionalFormatting>
  <dataValidations count="3">
    <dataValidation type="list" allowBlank="1" sqref="S6:S1048576" xr:uid="{2D447DF4-02A5-4043-AB24-EC3F00B2A769}">
      <formula1>"Approved,Revisions Needed, Rejected"</formula1>
    </dataValidation>
    <dataValidation type="list" allowBlank="1" showInputMessage="1" showErrorMessage="1" sqref="O6:Q7 O19:O1048576 P8:Q1048576" xr:uid="{D4D4AED5-D1EA-4E9A-B994-459898B0CD46}">
      <formula1>"No, Yes"</formula1>
    </dataValidation>
    <dataValidation type="list" allowBlank="1" showInputMessage="1" showErrorMessage="1" sqref="C6:C1048576" xr:uid="{E5AFEC2B-BAAD-4A96-8EE7-0FFD0BED4236}">
      <formula1>"Monthly, Yearly"</formula1>
    </dataValidation>
  </dataValidations>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09B5-6312-46CF-A0DB-31EF879730A3}">
  <sheetPr>
    <tabColor theme="6"/>
  </sheetPr>
  <dimension ref="A1:W359"/>
  <sheetViews>
    <sheetView showGridLines="0" topLeftCell="A6" zoomScale="70" zoomScaleNormal="70" workbookViewId="0">
      <selection activeCell="M7" sqref="M7"/>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1.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0.81640625" style="2" customWidth="1"/>
    <col min="13" max="13" width="36" style="1" customWidth="1"/>
    <col min="14" max="14" width="46.1796875" style="143" customWidth="1"/>
    <col min="15" max="15" width="12.81640625" style="76" customWidth="1"/>
    <col min="16" max="16" width="10.81640625" style="76" customWidth="1"/>
    <col min="17" max="17" width="13.1796875" style="76" customWidth="1"/>
    <col min="18" max="18" width="45.26953125" style="76" customWidth="1"/>
    <col min="19" max="19" width="20.54296875" style="2" customWidth="1"/>
    <col min="20" max="20" width="76.54296875" style="17" customWidth="1"/>
    <col min="21" max="21" width="53.726562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676</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c r="W3" s="512"/>
    </row>
    <row r="4" spans="1:23" s="4" customFormat="1" ht="27.75" customHeight="1" thickTop="1" thickBot="1" x14ac:dyDescent="0.45">
      <c r="A4" s="513" t="s">
        <v>3</v>
      </c>
      <c r="B4" s="514"/>
      <c r="C4" s="514"/>
      <c r="D4" s="514"/>
      <c r="E4" s="514"/>
      <c r="F4" s="513" t="s">
        <v>4</v>
      </c>
      <c r="G4" s="514"/>
      <c r="H4" s="514"/>
      <c r="I4" s="514"/>
      <c r="J4" s="514"/>
      <c r="K4" s="514"/>
      <c r="L4" s="515"/>
      <c r="M4" s="516" t="s">
        <v>5</v>
      </c>
      <c r="N4" s="516"/>
      <c r="O4" s="513" t="s">
        <v>6</v>
      </c>
      <c r="P4" s="514"/>
      <c r="Q4" s="514"/>
      <c r="R4" s="515"/>
      <c r="S4" s="513" t="s">
        <v>7</v>
      </c>
      <c r="T4" s="514"/>
      <c r="U4" s="515"/>
      <c r="V4" s="513" t="s">
        <v>8</v>
      </c>
      <c r="W4" s="515"/>
    </row>
    <row r="5" spans="1:23" ht="71.5" customHeight="1" thickTop="1" thickBot="1" x14ac:dyDescent="0.4">
      <c r="A5" s="10" t="s">
        <v>9</v>
      </c>
      <c r="B5" s="10" t="s">
        <v>10</v>
      </c>
      <c r="C5" s="10" t="s">
        <v>11</v>
      </c>
      <c r="D5" s="10" t="s">
        <v>12</v>
      </c>
      <c r="E5" s="10" t="s">
        <v>13</v>
      </c>
      <c r="F5" s="10" t="s">
        <v>14</v>
      </c>
      <c r="G5" s="10" t="s">
        <v>228</v>
      </c>
      <c r="H5" s="10" t="s">
        <v>15</v>
      </c>
      <c r="I5" s="10" t="s">
        <v>16</v>
      </c>
      <c r="J5" s="10" t="s">
        <v>17</v>
      </c>
      <c r="K5" s="10" t="s">
        <v>18</v>
      </c>
      <c r="L5" s="10" t="s">
        <v>19</v>
      </c>
      <c r="M5" s="10" t="s">
        <v>20</v>
      </c>
      <c r="N5" s="10" t="s">
        <v>21</v>
      </c>
      <c r="O5" s="10" t="s">
        <v>22</v>
      </c>
      <c r="P5" s="10" t="s">
        <v>23</v>
      </c>
      <c r="Q5" s="10" t="s">
        <v>24</v>
      </c>
      <c r="R5" s="10" t="s">
        <v>25</v>
      </c>
      <c r="S5" s="23" t="s">
        <v>26</v>
      </c>
      <c r="T5" s="18" t="s">
        <v>27</v>
      </c>
      <c r="U5" s="18" t="s">
        <v>28</v>
      </c>
      <c r="V5" s="18" t="s">
        <v>29</v>
      </c>
      <c r="W5" s="433" t="s">
        <v>30</v>
      </c>
    </row>
    <row r="6" spans="1:23" s="5" customFormat="1" ht="394.5" customHeight="1" thickTop="1" x14ac:dyDescent="0.35">
      <c r="A6" s="117">
        <v>1</v>
      </c>
      <c r="B6" s="244" t="s">
        <v>145</v>
      </c>
      <c r="C6" s="432" t="s">
        <v>67</v>
      </c>
      <c r="D6" s="117" t="s">
        <v>709</v>
      </c>
      <c r="E6" s="429" t="s">
        <v>710</v>
      </c>
      <c r="F6" s="117" t="s">
        <v>49</v>
      </c>
      <c r="G6" s="117"/>
      <c r="H6" s="117" t="s">
        <v>88</v>
      </c>
      <c r="I6" s="25" t="s">
        <v>154</v>
      </c>
      <c r="J6" s="25" t="s">
        <v>52</v>
      </c>
      <c r="K6" s="117" t="s">
        <v>53</v>
      </c>
      <c r="L6" s="426">
        <v>1</v>
      </c>
      <c r="M6" s="274" t="s">
        <v>711</v>
      </c>
      <c r="N6" s="162" t="s">
        <v>52</v>
      </c>
      <c r="O6" s="120" t="s">
        <v>150</v>
      </c>
      <c r="P6" s="120" t="s">
        <v>55</v>
      </c>
      <c r="Q6" s="162" t="s">
        <v>150</v>
      </c>
      <c r="R6" s="131"/>
      <c r="S6" s="130" t="s">
        <v>56</v>
      </c>
      <c r="T6" s="168"/>
      <c r="U6" s="179"/>
      <c r="V6" s="179" t="s">
        <v>76</v>
      </c>
      <c r="W6" s="176"/>
    </row>
    <row r="7" spans="1:23" s="5" customFormat="1" ht="252.65" customHeight="1" x14ac:dyDescent="0.35">
      <c r="A7" s="8"/>
      <c r="B7" s="244"/>
      <c r="C7" s="144"/>
      <c r="D7" s="426"/>
      <c r="E7" s="430"/>
      <c r="F7" s="117"/>
      <c r="G7" s="8"/>
      <c r="H7" s="117"/>
      <c r="I7" s="26"/>
      <c r="J7" s="25"/>
      <c r="K7" s="117"/>
      <c r="L7" s="132"/>
      <c r="M7" s="142"/>
      <c r="N7" s="136"/>
      <c r="O7" s="120"/>
      <c r="P7" s="120"/>
      <c r="Q7" s="162"/>
      <c r="R7" s="75"/>
      <c r="S7" s="102"/>
      <c r="T7" s="169"/>
      <c r="U7" s="174"/>
      <c r="V7" s="179"/>
      <c r="W7" s="126"/>
    </row>
    <row r="8" spans="1:23" s="5" customFormat="1" ht="340.5" customHeight="1" x14ac:dyDescent="0.35">
      <c r="A8" s="8"/>
      <c r="B8" s="244"/>
      <c r="C8" s="144"/>
      <c r="D8" s="8"/>
      <c r="E8" s="430"/>
      <c r="F8" s="8"/>
      <c r="G8" s="8"/>
      <c r="H8" s="117"/>
      <c r="I8" s="26"/>
      <c r="J8" s="26"/>
      <c r="K8" s="117"/>
      <c r="L8" s="8"/>
      <c r="M8" s="135"/>
      <c r="N8" s="427"/>
      <c r="O8" s="38"/>
      <c r="P8" s="120"/>
      <c r="Q8" s="162"/>
      <c r="R8" s="75"/>
      <c r="S8" s="102"/>
      <c r="T8" s="169"/>
      <c r="U8" s="174"/>
      <c r="V8" s="179"/>
      <c r="W8" s="171"/>
    </row>
    <row r="9" spans="1:23" s="5" customFormat="1" ht="180" customHeight="1" x14ac:dyDescent="0.35">
      <c r="A9" s="8"/>
      <c r="B9" s="244"/>
      <c r="C9" s="144"/>
      <c r="D9" s="8"/>
      <c r="E9" s="430"/>
      <c r="F9" s="130"/>
      <c r="G9" s="117"/>
      <c r="H9" s="117"/>
      <c r="I9" s="26"/>
      <c r="J9" s="26"/>
      <c r="K9" s="117"/>
      <c r="L9" s="8"/>
      <c r="M9" s="135"/>
      <c r="N9" s="153"/>
      <c r="O9" s="38"/>
      <c r="P9" s="38"/>
      <c r="Q9" s="162"/>
      <c r="R9" s="428"/>
      <c r="S9" s="102"/>
      <c r="T9" s="169"/>
      <c r="U9" s="174"/>
      <c r="V9" s="179"/>
      <c r="W9" s="171"/>
    </row>
    <row r="10" spans="1:23" s="5" customFormat="1" ht="141.65" customHeight="1" x14ac:dyDescent="0.35">
      <c r="A10" s="8"/>
      <c r="B10" s="244"/>
      <c r="C10" s="144"/>
      <c r="D10" s="8"/>
      <c r="E10" s="430"/>
      <c r="F10" s="130"/>
      <c r="G10" s="8"/>
      <c r="H10" s="8"/>
      <c r="I10" s="26"/>
      <c r="J10" s="26"/>
      <c r="K10" s="117"/>
      <c r="L10" s="8"/>
      <c r="M10" s="135"/>
      <c r="N10" s="153"/>
      <c r="O10" s="197"/>
      <c r="P10" s="38"/>
      <c r="Q10" s="162"/>
      <c r="R10" s="38"/>
      <c r="S10" s="102"/>
      <c r="T10" s="169"/>
      <c r="U10" s="174"/>
      <c r="V10" s="179"/>
      <c r="W10" s="171"/>
    </row>
    <row r="11" spans="1:23" s="5" customFormat="1" ht="223.5" customHeight="1" x14ac:dyDescent="0.4">
      <c r="A11" s="8"/>
      <c r="B11" s="244"/>
      <c r="C11" s="144"/>
      <c r="D11" s="8"/>
      <c r="E11" s="430"/>
      <c r="F11" s="130"/>
      <c r="G11" s="8"/>
      <c r="H11" s="8"/>
      <c r="I11" s="26"/>
      <c r="J11" s="26"/>
      <c r="K11" s="117"/>
      <c r="L11" s="8"/>
      <c r="M11" s="135"/>
      <c r="N11" s="103"/>
      <c r="O11" s="197"/>
      <c r="P11" s="38"/>
      <c r="Q11" s="162"/>
      <c r="R11" s="431"/>
      <c r="S11" s="102"/>
      <c r="T11" s="169"/>
      <c r="U11" s="174"/>
      <c r="V11" s="179"/>
      <c r="W11" s="173"/>
    </row>
    <row r="12" spans="1:23" s="5" customFormat="1" ht="143.15" customHeight="1" x14ac:dyDescent="0.35">
      <c r="A12" s="8"/>
      <c r="B12" s="12"/>
      <c r="C12" s="144"/>
      <c r="D12" s="101"/>
      <c r="E12" s="99"/>
      <c r="F12" s="130"/>
      <c r="G12" s="8"/>
      <c r="H12" s="8"/>
      <c r="I12" s="26"/>
      <c r="J12" s="25"/>
      <c r="K12" s="8"/>
      <c r="L12" s="8"/>
      <c r="M12" s="135"/>
      <c r="N12" s="142"/>
      <c r="O12" s="197"/>
      <c r="P12" s="38"/>
      <c r="Q12" s="136"/>
      <c r="R12" s="75"/>
      <c r="S12" s="102"/>
      <c r="T12" s="169"/>
      <c r="U12" s="265"/>
      <c r="V12" s="179"/>
      <c r="W12" s="34"/>
    </row>
    <row r="13" spans="1:23" s="5" customFormat="1" ht="140.15" customHeight="1" x14ac:dyDescent="0.35">
      <c r="A13" s="8"/>
      <c r="B13" s="12"/>
      <c r="C13" s="144"/>
      <c r="D13" s="101"/>
      <c r="E13" s="99"/>
      <c r="F13" s="130"/>
      <c r="G13" s="8"/>
      <c r="H13" s="8"/>
      <c r="I13" s="26"/>
      <c r="J13" s="25"/>
      <c r="K13" s="8"/>
      <c r="L13" s="8"/>
      <c r="M13" s="135"/>
      <c r="N13" s="38"/>
      <c r="O13" s="197"/>
      <c r="P13" s="38"/>
      <c r="Q13" s="136"/>
      <c r="R13" s="75"/>
      <c r="S13" s="102"/>
      <c r="T13" s="169"/>
      <c r="U13" s="265"/>
      <c r="V13" s="179"/>
      <c r="W13" s="34"/>
    </row>
    <row r="14" spans="1:23" s="5" customFormat="1" ht="115.5" customHeight="1" x14ac:dyDescent="0.35">
      <c r="A14" s="8"/>
      <c r="B14" s="12"/>
      <c r="C14" s="144"/>
      <c r="D14" s="139"/>
      <c r="E14" s="99"/>
      <c r="F14" s="130"/>
      <c r="G14" s="8"/>
      <c r="H14" s="8"/>
      <c r="I14" s="26"/>
      <c r="J14" s="26"/>
      <c r="K14" s="8"/>
      <c r="L14" s="8"/>
      <c r="M14" s="135"/>
      <c r="N14" s="142"/>
      <c r="O14" s="75"/>
      <c r="P14" s="75"/>
      <c r="Q14" s="75"/>
      <c r="R14" s="75"/>
      <c r="S14" s="102"/>
      <c r="T14" s="169"/>
      <c r="U14" s="174"/>
      <c r="V14" s="179"/>
      <c r="W14" s="34"/>
    </row>
    <row r="15" spans="1:23" s="5" customFormat="1" ht="138" customHeight="1" x14ac:dyDescent="0.35">
      <c r="A15" s="8"/>
      <c r="B15" s="12"/>
      <c r="C15" s="144"/>
      <c r="D15" s="139"/>
      <c r="E15" s="99"/>
      <c r="F15" s="130"/>
      <c r="G15" s="8"/>
      <c r="H15" s="8"/>
      <c r="I15" s="26"/>
      <c r="J15" s="26"/>
      <c r="K15" s="8"/>
      <c r="L15" s="8"/>
      <c r="M15" s="135"/>
      <c r="N15" s="142"/>
      <c r="O15" s="75"/>
      <c r="P15" s="75"/>
      <c r="Q15" s="75"/>
      <c r="R15" s="75"/>
      <c r="S15" s="102"/>
      <c r="T15" s="169"/>
      <c r="U15" s="174"/>
      <c r="V15" s="179"/>
      <c r="W15" s="34"/>
    </row>
    <row r="16" spans="1:23" s="5" customFormat="1" ht="143.5" customHeight="1" x14ac:dyDescent="0.35">
      <c r="A16" s="8"/>
      <c r="B16" s="12"/>
      <c r="C16" s="144"/>
      <c r="D16" s="139"/>
      <c r="E16" s="99"/>
      <c r="F16" s="130"/>
      <c r="G16" s="8"/>
      <c r="H16" s="8"/>
      <c r="I16" s="26"/>
      <c r="J16" s="26"/>
      <c r="K16" s="8"/>
      <c r="L16" s="8"/>
      <c r="M16" s="135"/>
      <c r="N16" s="38"/>
      <c r="O16" s="75"/>
      <c r="P16" s="75"/>
      <c r="Q16" s="75"/>
      <c r="R16" s="75"/>
      <c r="S16" s="102"/>
      <c r="T16" s="169"/>
      <c r="U16" s="174"/>
      <c r="V16" s="179"/>
      <c r="W16" s="34"/>
    </row>
    <row r="17" spans="1:23" s="5" customFormat="1" ht="115.5" customHeight="1" x14ac:dyDescent="0.35">
      <c r="A17" s="8"/>
      <c r="B17" s="12"/>
      <c r="C17" s="144"/>
      <c r="D17" s="8"/>
      <c r="E17" s="8"/>
      <c r="F17" s="8"/>
      <c r="G17" s="8"/>
      <c r="H17" s="8"/>
      <c r="I17" s="26"/>
      <c r="J17" s="26"/>
      <c r="K17" s="8"/>
      <c r="L17" s="8"/>
      <c r="M17" s="138"/>
      <c r="N17" s="75"/>
      <c r="O17" s="38"/>
      <c r="P17" s="38"/>
      <c r="Q17" s="38"/>
      <c r="R17" s="75"/>
      <c r="S17" s="102"/>
      <c r="T17" s="169"/>
      <c r="U17" s="174"/>
      <c r="V17" s="174"/>
      <c r="W17" s="34"/>
    </row>
    <row r="18" spans="1:23" s="3" customFormat="1" ht="79.5" customHeight="1" x14ac:dyDescent="0.35">
      <c r="A18" s="8"/>
      <c r="B18" s="12"/>
      <c r="C18" s="144"/>
      <c r="D18" s="8"/>
      <c r="E18" s="8"/>
      <c r="F18" s="8"/>
      <c r="G18" s="8"/>
      <c r="H18" s="8"/>
      <c r="I18" s="26"/>
      <c r="J18" s="26"/>
      <c r="K18" s="8"/>
      <c r="L18" s="8"/>
      <c r="M18" s="9"/>
      <c r="N18" s="119"/>
      <c r="O18" s="38"/>
      <c r="P18" s="38"/>
      <c r="Q18" s="136"/>
      <c r="R18" s="38"/>
      <c r="S18" s="102"/>
      <c r="T18" s="169"/>
      <c r="U18" s="174"/>
      <c r="V18" s="174"/>
      <c r="W18" s="34"/>
    </row>
    <row r="19" spans="1:23" s="3" customFormat="1" ht="223.5" customHeight="1" x14ac:dyDescent="0.35">
      <c r="A19" s="8"/>
      <c r="B19" s="13"/>
      <c r="C19" s="144"/>
      <c r="D19" s="8"/>
      <c r="E19" s="8"/>
      <c r="F19" s="8"/>
      <c r="G19" s="8"/>
      <c r="H19" s="8"/>
      <c r="I19" s="26"/>
      <c r="J19" s="26"/>
      <c r="K19" s="8"/>
      <c r="L19" s="8"/>
      <c r="M19" s="9"/>
      <c r="N19" s="9"/>
      <c r="O19" s="77"/>
      <c r="P19" s="77"/>
      <c r="Q19" s="141"/>
      <c r="R19" s="38"/>
      <c r="S19" s="102"/>
      <c r="T19" s="169"/>
      <c r="U19" s="174"/>
      <c r="V19" s="174"/>
      <c r="W19" s="34"/>
    </row>
    <row r="20" spans="1:23" s="3" customFormat="1" ht="79.5" customHeight="1" x14ac:dyDescent="0.35">
      <c r="A20" s="8"/>
      <c r="B20" s="12"/>
      <c r="C20" s="144"/>
      <c r="D20" s="8"/>
      <c r="E20" s="8"/>
      <c r="F20" s="8"/>
      <c r="G20" s="8"/>
      <c r="H20" s="8"/>
      <c r="I20" s="26"/>
      <c r="J20" s="27"/>
      <c r="K20" s="8"/>
      <c r="L20" s="8"/>
      <c r="M20" s="9"/>
      <c r="N20" s="9"/>
      <c r="O20" s="8"/>
      <c r="P20" s="8"/>
      <c r="Q20" s="132"/>
      <c r="R20" s="38"/>
      <c r="S20" s="102"/>
      <c r="T20" s="169"/>
      <c r="U20" s="174"/>
      <c r="V20" s="174"/>
      <c r="W20" s="34"/>
    </row>
    <row r="21" spans="1:23" s="3" customFormat="1" ht="79.5" customHeight="1" x14ac:dyDescent="0.35">
      <c r="A21" s="8"/>
      <c r="B21" s="12"/>
      <c r="C21" s="144"/>
      <c r="D21" s="8"/>
      <c r="E21" s="8"/>
      <c r="F21" s="8"/>
      <c r="G21" s="8"/>
      <c r="H21" s="8"/>
      <c r="I21" s="26"/>
      <c r="J21" s="26"/>
      <c r="K21" s="8"/>
      <c r="L21" s="8"/>
      <c r="M21" s="9"/>
      <c r="N21" s="9"/>
      <c r="O21" s="8"/>
      <c r="P21" s="8"/>
      <c r="Q21" s="132"/>
      <c r="R21" s="38"/>
      <c r="S21" s="102"/>
      <c r="T21" s="169"/>
      <c r="U21" s="174"/>
      <c r="V21" s="174"/>
      <c r="W21" s="34"/>
    </row>
    <row r="22" spans="1:23" s="3" customFormat="1" ht="79.5" customHeight="1" x14ac:dyDescent="0.35">
      <c r="A22" s="8"/>
      <c r="B22" s="12"/>
      <c r="C22" s="144"/>
      <c r="D22" s="8"/>
      <c r="E22" s="8"/>
      <c r="F22" s="8"/>
      <c r="G22" s="8"/>
      <c r="H22" s="8"/>
      <c r="I22" s="26"/>
      <c r="J22" s="26"/>
      <c r="K22" s="8"/>
      <c r="L22" s="8"/>
      <c r="M22" s="9"/>
      <c r="N22" s="9"/>
      <c r="O22" s="8"/>
      <c r="P22" s="8"/>
      <c r="Q22" s="132"/>
      <c r="R22" s="38"/>
      <c r="S22" s="102"/>
      <c r="T22" s="169"/>
      <c r="U22" s="174"/>
      <c r="V22" s="174"/>
      <c r="W22" s="34"/>
    </row>
    <row r="23" spans="1:23" s="3" customFormat="1" ht="79.5" customHeight="1" x14ac:dyDescent="0.35">
      <c r="A23" s="8"/>
      <c r="B23" s="12"/>
      <c r="C23" s="144"/>
      <c r="D23" s="8"/>
      <c r="E23" s="8"/>
      <c r="F23" s="8"/>
      <c r="G23" s="8"/>
      <c r="H23" s="8"/>
      <c r="I23" s="26"/>
      <c r="J23" s="26"/>
      <c r="K23" s="8"/>
      <c r="L23" s="8"/>
      <c r="M23" s="9"/>
      <c r="N23" s="9"/>
      <c r="O23" s="8"/>
      <c r="P23" s="8"/>
      <c r="Q23" s="132"/>
      <c r="R23" s="38"/>
      <c r="S23" s="102"/>
      <c r="T23" s="169"/>
      <c r="U23" s="174"/>
      <c r="V23" s="174"/>
      <c r="W23" s="34"/>
    </row>
    <row r="24" spans="1:23" s="3" customFormat="1" ht="79.5" customHeight="1" x14ac:dyDescent="0.35">
      <c r="A24" s="8"/>
      <c r="B24" s="12"/>
      <c r="C24" s="144"/>
      <c r="D24" s="8"/>
      <c r="E24" s="8"/>
      <c r="F24" s="8"/>
      <c r="G24" s="8"/>
      <c r="H24" s="8"/>
      <c r="I24" s="26"/>
      <c r="J24" s="26"/>
      <c r="K24" s="8"/>
      <c r="L24" s="8"/>
      <c r="M24" s="9"/>
      <c r="N24" s="9"/>
      <c r="O24" s="8"/>
      <c r="P24" s="8"/>
      <c r="Q24" s="132"/>
      <c r="R24" s="38"/>
      <c r="S24" s="102"/>
      <c r="T24" s="169"/>
      <c r="U24" s="174"/>
      <c r="V24" s="174"/>
      <c r="W24" s="34"/>
    </row>
    <row r="25" spans="1:23" s="3" customFormat="1" ht="79.5" customHeight="1" x14ac:dyDescent="0.35">
      <c r="A25" s="8"/>
      <c r="B25" s="12"/>
      <c r="C25" s="144"/>
      <c r="D25" s="8"/>
      <c r="E25" s="8"/>
      <c r="F25" s="8"/>
      <c r="G25" s="8"/>
      <c r="H25" s="8"/>
      <c r="I25" s="26"/>
      <c r="J25" s="26"/>
      <c r="K25" s="8"/>
      <c r="L25" s="8"/>
      <c r="M25" s="9"/>
      <c r="N25" s="9"/>
      <c r="O25" s="80"/>
      <c r="P25" s="80"/>
      <c r="Q25" s="190"/>
      <c r="R25" s="38"/>
      <c r="S25" s="102"/>
      <c r="T25" s="169"/>
      <c r="U25" s="174"/>
      <c r="V25" s="174"/>
      <c r="W25" s="34"/>
    </row>
    <row r="26" spans="1:23" s="3" customFormat="1" ht="79.5" customHeight="1" x14ac:dyDescent="0.35">
      <c r="A26" s="8"/>
      <c r="B26" s="12"/>
      <c r="C26" s="144"/>
      <c r="D26" s="8"/>
      <c r="E26" s="8"/>
      <c r="F26" s="8"/>
      <c r="G26" s="8"/>
      <c r="H26" s="8"/>
      <c r="I26" s="26"/>
      <c r="J26" s="26"/>
      <c r="K26" s="8"/>
      <c r="L26" s="8"/>
      <c r="M26" s="9"/>
      <c r="N26" s="138"/>
      <c r="O26" s="38"/>
      <c r="P26" s="38"/>
      <c r="Q26" s="136"/>
      <c r="R26" s="38"/>
      <c r="S26" s="102"/>
      <c r="T26" s="169"/>
      <c r="U26" s="174"/>
      <c r="V26" s="174"/>
      <c r="W26" s="34"/>
    </row>
    <row r="27" spans="1:23" ht="79.5" customHeight="1" x14ac:dyDescent="0.4">
      <c r="A27" s="19"/>
      <c r="B27" s="20"/>
      <c r="C27" s="144"/>
      <c r="D27" s="19"/>
      <c r="E27" s="19"/>
      <c r="F27" s="19"/>
      <c r="G27" s="19"/>
      <c r="H27" s="19"/>
      <c r="I27" s="28"/>
      <c r="J27" s="28"/>
      <c r="K27" s="19"/>
      <c r="L27" s="19"/>
      <c r="M27" s="21"/>
      <c r="N27" s="138"/>
      <c r="O27" s="38"/>
      <c r="P27" s="38"/>
      <c r="Q27" s="136"/>
      <c r="R27" s="38"/>
      <c r="S27" s="178"/>
      <c r="T27" s="170"/>
      <c r="U27" s="174"/>
      <c r="V27" s="175"/>
      <c r="W27" s="34"/>
    </row>
    <row r="28" spans="1:23" ht="16" x14ac:dyDescent="0.35">
      <c r="O28" s="79"/>
      <c r="P28" s="79"/>
      <c r="Q28" s="79"/>
      <c r="R28" s="79"/>
      <c r="U28" s="235"/>
    </row>
    <row r="29" spans="1:23" ht="16" x14ac:dyDescent="0.35">
      <c r="O29" s="79"/>
      <c r="P29" s="79"/>
      <c r="Q29" s="79"/>
      <c r="R29" s="79"/>
      <c r="U29" s="235"/>
    </row>
    <row r="30" spans="1:23" ht="16" x14ac:dyDescent="0.35">
      <c r="O30" s="79"/>
      <c r="P30" s="79"/>
      <c r="Q30" s="79"/>
      <c r="R30" s="79"/>
      <c r="U30" s="235"/>
    </row>
    <row r="31" spans="1:23" ht="16" x14ac:dyDescent="0.35">
      <c r="O31" s="79"/>
      <c r="P31" s="79"/>
      <c r="Q31" s="79"/>
      <c r="R31" s="79"/>
      <c r="U31" s="235"/>
    </row>
    <row r="32" spans="1:23" ht="16" x14ac:dyDescent="0.35">
      <c r="O32" s="79"/>
      <c r="P32" s="79"/>
      <c r="Q32" s="79"/>
      <c r="R32" s="79"/>
      <c r="U32" s="235"/>
    </row>
    <row r="33" spans="15:21" ht="16" x14ac:dyDescent="0.35">
      <c r="O33" s="79"/>
      <c r="P33" s="79"/>
      <c r="Q33" s="79"/>
      <c r="R33" s="79"/>
      <c r="U33" s="235"/>
    </row>
    <row r="34" spans="15:21" ht="16" x14ac:dyDescent="0.35">
      <c r="O34" s="79"/>
      <c r="P34" s="79"/>
      <c r="Q34" s="79"/>
      <c r="R34" s="79"/>
      <c r="U34" s="235"/>
    </row>
    <row r="35" spans="15:21" ht="16" x14ac:dyDescent="0.35">
      <c r="O35" s="79"/>
      <c r="P35" s="79"/>
      <c r="Q35" s="79"/>
      <c r="R35" s="79"/>
      <c r="U35" s="235"/>
    </row>
    <row r="36" spans="15:21" ht="16" x14ac:dyDescent="0.35">
      <c r="O36" s="79"/>
      <c r="P36" s="79"/>
      <c r="Q36" s="79"/>
      <c r="R36" s="79"/>
      <c r="U36" s="235"/>
    </row>
    <row r="37" spans="15:21" ht="16" x14ac:dyDescent="0.35">
      <c r="O37" s="79"/>
      <c r="P37" s="79"/>
      <c r="Q37" s="79"/>
      <c r="R37" s="79"/>
      <c r="U37" s="235"/>
    </row>
    <row r="38" spans="15:21" ht="16" x14ac:dyDescent="0.35">
      <c r="O38" s="79"/>
      <c r="P38" s="79"/>
      <c r="Q38" s="79"/>
      <c r="R38" s="79"/>
      <c r="U38" s="235"/>
    </row>
    <row r="39" spans="15:21" ht="16" x14ac:dyDescent="0.35">
      <c r="O39" s="79"/>
      <c r="P39" s="79"/>
      <c r="Q39" s="79"/>
      <c r="R39" s="79"/>
      <c r="U39" s="235"/>
    </row>
    <row r="40" spans="15:21" ht="16" x14ac:dyDescent="0.35">
      <c r="O40" s="79"/>
      <c r="P40" s="79"/>
      <c r="Q40" s="79"/>
      <c r="R40" s="79"/>
      <c r="U40" s="235"/>
    </row>
    <row r="41" spans="15:21" ht="16" x14ac:dyDescent="0.35">
      <c r="O41" s="79"/>
      <c r="P41" s="79"/>
      <c r="Q41" s="79"/>
      <c r="R41" s="79"/>
      <c r="U41" s="235"/>
    </row>
    <row r="42" spans="15:21" ht="16" x14ac:dyDescent="0.35">
      <c r="O42" s="79"/>
      <c r="P42" s="79"/>
      <c r="Q42" s="79"/>
      <c r="R42" s="79"/>
      <c r="U42" s="235"/>
    </row>
    <row r="43" spans="15:21" ht="16" x14ac:dyDescent="0.35">
      <c r="O43" s="79"/>
      <c r="P43" s="79"/>
      <c r="Q43" s="79"/>
      <c r="R43" s="79"/>
      <c r="U43" s="235"/>
    </row>
    <row r="44" spans="15:21" ht="16" x14ac:dyDescent="0.35">
      <c r="O44" s="79"/>
      <c r="P44" s="79"/>
      <c r="Q44" s="79"/>
      <c r="R44" s="79"/>
      <c r="U44" s="235"/>
    </row>
    <row r="45" spans="15:21" ht="16" x14ac:dyDescent="0.35">
      <c r="O45" s="79"/>
      <c r="P45" s="79"/>
      <c r="Q45" s="79"/>
      <c r="R45" s="79"/>
      <c r="U45" s="235"/>
    </row>
    <row r="46" spans="15:21" ht="16" x14ac:dyDescent="0.35">
      <c r="O46" s="79"/>
      <c r="P46" s="79"/>
      <c r="Q46" s="79"/>
      <c r="R46" s="79"/>
      <c r="U46" s="235"/>
    </row>
    <row r="47" spans="15:21" ht="16" x14ac:dyDescent="0.35">
      <c r="O47" s="79"/>
      <c r="P47" s="79"/>
      <c r="Q47" s="79"/>
      <c r="R47" s="79"/>
      <c r="U47" s="235"/>
    </row>
    <row r="48" spans="15:21" ht="16" x14ac:dyDescent="0.35">
      <c r="O48" s="79"/>
      <c r="P48" s="79"/>
      <c r="Q48" s="79"/>
      <c r="R48" s="79"/>
      <c r="U48" s="235"/>
    </row>
    <row r="49" spans="15:21" ht="16" x14ac:dyDescent="0.35">
      <c r="O49" s="79"/>
      <c r="P49" s="79"/>
      <c r="Q49" s="79"/>
      <c r="R49" s="79"/>
      <c r="U49" s="235"/>
    </row>
    <row r="50" spans="15:21" ht="16" x14ac:dyDescent="0.35">
      <c r="O50" s="79"/>
      <c r="P50" s="79"/>
      <c r="Q50" s="79"/>
      <c r="R50" s="79"/>
      <c r="U50" s="235"/>
    </row>
    <row r="51" spans="15:21" ht="16" x14ac:dyDescent="0.35">
      <c r="O51" s="79"/>
      <c r="P51" s="79"/>
      <c r="Q51" s="79"/>
      <c r="R51" s="79"/>
      <c r="U51" s="235"/>
    </row>
    <row r="52" spans="15:21" ht="16" x14ac:dyDescent="0.35">
      <c r="O52" s="79"/>
      <c r="P52" s="79"/>
      <c r="Q52" s="79"/>
      <c r="R52" s="79"/>
      <c r="U52" s="235"/>
    </row>
    <row r="53" spans="15:21" ht="16" x14ac:dyDescent="0.35">
      <c r="O53" s="79"/>
      <c r="P53" s="79"/>
      <c r="Q53" s="79"/>
      <c r="R53" s="79"/>
      <c r="U53" s="235"/>
    </row>
    <row r="54" spans="15:21" ht="16" x14ac:dyDescent="0.35">
      <c r="O54" s="79"/>
      <c r="P54" s="79"/>
      <c r="Q54" s="79"/>
      <c r="R54" s="79"/>
      <c r="U54" s="235"/>
    </row>
    <row r="55" spans="15:21" ht="16" x14ac:dyDescent="0.35">
      <c r="O55" s="79"/>
      <c r="P55" s="79"/>
      <c r="Q55" s="79"/>
      <c r="R55" s="79"/>
      <c r="U55" s="235"/>
    </row>
    <row r="56" spans="15:21" ht="16" x14ac:dyDescent="0.35">
      <c r="O56" s="79"/>
      <c r="P56" s="79"/>
      <c r="Q56" s="79"/>
      <c r="R56" s="79"/>
      <c r="U56" s="235"/>
    </row>
    <row r="57" spans="15:21" ht="16" x14ac:dyDescent="0.35">
      <c r="O57" s="79"/>
      <c r="P57" s="79"/>
      <c r="Q57" s="79"/>
      <c r="R57" s="79"/>
      <c r="U57" s="235"/>
    </row>
    <row r="58" spans="15:21" ht="16" x14ac:dyDescent="0.35">
      <c r="O58" s="79"/>
      <c r="P58" s="79"/>
      <c r="Q58" s="79"/>
      <c r="R58" s="79"/>
      <c r="U58" s="235"/>
    </row>
    <row r="59" spans="15:21" ht="16" x14ac:dyDescent="0.35">
      <c r="O59" s="79"/>
      <c r="P59" s="79"/>
      <c r="Q59" s="79"/>
      <c r="R59" s="79"/>
      <c r="U59" s="235"/>
    </row>
    <row r="60" spans="15:21" ht="16" x14ac:dyDescent="0.35">
      <c r="O60" s="79"/>
      <c r="P60" s="79"/>
      <c r="Q60" s="79"/>
      <c r="R60" s="79"/>
      <c r="U60" s="235"/>
    </row>
    <row r="61" spans="15:21" ht="16" x14ac:dyDescent="0.35">
      <c r="O61" s="79"/>
      <c r="P61" s="79"/>
      <c r="Q61" s="79"/>
      <c r="R61" s="79"/>
      <c r="U61" s="235"/>
    </row>
    <row r="62" spans="15:21" ht="16" x14ac:dyDescent="0.35">
      <c r="O62" s="79"/>
      <c r="P62" s="79"/>
      <c r="Q62" s="79"/>
      <c r="R62" s="79"/>
      <c r="U62" s="235"/>
    </row>
    <row r="63" spans="15:21" ht="16" x14ac:dyDescent="0.35">
      <c r="O63" s="79"/>
      <c r="P63" s="79"/>
      <c r="Q63" s="79"/>
      <c r="R63" s="79"/>
      <c r="U63" s="235"/>
    </row>
    <row r="64" spans="15:21" ht="16" x14ac:dyDescent="0.35">
      <c r="O64" s="79"/>
      <c r="P64" s="79"/>
      <c r="Q64" s="79"/>
      <c r="R64" s="79"/>
      <c r="U64" s="235"/>
    </row>
    <row r="65" spans="15:21" ht="16" x14ac:dyDescent="0.35">
      <c r="O65" s="79"/>
      <c r="P65" s="79"/>
      <c r="Q65" s="79"/>
      <c r="R65" s="79"/>
      <c r="U65" s="235"/>
    </row>
    <row r="66" spans="15:21" ht="16" x14ac:dyDescent="0.35">
      <c r="O66" s="79"/>
      <c r="P66" s="79"/>
      <c r="Q66" s="79"/>
      <c r="R66" s="79"/>
      <c r="U66" s="235"/>
    </row>
    <row r="67" spans="15:21" ht="16" x14ac:dyDescent="0.35">
      <c r="O67" s="79"/>
      <c r="P67" s="79"/>
      <c r="Q67" s="79"/>
      <c r="R67" s="79"/>
      <c r="U67" s="235"/>
    </row>
    <row r="68" spans="15:21" ht="16" x14ac:dyDescent="0.35">
      <c r="O68" s="79"/>
      <c r="P68" s="79"/>
      <c r="Q68" s="79"/>
      <c r="R68" s="79"/>
      <c r="U68" s="235"/>
    </row>
    <row r="69" spans="15:21" ht="16" x14ac:dyDescent="0.35">
      <c r="O69" s="79"/>
      <c r="P69" s="79"/>
      <c r="Q69" s="79"/>
      <c r="R69" s="79"/>
      <c r="U69" s="235"/>
    </row>
    <row r="70" spans="15:21" ht="16" x14ac:dyDescent="0.35">
      <c r="O70" s="79"/>
      <c r="P70" s="79"/>
      <c r="Q70" s="79"/>
      <c r="R70" s="79"/>
      <c r="U70" s="235"/>
    </row>
    <row r="71" spans="15:21" ht="16" x14ac:dyDescent="0.35">
      <c r="O71" s="79"/>
      <c r="P71" s="79"/>
      <c r="Q71" s="79"/>
      <c r="R71" s="79"/>
      <c r="U71" s="235"/>
    </row>
    <row r="72" spans="15:21" ht="16" x14ac:dyDescent="0.35">
      <c r="O72" s="79"/>
      <c r="P72" s="79"/>
      <c r="Q72" s="79"/>
      <c r="R72" s="79"/>
      <c r="U72" s="235"/>
    </row>
    <row r="73" spans="15:21" ht="16" x14ac:dyDescent="0.35">
      <c r="O73" s="79"/>
      <c r="P73" s="79"/>
      <c r="Q73" s="79"/>
      <c r="R73" s="79"/>
      <c r="U73" s="235"/>
    </row>
    <row r="74" spans="15:21" ht="16" x14ac:dyDescent="0.35">
      <c r="O74" s="79"/>
      <c r="P74" s="79"/>
      <c r="Q74" s="79"/>
      <c r="R74" s="79"/>
      <c r="U74" s="235"/>
    </row>
    <row r="75" spans="15:21" ht="16" x14ac:dyDescent="0.35">
      <c r="O75" s="79"/>
      <c r="P75" s="79"/>
      <c r="Q75" s="79"/>
      <c r="R75" s="79"/>
      <c r="U75" s="235"/>
    </row>
    <row r="76" spans="15:21" x14ac:dyDescent="0.35">
      <c r="U76" s="235"/>
    </row>
    <row r="77" spans="15:21" x14ac:dyDescent="0.35">
      <c r="U77" s="235"/>
    </row>
    <row r="78" spans="15:21" x14ac:dyDescent="0.35">
      <c r="U78" s="235"/>
    </row>
    <row r="79" spans="15:21" x14ac:dyDescent="0.35">
      <c r="U79" s="235"/>
    </row>
    <row r="80" spans="15:21" x14ac:dyDescent="0.35">
      <c r="U80" s="235"/>
    </row>
    <row r="81" spans="21:21" x14ac:dyDescent="0.35">
      <c r="U81" s="235"/>
    </row>
    <row r="82" spans="21:21" x14ac:dyDescent="0.35">
      <c r="U82" s="235"/>
    </row>
    <row r="83" spans="21:21" x14ac:dyDescent="0.35">
      <c r="U83" s="235"/>
    </row>
    <row r="84" spans="21:21" x14ac:dyDescent="0.35">
      <c r="U84" s="235"/>
    </row>
    <row r="85" spans="21:21" x14ac:dyDescent="0.35">
      <c r="U85" s="235"/>
    </row>
    <row r="86" spans="21:21" x14ac:dyDescent="0.35">
      <c r="U86" s="235"/>
    </row>
    <row r="87" spans="21:21" x14ac:dyDescent="0.35">
      <c r="U87" s="235"/>
    </row>
    <row r="88" spans="21:21" x14ac:dyDescent="0.35">
      <c r="U88" s="235"/>
    </row>
    <row r="89" spans="21:21" x14ac:dyDescent="0.35">
      <c r="U89" s="235"/>
    </row>
    <row r="90" spans="21:21" x14ac:dyDescent="0.35">
      <c r="U90" s="235"/>
    </row>
    <row r="91" spans="21:21" x14ac:dyDescent="0.35">
      <c r="U91" s="235"/>
    </row>
    <row r="92" spans="21:21" x14ac:dyDescent="0.35">
      <c r="U92" s="235"/>
    </row>
    <row r="93" spans="21:21" x14ac:dyDescent="0.35">
      <c r="U93" s="235"/>
    </row>
    <row r="94" spans="21:21" x14ac:dyDescent="0.35">
      <c r="U94" s="235"/>
    </row>
    <row r="95" spans="21:21" x14ac:dyDescent="0.35">
      <c r="U95" s="235"/>
    </row>
    <row r="96" spans="21:21" x14ac:dyDescent="0.35">
      <c r="U96" s="235"/>
    </row>
    <row r="97" spans="21:21" x14ac:dyDescent="0.35">
      <c r="U97" s="235"/>
    </row>
    <row r="98" spans="21:21" x14ac:dyDescent="0.35">
      <c r="U98" s="235"/>
    </row>
    <row r="99" spans="21:21" x14ac:dyDescent="0.35">
      <c r="U99" s="235"/>
    </row>
    <row r="100" spans="21:21" x14ac:dyDescent="0.35">
      <c r="U100" s="235"/>
    </row>
    <row r="101" spans="21:21" x14ac:dyDescent="0.35">
      <c r="U101" s="235"/>
    </row>
    <row r="102" spans="21:21" x14ac:dyDescent="0.35">
      <c r="U102" s="235"/>
    </row>
    <row r="103" spans="21:21" x14ac:dyDescent="0.35">
      <c r="U103" s="235"/>
    </row>
    <row r="104" spans="21:21" x14ac:dyDescent="0.35">
      <c r="U104" s="235"/>
    </row>
    <row r="105" spans="21:21" x14ac:dyDescent="0.35">
      <c r="U105" s="235"/>
    </row>
    <row r="106" spans="21:21" x14ac:dyDescent="0.35">
      <c r="U106" s="235"/>
    </row>
    <row r="107" spans="21:21" x14ac:dyDescent="0.35">
      <c r="U107" s="235"/>
    </row>
    <row r="108" spans="21:21" x14ac:dyDescent="0.35">
      <c r="U108" s="235"/>
    </row>
    <row r="109" spans="21:21" x14ac:dyDescent="0.35">
      <c r="U109" s="235"/>
    </row>
    <row r="110" spans="21:21" x14ac:dyDescent="0.35">
      <c r="U110" s="235"/>
    </row>
    <row r="111" spans="21:21" x14ac:dyDescent="0.35">
      <c r="U111" s="235"/>
    </row>
    <row r="112" spans="21:21" x14ac:dyDescent="0.35">
      <c r="U112" s="235"/>
    </row>
    <row r="113" spans="21:21" x14ac:dyDescent="0.35">
      <c r="U113" s="235"/>
    </row>
    <row r="114" spans="21:21" x14ac:dyDescent="0.35">
      <c r="U114" s="235"/>
    </row>
    <row r="115" spans="21:21" x14ac:dyDescent="0.35">
      <c r="U115" s="235"/>
    </row>
    <row r="116" spans="21:21" x14ac:dyDescent="0.35">
      <c r="U116" s="235"/>
    </row>
    <row r="117" spans="21:21" x14ac:dyDescent="0.35">
      <c r="U117" s="235"/>
    </row>
    <row r="118" spans="21:21" x14ac:dyDescent="0.35">
      <c r="U118" s="235"/>
    </row>
    <row r="119" spans="21:21" x14ac:dyDescent="0.35">
      <c r="U119" s="235"/>
    </row>
    <row r="120" spans="21:21" x14ac:dyDescent="0.35">
      <c r="U120" s="235"/>
    </row>
    <row r="121" spans="21:21" x14ac:dyDescent="0.35">
      <c r="U121" s="235"/>
    </row>
    <row r="122" spans="21:21" x14ac:dyDescent="0.35">
      <c r="U122" s="235"/>
    </row>
    <row r="123" spans="21:21" x14ac:dyDescent="0.35">
      <c r="U123" s="235"/>
    </row>
    <row r="124" spans="21:21" x14ac:dyDescent="0.35">
      <c r="U124" s="235"/>
    </row>
    <row r="125" spans="21:21" x14ac:dyDescent="0.35">
      <c r="U125" s="235"/>
    </row>
    <row r="126" spans="21:21" x14ac:dyDescent="0.35">
      <c r="U126" s="235"/>
    </row>
    <row r="127" spans="21:21" x14ac:dyDescent="0.35">
      <c r="U127" s="235"/>
    </row>
    <row r="128" spans="21:21" x14ac:dyDescent="0.35">
      <c r="U128" s="235"/>
    </row>
    <row r="129" spans="21:21" x14ac:dyDescent="0.35">
      <c r="U129" s="235"/>
    </row>
    <row r="130" spans="21:21" x14ac:dyDescent="0.35">
      <c r="U130" s="235"/>
    </row>
    <row r="131" spans="21:21" x14ac:dyDescent="0.35">
      <c r="U131" s="235"/>
    </row>
    <row r="132" spans="21:21" x14ac:dyDescent="0.35">
      <c r="U132" s="235"/>
    </row>
    <row r="133" spans="21:21" x14ac:dyDescent="0.35">
      <c r="U133" s="235"/>
    </row>
    <row r="134" spans="21:21" x14ac:dyDescent="0.35">
      <c r="U134" s="235"/>
    </row>
    <row r="135" spans="21:21" x14ac:dyDescent="0.35">
      <c r="U135" s="235"/>
    </row>
    <row r="136" spans="21:21" x14ac:dyDescent="0.35">
      <c r="U136" s="235"/>
    </row>
    <row r="137" spans="21:21" x14ac:dyDescent="0.35">
      <c r="U137" s="235"/>
    </row>
    <row r="138" spans="21:21" x14ac:dyDescent="0.35">
      <c r="U138" s="235"/>
    </row>
    <row r="139" spans="21:21" x14ac:dyDescent="0.35">
      <c r="U139" s="235"/>
    </row>
    <row r="140" spans="21:21" x14ac:dyDescent="0.35">
      <c r="U140" s="235"/>
    </row>
    <row r="141" spans="21:21" x14ac:dyDescent="0.35">
      <c r="U141" s="235"/>
    </row>
    <row r="142" spans="21:21" x14ac:dyDescent="0.35">
      <c r="U142" s="235"/>
    </row>
    <row r="143" spans="21:21" x14ac:dyDescent="0.35">
      <c r="U143" s="235"/>
    </row>
    <row r="144" spans="21:21" x14ac:dyDescent="0.35">
      <c r="U144" s="235"/>
    </row>
    <row r="145" spans="21:21" x14ac:dyDescent="0.35">
      <c r="U145" s="235"/>
    </row>
    <row r="146" spans="21:21" x14ac:dyDescent="0.35">
      <c r="U146" s="235"/>
    </row>
    <row r="147" spans="21:21" x14ac:dyDescent="0.35">
      <c r="U147" s="235"/>
    </row>
    <row r="148" spans="21:21" x14ac:dyDescent="0.35">
      <c r="U148" s="235"/>
    </row>
    <row r="149" spans="21:21" x14ac:dyDescent="0.35">
      <c r="U149" s="235"/>
    </row>
    <row r="150" spans="21:21" x14ac:dyDescent="0.35">
      <c r="U150" s="235"/>
    </row>
    <row r="151" spans="21:21" x14ac:dyDescent="0.35">
      <c r="U151" s="235"/>
    </row>
    <row r="152" spans="21:21" x14ac:dyDescent="0.35">
      <c r="U152" s="235"/>
    </row>
    <row r="153" spans="21:21" x14ac:dyDescent="0.35">
      <c r="U153" s="235"/>
    </row>
    <row r="154" spans="21:21" x14ac:dyDescent="0.35">
      <c r="U154" s="235"/>
    </row>
    <row r="155" spans="21:21" x14ac:dyDescent="0.35">
      <c r="U155" s="235"/>
    </row>
    <row r="156" spans="21:21" x14ac:dyDescent="0.35">
      <c r="U156" s="235"/>
    </row>
    <row r="157" spans="21:21" x14ac:dyDescent="0.35">
      <c r="U157" s="235"/>
    </row>
    <row r="158" spans="21:21" x14ac:dyDescent="0.35">
      <c r="U158" s="235"/>
    </row>
    <row r="159" spans="21:21" x14ac:dyDescent="0.35">
      <c r="U159" s="235"/>
    </row>
    <row r="160" spans="21:21" x14ac:dyDescent="0.35">
      <c r="U160" s="235"/>
    </row>
    <row r="161" spans="21:21" x14ac:dyDescent="0.35">
      <c r="U161" s="235"/>
    </row>
    <row r="162" spans="21:21" x14ac:dyDescent="0.35">
      <c r="U162" s="235"/>
    </row>
    <row r="163" spans="21:21" x14ac:dyDescent="0.35">
      <c r="U163" s="235"/>
    </row>
    <row r="164" spans="21:21" x14ac:dyDescent="0.35">
      <c r="U164" s="235"/>
    </row>
    <row r="165" spans="21:21" x14ac:dyDescent="0.35">
      <c r="U165" s="235"/>
    </row>
    <row r="166" spans="21:21" x14ac:dyDescent="0.35">
      <c r="U166" s="235"/>
    </row>
    <row r="167" spans="21:21" x14ac:dyDescent="0.35">
      <c r="U167" s="235"/>
    </row>
    <row r="168" spans="21:21" x14ac:dyDescent="0.35">
      <c r="U168" s="235"/>
    </row>
    <row r="169" spans="21:21" x14ac:dyDescent="0.35">
      <c r="U169" s="235"/>
    </row>
    <row r="170" spans="21:21" x14ac:dyDescent="0.35">
      <c r="U170" s="235"/>
    </row>
    <row r="171" spans="21:21" x14ac:dyDescent="0.35">
      <c r="U171" s="235"/>
    </row>
    <row r="172" spans="21:21" x14ac:dyDescent="0.35">
      <c r="U172" s="235"/>
    </row>
    <row r="173" spans="21:21" x14ac:dyDescent="0.35">
      <c r="U173" s="235"/>
    </row>
    <row r="174" spans="21:21" x14ac:dyDescent="0.35">
      <c r="U174" s="235"/>
    </row>
    <row r="175" spans="21:21" x14ac:dyDescent="0.35">
      <c r="U175" s="235"/>
    </row>
    <row r="176" spans="21:21" x14ac:dyDescent="0.35">
      <c r="U176" s="235"/>
    </row>
    <row r="177" spans="21:21" x14ac:dyDescent="0.35">
      <c r="U177" s="235"/>
    </row>
    <row r="178" spans="21:21" x14ac:dyDescent="0.35">
      <c r="U178" s="235"/>
    </row>
    <row r="179" spans="21:21" x14ac:dyDescent="0.35">
      <c r="U179" s="235"/>
    </row>
    <row r="180" spans="21:21" x14ac:dyDescent="0.35">
      <c r="U180" s="235"/>
    </row>
    <row r="181" spans="21:21" x14ac:dyDescent="0.35">
      <c r="U181" s="235"/>
    </row>
    <row r="182" spans="21:21" x14ac:dyDescent="0.35">
      <c r="U182" s="235"/>
    </row>
    <row r="183" spans="21:21" x14ac:dyDescent="0.35">
      <c r="U183" s="235"/>
    </row>
    <row r="184" spans="21:21" x14ac:dyDescent="0.35">
      <c r="U184" s="235"/>
    </row>
    <row r="185" spans="21:21" x14ac:dyDescent="0.35">
      <c r="U185" s="235"/>
    </row>
    <row r="186" spans="21:21" x14ac:dyDescent="0.35">
      <c r="U186" s="235"/>
    </row>
    <row r="187" spans="21:21" x14ac:dyDescent="0.35">
      <c r="U187" s="235"/>
    </row>
    <row r="188" spans="21:21" x14ac:dyDescent="0.35">
      <c r="U188" s="235"/>
    </row>
    <row r="189" spans="21:21" x14ac:dyDescent="0.35">
      <c r="U189" s="235"/>
    </row>
    <row r="190" spans="21:21" x14ac:dyDescent="0.35">
      <c r="U190" s="235"/>
    </row>
    <row r="191" spans="21:21" x14ac:dyDescent="0.35">
      <c r="U191" s="235"/>
    </row>
    <row r="192" spans="21:21" x14ac:dyDescent="0.35">
      <c r="U192" s="235"/>
    </row>
    <row r="193" spans="21:21" x14ac:dyDescent="0.35">
      <c r="U193" s="235"/>
    </row>
    <row r="194" spans="21:21" x14ac:dyDescent="0.35">
      <c r="U194" s="235"/>
    </row>
    <row r="195" spans="21:21" x14ac:dyDescent="0.35">
      <c r="U195" s="235"/>
    </row>
    <row r="196" spans="21:21" x14ac:dyDescent="0.35">
      <c r="U196" s="235"/>
    </row>
    <row r="197" spans="21:21" x14ac:dyDescent="0.35">
      <c r="U197" s="235"/>
    </row>
    <row r="198" spans="21:21" x14ac:dyDescent="0.35">
      <c r="U198" s="235"/>
    </row>
    <row r="199" spans="21:21" x14ac:dyDescent="0.35">
      <c r="U199" s="235"/>
    </row>
    <row r="200" spans="21:21" x14ac:dyDescent="0.35">
      <c r="U200" s="235"/>
    </row>
    <row r="201" spans="21:21" x14ac:dyDescent="0.35">
      <c r="U201" s="235"/>
    </row>
    <row r="202" spans="21:21" x14ac:dyDescent="0.35">
      <c r="U202" s="235"/>
    </row>
    <row r="203" spans="21:21" x14ac:dyDescent="0.35">
      <c r="U203" s="235"/>
    </row>
    <row r="204" spans="21:21" x14ac:dyDescent="0.35">
      <c r="U204" s="235"/>
    </row>
    <row r="205" spans="21:21" x14ac:dyDescent="0.35">
      <c r="U205" s="235"/>
    </row>
    <row r="206" spans="21:21" x14ac:dyDescent="0.35">
      <c r="U206" s="235"/>
    </row>
    <row r="207" spans="21:21" x14ac:dyDescent="0.35">
      <c r="U207" s="235"/>
    </row>
    <row r="208" spans="21:21" x14ac:dyDescent="0.35">
      <c r="U208" s="235"/>
    </row>
    <row r="209" spans="21:21" x14ac:dyDescent="0.35">
      <c r="U209" s="235"/>
    </row>
    <row r="210" spans="21:21" x14ac:dyDescent="0.35">
      <c r="U210" s="235"/>
    </row>
    <row r="211" spans="21:21" x14ac:dyDescent="0.35">
      <c r="U211" s="235"/>
    </row>
    <row r="212" spans="21:21" x14ac:dyDescent="0.35">
      <c r="U212" s="235"/>
    </row>
    <row r="213" spans="21:21" x14ac:dyDescent="0.35">
      <c r="U213" s="235"/>
    </row>
    <row r="214" spans="21:21" x14ac:dyDescent="0.35">
      <c r="U214" s="235"/>
    </row>
    <row r="215" spans="21:21" x14ac:dyDescent="0.35">
      <c r="U215" s="235"/>
    </row>
    <row r="216" spans="21:21" x14ac:dyDescent="0.35">
      <c r="U216" s="235"/>
    </row>
    <row r="217" spans="21:21" x14ac:dyDescent="0.35">
      <c r="U217" s="235"/>
    </row>
    <row r="218" spans="21:21" x14ac:dyDescent="0.35">
      <c r="U218" s="235"/>
    </row>
    <row r="219" spans="21:21" x14ac:dyDescent="0.35">
      <c r="U219" s="235"/>
    </row>
    <row r="220" spans="21:21" x14ac:dyDescent="0.35">
      <c r="U220" s="235"/>
    </row>
    <row r="221" spans="21:21" x14ac:dyDescent="0.35">
      <c r="U221" s="235"/>
    </row>
    <row r="222" spans="21:21" x14ac:dyDescent="0.35">
      <c r="U222" s="235"/>
    </row>
    <row r="223" spans="21:21" x14ac:dyDescent="0.35">
      <c r="U223" s="235"/>
    </row>
    <row r="224" spans="21:21" x14ac:dyDescent="0.35">
      <c r="U224" s="235"/>
    </row>
    <row r="225" spans="21:21" x14ac:dyDescent="0.35">
      <c r="U225" s="235"/>
    </row>
    <row r="226" spans="21:21" x14ac:dyDescent="0.35">
      <c r="U226" s="235"/>
    </row>
    <row r="227" spans="21:21" x14ac:dyDescent="0.35">
      <c r="U227" s="235"/>
    </row>
    <row r="228" spans="21:21" x14ac:dyDescent="0.35">
      <c r="U228" s="235"/>
    </row>
    <row r="229" spans="21:21" x14ac:dyDescent="0.35">
      <c r="U229" s="235"/>
    </row>
    <row r="230" spans="21:21" x14ac:dyDescent="0.35">
      <c r="U230" s="235"/>
    </row>
    <row r="231" spans="21:21" x14ac:dyDescent="0.35">
      <c r="U231" s="235"/>
    </row>
    <row r="232" spans="21:21" x14ac:dyDescent="0.35">
      <c r="U232" s="235"/>
    </row>
    <row r="233" spans="21:21" x14ac:dyDescent="0.35">
      <c r="U233" s="235"/>
    </row>
    <row r="234" spans="21:21" x14ac:dyDescent="0.35">
      <c r="U234" s="235"/>
    </row>
    <row r="235" spans="21:21" x14ac:dyDescent="0.35">
      <c r="U235" s="235"/>
    </row>
    <row r="236" spans="21:21" x14ac:dyDescent="0.35">
      <c r="U236" s="235"/>
    </row>
    <row r="237" spans="21:21" x14ac:dyDescent="0.35">
      <c r="U237" s="235"/>
    </row>
    <row r="238" spans="21:21" x14ac:dyDescent="0.35">
      <c r="U238" s="235"/>
    </row>
    <row r="239" spans="21:21" x14ac:dyDescent="0.35">
      <c r="U239" s="235"/>
    </row>
    <row r="240" spans="21:21" x14ac:dyDescent="0.35">
      <c r="U240" s="235"/>
    </row>
    <row r="241" spans="21:21" x14ac:dyDescent="0.35">
      <c r="U241" s="235"/>
    </row>
    <row r="242" spans="21:21" x14ac:dyDescent="0.35">
      <c r="U242" s="235"/>
    </row>
    <row r="243" spans="21:21" x14ac:dyDescent="0.35">
      <c r="U243" s="235"/>
    </row>
    <row r="244" spans="21:21" x14ac:dyDescent="0.35">
      <c r="U244" s="235"/>
    </row>
    <row r="245" spans="21:21" x14ac:dyDescent="0.35">
      <c r="U245" s="235"/>
    </row>
    <row r="246" spans="21:21" x14ac:dyDescent="0.35">
      <c r="U246" s="235"/>
    </row>
    <row r="247" spans="21:21" x14ac:dyDescent="0.35">
      <c r="U247" s="235"/>
    </row>
    <row r="248" spans="21:21" x14ac:dyDescent="0.35">
      <c r="U248" s="235"/>
    </row>
    <row r="249" spans="21:21" x14ac:dyDescent="0.35">
      <c r="U249" s="235"/>
    </row>
    <row r="250" spans="21:21" x14ac:dyDescent="0.35">
      <c r="U250" s="235"/>
    </row>
    <row r="251" spans="21:21" x14ac:dyDescent="0.35">
      <c r="U251" s="235"/>
    </row>
    <row r="252" spans="21:21" x14ac:dyDescent="0.35">
      <c r="U252" s="235"/>
    </row>
    <row r="253" spans="21:21" x14ac:dyDescent="0.35">
      <c r="U253" s="235"/>
    </row>
    <row r="254" spans="21:21" x14ac:dyDescent="0.35">
      <c r="U254" s="235"/>
    </row>
    <row r="255" spans="21:21" x14ac:dyDescent="0.35">
      <c r="U255" s="235"/>
    </row>
    <row r="256" spans="21:21" x14ac:dyDescent="0.35">
      <c r="U256" s="235"/>
    </row>
    <row r="257" spans="21:21" x14ac:dyDescent="0.35">
      <c r="U257" s="235"/>
    </row>
    <row r="258" spans="21:21" x14ac:dyDescent="0.35">
      <c r="U258" s="235"/>
    </row>
    <row r="259" spans="21:21" x14ac:dyDescent="0.35">
      <c r="U259" s="235"/>
    </row>
    <row r="260" spans="21:21" x14ac:dyDescent="0.35">
      <c r="U260" s="235"/>
    </row>
    <row r="261" spans="21:21" x14ac:dyDescent="0.35">
      <c r="U261" s="235"/>
    </row>
    <row r="262" spans="21:21" x14ac:dyDescent="0.35">
      <c r="U262" s="235"/>
    </row>
    <row r="263" spans="21:21" x14ac:dyDescent="0.35">
      <c r="U263" s="235"/>
    </row>
    <row r="264" spans="21:21" x14ac:dyDescent="0.35">
      <c r="U264" s="235"/>
    </row>
    <row r="265" spans="21:21" x14ac:dyDescent="0.35">
      <c r="U265" s="235"/>
    </row>
    <row r="266" spans="21:21" x14ac:dyDescent="0.35">
      <c r="U266" s="235"/>
    </row>
    <row r="267" spans="21:21" x14ac:dyDescent="0.35">
      <c r="U267" s="235"/>
    </row>
    <row r="268" spans="21:21" x14ac:dyDescent="0.35">
      <c r="U268" s="235"/>
    </row>
    <row r="269" spans="21:21" x14ac:dyDescent="0.35">
      <c r="U269" s="235"/>
    </row>
    <row r="270" spans="21:21" x14ac:dyDescent="0.35">
      <c r="U270" s="235"/>
    </row>
    <row r="271" spans="21:21" x14ac:dyDescent="0.35">
      <c r="U271" s="235"/>
    </row>
    <row r="272" spans="21:21" x14ac:dyDescent="0.35">
      <c r="U272" s="235"/>
    </row>
    <row r="273" spans="21:21" x14ac:dyDescent="0.35">
      <c r="U273" s="235"/>
    </row>
    <row r="274" spans="21:21" x14ac:dyDescent="0.35">
      <c r="U274" s="235"/>
    </row>
    <row r="275" spans="21:21" x14ac:dyDescent="0.35">
      <c r="U275" s="235"/>
    </row>
    <row r="276" spans="21:21" x14ac:dyDescent="0.35">
      <c r="U276" s="235"/>
    </row>
    <row r="277" spans="21:21" x14ac:dyDescent="0.35">
      <c r="U277" s="235"/>
    </row>
    <row r="278" spans="21:21" x14ac:dyDescent="0.35">
      <c r="U278" s="235"/>
    </row>
    <row r="279" spans="21:21" x14ac:dyDescent="0.35">
      <c r="U279" s="235"/>
    </row>
    <row r="280" spans="21:21" x14ac:dyDescent="0.35">
      <c r="U280" s="235"/>
    </row>
    <row r="281" spans="21:21" x14ac:dyDescent="0.35">
      <c r="U281" s="235"/>
    </row>
    <row r="282" spans="21:21" x14ac:dyDescent="0.35">
      <c r="U282" s="235"/>
    </row>
    <row r="283" spans="21:21" x14ac:dyDescent="0.35">
      <c r="U283" s="235"/>
    </row>
    <row r="284" spans="21:21" x14ac:dyDescent="0.35">
      <c r="U284" s="235"/>
    </row>
    <row r="285" spans="21:21" x14ac:dyDescent="0.35">
      <c r="U285" s="235"/>
    </row>
    <row r="286" spans="21:21" x14ac:dyDescent="0.35">
      <c r="U286" s="235"/>
    </row>
    <row r="287" spans="21:21" x14ac:dyDescent="0.35">
      <c r="U287" s="235"/>
    </row>
    <row r="288" spans="21:21" x14ac:dyDescent="0.35">
      <c r="U288" s="235"/>
    </row>
    <row r="289" spans="21:21" x14ac:dyDescent="0.35">
      <c r="U289" s="235"/>
    </row>
    <row r="290" spans="21:21" x14ac:dyDescent="0.35">
      <c r="U290" s="235"/>
    </row>
    <row r="291" spans="21:21" x14ac:dyDescent="0.35">
      <c r="U291" s="235"/>
    </row>
    <row r="292" spans="21:21" x14ac:dyDescent="0.35">
      <c r="U292" s="235"/>
    </row>
    <row r="293" spans="21:21" x14ac:dyDescent="0.35">
      <c r="U293" s="235"/>
    </row>
    <row r="294" spans="21:21" x14ac:dyDescent="0.35">
      <c r="U294" s="235"/>
    </row>
    <row r="295" spans="21:21" x14ac:dyDescent="0.35">
      <c r="U295" s="235"/>
    </row>
    <row r="296" spans="21:21" x14ac:dyDescent="0.35">
      <c r="U296" s="235"/>
    </row>
    <row r="297" spans="21:21" x14ac:dyDescent="0.35">
      <c r="U297" s="235"/>
    </row>
    <row r="298" spans="21:21" x14ac:dyDescent="0.35">
      <c r="U298" s="235"/>
    </row>
    <row r="299" spans="21:21" x14ac:dyDescent="0.35">
      <c r="U299" s="235"/>
    </row>
    <row r="300" spans="21:21" x14ac:dyDescent="0.35">
      <c r="U300" s="235"/>
    </row>
    <row r="301" spans="21:21" x14ac:dyDescent="0.35">
      <c r="U301" s="235"/>
    </row>
    <row r="302" spans="21:21" x14ac:dyDescent="0.35">
      <c r="U302" s="235"/>
    </row>
    <row r="303" spans="21:21" x14ac:dyDescent="0.35">
      <c r="U303" s="235"/>
    </row>
    <row r="304" spans="21:21" x14ac:dyDescent="0.35">
      <c r="U304" s="235"/>
    </row>
    <row r="305" spans="21:21" x14ac:dyDescent="0.35">
      <c r="U305" s="235"/>
    </row>
    <row r="306" spans="21:21" x14ac:dyDescent="0.35">
      <c r="U306" s="235"/>
    </row>
    <row r="307" spans="21:21" x14ac:dyDescent="0.35">
      <c r="U307" s="235"/>
    </row>
    <row r="308" spans="21:21" x14ac:dyDescent="0.35">
      <c r="U308" s="235"/>
    </row>
    <row r="309" spans="21:21" x14ac:dyDescent="0.35">
      <c r="U309" s="243"/>
    </row>
    <row r="310" spans="21:21" x14ac:dyDescent="0.35">
      <c r="U310" s="243"/>
    </row>
    <row r="311" spans="21:21" x14ac:dyDescent="0.35">
      <c r="U311" s="243"/>
    </row>
    <row r="312" spans="21:21" x14ac:dyDescent="0.35">
      <c r="U312" s="243"/>
    </row>
    <row r="313" spans="21:21" x14ac:dyDescent="0.35">
      <c r="U313" s="243"/>
    </row>
    <row r="314" spans="21:21" x14ac:dyDescent="0.35">
      <c r="U314" s="243"/>
    </row>
    <row r="315" spans="21:21" x14ac:dyDescent="0.35">
      <c r="U315" s="243"/>
    </row>
    <row r="316" spans="21:21" x14ac:dyDescent="0.35">
      <c r="U316" s="243"/>
    </row>
    <row r="317" spans="21:21" x14ac:dyDescent="0.35">
      <c r="U317" s="243"/>
    </row>
    <row r="318" spans="21:21" x14ac:dyDescent="0.35">
      <c r="U318" s="243"/>
    </row>
    <row r="319" spans="21:21" x14ac:dyDescent="0.35">
      <c r="U319" s="243"/>
    </row>
    <row r="320" spans="21:21" x14ac:dyDescent="0.35">
      <c r="U320" s="243"/>
    </row>
    <row r="321" spans="21:21" x14ac:dyDescent="0.35">
      <c r="U321" s="243"/>
    </row>
    <row r="322" spans="21:21" x14ac:dyDescent="0.35">
      <c r="U322" s="243"/>
    </row>
    <row r="323" spans="21:21" x14ac:dyDescent="0.35">
      <c r="U323" s="243"/>
    </row>
    <row r="324" spans="21:21" x14ac:dyDescent="0.35">
      <c r="U324" s="243"/>
    </row>
    <row r="325" spans="21:21" x14ac:dyDescent="0.35">
      <c r="U325" s="243"/>
    </row>
    <row r="326" spans="21:21" x14ac:dyDescent="0.35">
      <c r="U326" s="243"/>
    </row>
    <row r="327" spans="21:21" x14ac:dyDescent="0.35">
      <c r="U327" s="243"/>
    </row>
    <row r="328" spans="21:21" x14ac:dyDescent="0.35">
      <c r="U328" s="243"/>
    </row>
    <row r="329" spans="21:21" x14ac:dyDescent="0.35">
      <c r="U329" s="243"/>
    </row>
    <row r="330" spans="21:21" x14ac:dyDescent="0.35">
      <c r="U330" s="243"/>
    </row>
    <row r="331" spans="21:21" x14ac:dyDescent="0.35">
      <c r="U331" s="243"/>
    </row>
    <row r="332" spans="21:21" x14ac:dyDescent="0.35">
      <c r="U332" s="243"/>
    </row>
    <row r="333" spans="21:21" x14ac:dyDescent="0.35">
      <c r="U333" s="243"/>
    </row>
    <row r="334" spans="21:21" x14ac:dyDescent="0.35">
      <c r="U334" s="243"/>
    </row>
    <row r="335" spans="21:21" x14ac:dyDescent="0.35">
      <c r="U335" s="243"/>
    </row>
    <row r="336" spans="21:21" x14ac:dyDescent="0.35">
      <c r="U336" s="243"/>
    </row>
    <row r="337" spans="21:21" x14ac:dyDescent="0.35">
      <c r="U337" s="243"/>
    </row>
    <row r="338" spans="21:21" x14ac:dyDescent="0.35">
      <c r="U338" s="243"/>
    </row>
    <row r="339" spans="21:21" x14ac:dyDescent="0.35">
      <c r="U339" s="243"/>
    </row>
    <row r="340" spans="21:21" x14ac:dyDescent="0.35">
      <c r="U340" s="243"/>
    </row>
    <row r="341" spans="21:21" x14ac:dyDescent="0.35">
      <c r="U341" s="243"/>
    </row>
    <row r="342" spans="21:21" x14ac:dyDescent="0.35">
      <c r="U342" s="243"/>
    </row>
    <row r="343" spans="21:21" x14ac:dyDescent="0.35">
      <c r="U343" s="243"/>
    </row>
    <row r="344" spans="21:21" x14ac:dyDescent="0.35">
      <c r="U344" s="243"/>
    </row>
    <row r="345" spans="21:21" x14ac:dyDescent="0.35">
      <c r="U345" s="243"/>
    </row>
    <row r="346" spans="21:21" x14ac:dyDescent="0.35">
      <c r="U346" s="243"/>
    </row>
    <row r="347" spans="21:21" x14ac:dyDescent="0.35">
      <c r="U347" s="243"/>
    </row>
    <row r="348" spans="21:21" x14ac:dyDescent="0.35">
      <c r="U348" s="243"/>
    </row>
    <row r="349" spans="21:21" x14ac:dyDescent="0.35">
      <c r="U349" s="243"/>
    </row>
    <row r="350" spans="21:21" x14ac:dyDescent="0.35">
      <c r="U350" s="243"/>
    </row>
    <row r="351" spans="21:21" x14ac:dyDescent="0.35">
      <c r="U351" s="243"/>
    </row>
    <row r="352" spans="21:21" x14ac:dyDescent="0.35">
      <c r="U352" s="243"/>
    </row>
    <row r="353" spans="21:21" x14ac:dyDescent="0.35">
      <c r="U353" s="243"/>
    </row>
    <row r="354" spans="21:21" x14ac:dyDescent="0.35">
      <c r="U354" s="243"/>
    </row>
    <row r="355" spans="21:21" x14ac:dyDescent="0.35">
      <c r="U355" s="243"/>
    </row>
    <row r="356" spans="21:21" x14ac:dyDescent="0.35">
      <c r="U356" s="243"/>
    </row>
    <row r="357" spans="21:21" x14ac:dyDescent="0.35">
      <c r="U357" s="243"/>
    </row>
    <row r="358" spans="21:21" x14ac:dyDescent="0.35">
      <c r="U358" s="243"/>
    </row>
    <row r="359" spans="21:21" x14ac:dyDescent="0.35">
      <c r="U359" s="243"/>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9">
    <mergeCell ref="A1:W1"/>
    <mergeCell ref="A2:W2"/>
    <mergeCell ref="A3:W3"/>
    <mergeCell ref="A4:E4"/>
    <mergeCell ref="F4:L4"/>
    <mergeCell ref="M4:N4"/>
    <mergeCell ref="O4:R4"/>
    <mergeCell ref="S4:U4"/>
    <mergeCell ref="V4:W4"/>
  </mergeCells>
  <conditionalFormatting sqref="O6:R6 O7:Q8 O9:R9 O10:Q10 O11:R11 O12:Q13 O14:R14 O15:Q16 O17:R1048576">
    <cfRule type="containsText" dxfId="82" priority="1" operator="containsText" text="No">
      <formula>NOT(ISERROR(SEARCH("No",O6)))</formula>
    </cfRule>
    <cfRule type="containsText" dxfId="81" priority="2" operator="containsText" text="Yes">
      <formula>NOT(ISERROR(SEARCH("Yes",O6)))</formula>
    </cfRule>
  </conditionalFormatting>
  <conditionalFormatting sqref="S6:S1048576">
    <cfRule type="containsText" dxfId="80" priority="3" operator="containsText" text="Rejected">
      <formula>NOT(ISERROR(SEARCH("Rejected",S6)))</formula>
    </cfRule>
    <cfRule type="containsText" dxfId="79" priority="4" operator="containsText" text="Revisions Needed">
      <formula>NOT(ISERROR(SEARCH("Revisions Needed",S6)))</formula>
    </cfRule>
    <cfRule type="containsText" dxfId="78" priority="5" operator="containsText" text="Approved">
      <formula>NOT(ISERROR(SEARCH("Approved",S6)))</formula>
    </cfRule>
  </conditionalFormatting>
  <dataValidations count="3">
    <dataValidation type="list" allowBlank="1" sqref="S6:S1048576" xr:uid="{B0E540AC-65D8-466E-B995-BC8CFB4A6A07}">
      <formula1>"Approved,Revisions Needed, Rejected"</formula1>
    </dataValidation>
    <dataValidation type="list" allowBlank="1" showInputMessage="1" showErrorMessage="1" sqref="O14:Q14 O17:Q1048576 O6:Q7 O11 P8:Q11" xr:uid="{5E1B1864-E8F5-474A-BA45-B2AAD33085C1}">
      <formula1>"No, Yes"</formula1>
    </dataValidation>
    <dataValidation type="list" allowBlank="1" showInputMessage="1" showErrorMessage="1" sqref="C6:C1048576" xr:uid="{F023843D-6AF0-4AD3-9FAE-76DA48BF8685}">
      <formula1>"Monthly, Yearly"</formula1>
    </dataValidation>
  </dataValidations>
  <pageMargins left="0.75" right="0.75" top="1" bottom="1"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A965C-94A7-449F-9E4B-75EDD406A84D}">
  <sheetPr>
    <tabColor theme="6"/>
  </sheetPr>
  <dimension ref="A1:Y25"/>
  <sheetViews>
    <sheetView showGridLines="0" zoomScale="70" zoomScaleNormal="50" workbookViewId="0">
      <selection activeCell="E34" sqref="E34"/>
    </sheetView>
  </sheetViews>
  <sheetFormatPr defaultColWidth="8.54296875" defaultRowHeight="14.5" x14ac:dyDescent="0.35"/>
  <cols>
    <col min="1" max="1" width="5.1796875" customWidth="1"/>
    <col min="2" max="2" width="15.453125" style="399" bestFit="1" customWidth="1"/>
    <col min="3" max="3" width="12" customWidth="1"/>
    <col min="4" max="4" width="37.1796875" customWidth="1"/>
    <col min="5" max="5" width="33.453125" bestFit="1" customWidth="1"/>
    <col min="6" max="6" width="14.26953125" bestFit="1" customWidth="1"/>
    <col min="7" max="7" width="15.26953125" bestFit="1" customWidth="1"/>
    <col min="8" max="8" width="11.81640625" customWidth="1"/>
    <col min="9" max="9" width="15.453125" customWidth="1"/>
    <col min="10" max="10" width="13.26953125" customWidth="1"/>
    <col min="11" max="11" width="15.54296875" customWidth="1"/>
    <col min="12" max="12" width="12.81640625" customWidth="1"/>
    <col min="13" max="13" width="36" style="386" customWidth="1"/>
    <col min="14" max="14" width="27" bestFit="1" customWidth="1"/>
    <col min="15" max="15" width="4.26953125" bestFit="1" customWidth="1"/>
    <col min="16" max="16" width="5.453125" customWidth="1"/>
    <col min="17" max="17" width="6" customWidth="1"/>
    <col min="18" max="18" width="49.453125" customWidth="1"/>
    <col min="19" max="19" width="17" customWidth="1"/>
    <col min="20" max="20" width="22.1796875" style="406" customWidth="1"/>
    <col min="21" max="21" width="48.453125" customWidth="1"/>
    <col min="22" max="22" width="15.81640625" customWidth="1"/>
    <col min="23" max="23" width="25" bestFit="1" customWidth="1"/>
    <col min="24" max="24" width="8.7265625" bestFit="1" customWidth="1"/>
    <col min="25" max="25" width="25" customWidth="1"/>
  </cols>
  <sheetData>
    <row r="1" spans="1:25" ht="21" x14ac:dyDescent="0.35">
      <c r="A1" s="525" t="s">
        <v>297</v>
      </c>
      <c r="B1" s="525"/>
      <c r="C1" s="525"/>
      <c r="D1" s="525"/>
      <c r="E1" s="525"/>
      <c r="F1" s="525"/>
      <c r="G1" s="525"/>
      <c r="H1" s="525"/>
      <c r="I1" s="525"/>
      <c r="J1" s="525"/>
      <c r="K1" s="525"/>
      <c r="L1" s="525"/>
      <c r="M1" s="525"/>
      <c r="N1" s="525"/>
      <c r="O1" s="525"/>
      <c r="P1" s="525"/>
      <c r="Q1" s="525"/>
      <c r="R1" s="525"/>
      <c r="S1" s="525"/>
      <c r="T1" s="525"/>
      <c r="U1" s="525"/>
      <c r="V1" s="525"/>
      <c r="W1" s="525"/>
      <c r="X1" s="525"/>
      <c r="Y1" s="525"/>
    </row>
    <row r="2" spans="1:25" ht="21" x14ac:dyDescent="0.35">
      <c r="A2" s="526" t="s">
        <v>298</v>
      </c>
      <c r="B2" s="527"/>
      <c r="C2" s="527"/>
      <c r="D2" s="527"/>
      <c r="E2" s="527"/>
      <c r="F2" s="527"/>
      <c r="G2" s="527"/>
      <c r="H2" s="527"/>
      <c r="I2" s="527"/>
      <c r="J2" s="527"/>
      <c r="K2" s="527"/>
      <c r="L2" s="527"/>
      <c r="M2" s="527"/>
      <c r="N2" s="527"/>
      <c r="O2" s="527"/>
      <c r="P2" s="527"/>
      <c r="Q2" s="527"/>
      <c r="R2" s="527"/>
      <c r="S2" s="527"/>
      <c r="T2" s="527"/>
      <c r="U2" s="527"/>
      <c r="V2" s="527"/>
      <c r="W2" s="527"/>
      <c r="X2" s="527"/>
      <c r="Y2" s="528"/>
    </row>
    <row r="3" spans="1:25" ht="48" x14ac:dyDescent="0.35">
      <c r="A3" s="377" t="s">
        <v>9</v>
      </c>
      <c r="B3" s="377" t="s">
        <v>10</v>
      </c>
      <c r="C3" s="377" t="s">
        <v>11</v>
      </c>
      <c r="D3" s="377" t="s">
        <v>12</v>
      </c>
      <c r="E3" s="377" t="s">
        <v>13</v>
      </c>
      <c r="F3" s="377" t="s">
        <v>14</v>
      </c>
      <c r="G3" s="377" t="s">
        <v>228</v>
      </c>
      <c r="H3" s="377" t="s">
        <v>15</v>
      </c>
      <c r="I3" s="377" t="s">
        <v>16</v>
      </c>
      <c r="J3" s="377" t="s">
        <v>17</v>
      </c>
      <c r="K3" s="377" t="s">
        <v>18</v>
      </c>
      <c r="L3" s="377" t="s">
        <v>19</v>
      </c>
      <c r="M3" s="377" t="s">
        <v>20</v>
      </c>
      <c r="N3" s="377" t="s">
        <v>21</v>
      </c>
      <c r="O3" s="377" t="s">
        <v>22</v>
      </c>
      <c r="P3" s="377" t="s">
        <v>23</v>
      </c>
      <c r="Q3" s="377" t="s">
        <v>24</v>
      </c>
      <c r="R3" s="377" t="s">
        <v>25</v>
      </c>
      <c r="S3" s="377" t="s">
        <v>299</v>
      </c>
      <c r="T3" s="377" t="s">
        <v>300</v>
      </c>
      <c r="U3" s="377" t="s">
        <v>301</v>
      </c>
      <c r="V3" s="377" t="s">
        <v>302</v>
      </c>
      <c r="W3" s="377" t="s">
        <v>303</v>
      </c>
      <c r="X3" s="377" t="s">
        <v>29</v>
      </c>
      <c r="Y3" s="377" t="s">
        <v>30</v>
      </c>
    </row>
    <row r="4" spans="1:25" ht="128" hidden="1" x14ac:dyDescent="0.4">
      <c r="A4" s="350">
        <v>1</v>
      </c>
      <c r="B4" s="396" t="s">
        <v>304</v>
      </c>
      <c r="C4" s="360" t="s">
        <v>46</v>
      </c>
      <c r="D4" s="350" t="s">
        <v>305</v>
      </c>
      <c r="E4" s="350" t="s">
        <v>306</v>
      </c>
      <c r="F4" s="350" t="s">
        <v>49</v>
      </c>
      <c r="G4" s="350" t="s">
        <v>307</v>
      </c>
      <c r="H4" s="350" t="s">
        <v>308</v>
      </c>
      <c r="I4" s="350">
        <v>149</v>
      </c>
      <c r="J4" s="360"/>
      <c r="K4" s="350" t="s">
        <v>309</v>
      </c>
      <c r="L4" s="360"/>
      <c r="M4" s="380" t="s">
        <v>310</v>
      </c>
      <c r="N4" s="350" t="s">
        <v>311</v>
      </c>
      <c r="O4" s="360" t="s">
        <v>55</v>
      </c>
      <c r="P4" s="360" t="s">
        <v>55</v>
      </c>
      <c r="Q4" s="361" t="s">
        <v>150</v>
      </c>
      <c r="R4" s="360" t="s">
        <v>312</v>
      </c>
      <c r="S4" s="360" t="s">
        <v>313</v>
      </c>
      <c r="T4" s="360" t="s">
        <v>56</v>
      </c>
      <c r="U4" s="360"/>
      <c r="V4" s="362"/>
      <c r="W4" s="363"/>
      <c r="X4" s="360" t="s">
        <v>314</v>
      </c>
      <c r="Y4" s="363"/>
    </row>
    <row r="5" spans="1:25" ht="192" hidden="1" x14ac:dyDescent="0.4">
      <c r="A5" s="351">
        <v>2</v>
      </c>
      <c r="B5" s="397" t="s">
        <v>304</v>
      </c>
      <c r="C5" s="364" t="s">
        <v>46</v>
      </c>
      <c r="D5" s="351" t="s">
        <v>305</v>
      </c>
      <c r="E5" s="351" t="s">
        <v>315</v>
      </c>
      <c r="F5" s="351" t="s">
        <v>49</v>
      </c>
      <c r="G5" s="351" t="s">
        <v>307</v>
      </c>
      <c r="H5" s="351" t="s">
        <v>308</v>
      </c>
      <c r="I5" s="351">
        <v>80</v>
      </c>
      <c r="J5" s="364"/>
      <c r="K5" s="351" t="s">
        <v>309</v>
      </c>
      <c r="L5" s="364"/>
      <c r="M5" s="378" t="s">
        <v>316</v>
      </c>
      <c r="N5" s="364"/>
      <c r="O5" s="364" t="s">
        <v>55</v>
      </c>
      <c r="P5" s="364" t="s">
        <v>55</v>
      </c>
      <c r="Q5" s="365" t="s">
        <v>150</v>
      </c>
      <c r="R5" s="364" t="s">
        <v>312</v>
      </c>
      <c r="S5" s="364" t="s">
        <v>313</v>
      </c>
      <c r="T5" s="364" t="s">
        <v>56</v>
      </c>
      <c r="U5" s="364"/>
      <c r="V5" s="366"/>
      <c r="W5" s="367"/>
      <c r="X5" s="368" t="s">
        <v>314</v>
      </c>
      <c r="Y5" s="367"/>
    </row>
    <row r="6" spans="1:25" ht="256" hidden="1" x14ac:dyDescent="0.4">
      <c r="A6" s="351">
        <v>3</v>
      </c>
      <c r="B6" s="397" t="s">
        <v>304</v>
      </c>
      <c r="C6" s="364" t="s">
        <v>46</v>
      </c>
      <c r="D6" s="353" t="s">
        <v>305</v>
      </c>
      <c r="E6" s="354" t="s">
        <v>317</v>
      </c>
      <c r="F6" s="351" t="s">
        <v>49</v>
      </c>
      <c r="G6" s="353" t="s">
        <v>307</v>
      </c>
      <c r="H6" s="353" t="s">
        <v>308</v>
      </c>
      <c r="I6" s="353">
        <v>149</v>
      </c>
      <c r="J6" s="364"/>
      <c r="K6" s="351" t="s">
        <v>309</v>
      </c>
      <c r="L6" s="364"/>
      <c r="M6" s="381" t="s">
        <v>318</v>
      </c>
      <c r="N6" s="351" t="s">
        <v>319</v>
      </c>
      <c r="O6" s="364" t="s">
        <v>55</v>
      </c>
      <c r="P6" s="364" t="s">
        <v>55</v>
      </c>
      <c r="Q6" s="365" t="s">
        <v>150</v>
      </c>
      <c r="R6" s="364" t="s">
        <v>312</v>
      </c>
      <c r="S6" s="364" t="s">
        <v>313</v>
      </c>
      <c r="T6" s="364" t="s">
        <v>56</v>
      </c>
      <c r="U6" s="364"/>
      <c r="V6" s="366"/>
      <c r="W6" s="369"/>
      <c r="X6" s="364" t="s">
        <v>314</v>
      </c>
      <c r="Y6" s="366"/>
    </row>
    <row r="7" spans="1:25" ht="35.15" hidden="1" customHeight="1" x14ac:dyDescent="0.4">
      <c r="A7" s="351">
        <v>4</v>
      </c>
      <c r="B7" s="397" t="s">
        <v>304</v>
      </c>
      <c r="C7" s="370" t="s">
        <v>46</v>
      </c>
      <c r="D7" s="351" t="s">
        <v>320</v>
      </c>
      <c r="E7" s="352" t="s">
        <v>321</v>
      </c>
      <c r="F7" s="355" t="s">
        <v>49</v>
      </c>
      <c r="G7" s="351" t="s">
        <v>322</v>
      </c>
      <c r="H7" s="356" t="s">
        <v>308</v>
      </c>
      <c r="I7" s="351">
        <v>83</v>
      </c>
      <c r="J7" s="362"/>
      <c r="K7" s="351" t="s">
        <v>309</v>
      </c>
      <c r="L7" s="371"/>
      <c r="M7" s="381" t="s">
        <v>323</v>
      </c>
      <c r="N7" s="379" t="s">
        <v>324</v>
      </c>
      <c r="O7" s="364" t="s">
        <v>55</v>
      </c>
      <c r="P7" s="364" t="s">
        <v>55</v>
      </c>
      <c r="Q7" s="364" t="s">
        <v>55</v>
      </c>
      <c r="R7" s="363"/>
      <c r="S7" s="364" t="s">
        <v>313</v>
      </c>
      <c r="T7" s="403" t="s">
        <v>56</v>
      </c>
      <c r="U7" s="363"/>
      <c r="V7" s="367"/>
      <c r="W7" s="369"/>
      <c r="X7" s="351" t="s">
        <v>325</v>
      </c>
      <c r="Y7" s="366"/>
    </row>
    <row r="8" spans="1:25" ht="64" hidden="1" x14ac:dyDescent="0.4">
      <c r="A8" s="351">
        <v>5</v>
      </c>
      <c r="B8" s="398" t="s">
        <v>304</v>
      </c>
      <c r="C8" s="372" t="s">
        <v>46</v>
      </c>
      <c r="D8" s="353" t="s">
        <v>320</v>
      </c>
      <c r="E8" s="354" t="s">
        <v>326</v>
      </c>
      <c r="F8" s="355" t="s">
        <v>49</v>
      </c>
      <c r="G8" s="351" t="s">
        <v>322</v>
      </c>
      <c r="H8" s="351" t="s">
        <v>308</v>
      </c>
      <c r="I8" s="351">
        <v>83</v>
      </c>
      <c r="J8" s="373"/>
      <c r="K8" s="351" t="s">
        <v>309</v>
      </c>
      <c r="L8" s="370"/>
      <c r="M8" s="381" t="s">
        <v>327</v>
      </c>
      <c r="N8" s="379" t="s">
        <v>324</v>
      </c>
      <c r="O8" s="364" t="s">
        <v>55</v>
      </c>
      <c r="P8" s="364" t="s">
        <v>55</v>
      </c>
      <c r="Q8" s="364" t="s">
        <v>55</v>
      </c>
      <c r="R8" s="367"/>
      <c r="S8" s="364" t="s">
        <v>313</v>
      </c>
      <c r="T8" s="404" t="s">
        <v>56</v>
      </c>
      <c r="U8" s="367"/>
      <c r="V8" s="367"/>
      <c r="W8" s="369"/>
      <c r="X8" s="351" t="s">
        <v>325</v>
      </c>
      <c r="Y8" s="366"/>
    </row>
    <row r="9" spans="1:25" ht="64" hidden="1" x14ac:dyDescent="0.4">
      <c r="A9" s="369">
        <v>6</v>
      </c>
      <c r="B9" s="398" t="s">
        <v>304</v>
      </c>
      <c r="C9" s="368" t="s">
        <v>46</v>
      </c>
      <c r="D9" s="353" t="s">
        <v>328</v>
      </c>
      <c r="E9" s="353" t="s">
        <v>329</v>
      </c>
      <c r="F9" s="357" t="s">
        <v>49</v>
      </c>
      <c r="G9" s="353" t="s">
        <v>322</v>
      </c>
      <c r="H9" s="353" t="s">
        <v>308</v>
      </c>
      <c r="I9" s="374">
        <v>27</v>
      </c>
      <c r="J9" s="375"/>
      <c r="K9" s="353" t="s">
        <v>309</v>
      </c>
      <c r="L9" s="376"/>
      <c r="M9" s="382" t="s">
        <v>327</v>
      </c>
      <c r="N9" s="379" t="s">
        <v>324</v>
      </c>
      <c r="O9" s="365" t="s">
        <v>330</v>
      </c>
      <c r="P9" s="364" t="s">
        <v>55</v>
      </c>
      <c r="Q9" s="364" t="s">
        <v>331</v>
      </c>
      <c r="R9" s="364" t="s">
        <v>332</v>
      </c>
      <c r="S9" s="364" t="s">
        <v>313</v>
      </c>
      <c r="T9" s="404" t="s">
        <v>56</v>
      </c>
      <c r="U9" s="367"/>
      <c r="V9" s="367"/>
      <c r="W9" s="367"/>
      <c r="X9" s="351" t="s">
        <v>325</v>
      </c>
      <c r="Y9" s="367"/>
    </row>
    <row r="10" spans="1:25" ht="32" hidden="1" x14ac:dyDescent="0.4">
      <c r="A10" s="369">
        <v>7</v>
      </c>
      <c r="B10" s="397" t="s">
        <v>304</v>
      </c>
      <c r="C10" s="364" t="s">
        <v>46</v>
      </c>
      <c r="D10" s="351" t="s">
        <v>328</v>
      </c>
      <c r="E10" s="351" t="s">
        <v>333</v>
      </c>
      <c r="F10" s="351" t="s">
        <v>49</v>
      </c>
      <c r="G10" s="351" t="s">
        <v>322</v>
      </c>
      <c r="H10" s="351" t="s">
        <v>308</v>
      </c>
      <c r="I10" s="364">
        <v>23</v>
      </c>
      <c r="J10" s="364"/>
      <c r="K10" s="351" t="s">
        <v>309</v>
      </c>
      <c r="L10" s="370"/>
      <c r="M10" s="383" t="s">
        <v>323</v>
      </c>
      <c r="N10" s="379" t="s">
        <v>324</v>
      </c>
      <c r="O10" s="365" t="s">
        <v>330</v>
      </c>
      <c r="P10" s="364" t="s">
        <v>55</v>
      </c>
      <c r="Q10" s="364" t="s">
        <v>331</v>
      </c>
      <c r="R10" s="364" t="s">
        <v>332</v>
      </c>
      <c r="S10" s="364" t="s">
        <v>313</v>
      </c>
      <c r="T10" s="404" t="s">
        <v>56</v>
      </c>
      <c r="U10" s="367"/>
      <c r="V10" s="367"/>
      <c r="W10" s="367"/>
      <c r="X10" s="351" t="s">
        <v>325</v>
      </c>
      <c r="Y10" s="367"/>
    </row>
    <row r="11" spans="1:25" ht="64" hidden="1" x14ac:dyDescent="0.4">
      <c r="A11" s="369">
        <v>8</v>
      </c>
      <c r="B11" s="398" t="s">
        <v>304</v>
      </c>
      <c r="C11" s="368" t="s">
        <v>46</v>
      </c>
      <c r="D11" s="353" t="s">
        <v>334</v>
      </c>
      <c r="E11" s="353" t="s">
        <v>335</v>
      </c>
      <c r="F11" s="351" t="s">
        <v>49</v>
      </c>
      <c r="G11" s="351" t="s">
        <v>322</v>
      </c>
      <c r="H11" s="351" t="s">
        <v>308</v>
      </c>
      <c r="I11" s="364">
        <v>227</v>
      </c>
      <c r="J11" s="364"/>
      <c r="K11" s="351" t="s">
        <v>309</v>
      </c>
      <c r="L11" s="370"/>
      <c r="M11" s="383" t="s">
        <v>327</v>
      </c>
      <c r="N11" s="379" t="s">
        <v>324</v>
      </c>
      <c r="O11" s="365" t="s">
        <v>330</v>
      </c>
      <c r="P11" s="364" t="s">
        <v>55</v>
      </c>
      <c r="Q11" s="364" t="s">
        <v>331</v>
      </c>
      <c r="R11" s="364" t="s">
        <v>332</v>
      </c>
      <c r="S11" s="364" t="s">
        <v>313</v>
      </c>
      <c r="T11" s="404" t="s">
        <v>56</v>
      </c>
      <c r="U11" s="367"/>
      <c r="V11" s="367"/>
      <c r="W11" s="367"/>
      <c r="X11" s="351" t="s">
        <v>325</v>
      </c>
      <c r="Y11" s="367"/>
    </row>
    <row r="12" spans="1:25" ht="32" hidden="1" x14ac:dyDescent="0.4">
      <c r="A12" s="369">
        <v>9</v>
      </c>
      <c r="B12" s="397" t="s">
        <v>304</v>
      </c>
      <c r="C12" s="364" t="s">
        <v>46</v>
      </c>
      <c r="D12" s="351" t="s">
        <v>334</v>
      </c>
      <c r="E12" s="351" t="s">
        <v>336</v>
      </c>
      <c r="F12" s="358" t="s">
        <v>49</v>
      </c>
      <c r="G12" s="351" t="s">
        <v>322</v>
      </c>
      <c r="H12" s="351" t="s">
        <v>308</v>
      </c>
      <c r="I12" s="364">
        <v>27</v>
      </c>
      <c r="J12" s="364"/>
      <c r="K12" s="351" t="s">
        <v>309</v>
      </c>
      <c r="L12" s="364"/>
      <c r="M12" s="384" t="s">
        <v>323</v>
      </c>
      <c r="N12" s="379" t="s">
        <v>324</v>
      </c>
      <c r="O12" s="365" t="s">
        <v>330</v>
      </c>
      <c r="P12" s="364" t="s">
        <v>55</v>
      </c>
      <c r="Q12" s="364" t="s">
        <v>331</v>
      </c>
      <c r="R12" s="364" t="s">
        <v>332</v>
      </c>
      <c r="S12" s="364" t="s">
        <v>313</v>
      </c>
      <c r="T12" s="404" t="s">
        <v>56</v>
      </c>
      <c r="U12" s="367"/>
      <c r="V12" s="367"/>
      <c r="W12" s="367"/>
      <c r="X12" s="351" t="s">
        <v>325</v>
      </c>
      <c r="Y12" s="367"/>
    </row>
    <row r="13" spans="1:25" ht="112" hidden="1" x14ac:dyDescent="0.4">
      <c r="A13" s="369">
        <v>10</v>
      </c>
      <c r="B13" s="397" t="s">
        <v>304</v>
      </c>
      <c r="C13" s="364" t="s">
        <v>46</v>
      </c>
      <c r="D13" s="351" t="s">
        <v>337</v>
      </c>
      <c r="E13" s="351" t="s">
        <v>338</v>
      </c>
      <c r="F13" s="358" t="s">
        <v>49</v>
      </c>
      <c r="G13" s="351" t="s">
        <v>322</v>
      </c>
      <c r="H13" s="351" t="s">
        <v>308</v>
      </c>
      <c r="I13" s="360">
        <v>25</v>
      </c>
      <c r="J13" s="360"/>
      <c r="K13" s="351" t="s">
        <v>309</v>
      </c>
      <c r="L13" s="371"/>
      <c r="M13" s="385" t="s">
        <v>339</v>
      </c>
      <c r="N13" s="379" t="s">
        <v>324</v>
      </c>
      <c r="O13" s="365" t="s">
        <v>330</v>
      </c>
      <c r="P13" s="364" t="s">
        <v>55</v>
      </c>
      <c r="Q13" s="364" t="s">
        <v>331</v>
      </c>
      <c r="R13" s="364" t="s">
        <v>332</v>
      </c>
      <c r="S13" s="364" t="s">
        <v>313</v>
      </c>
      <c r="T13" s="404" t="s">
        <v>56</v>
      </c>
      <c r="U13" s="367"/>
      <c r="V13" s="367"/>
      <c r="W13" s="367"/>
      <c r="X13" s="351" t="s">
        <v>325</v>
      </c>
      <c r="Y13" s="367"/>
    </row>
    <row r="14" spans="1:25" ht="92.5" hidden="1" customHeight="1" x14ac:dyDescent="0.4">
      <c r="A14" s="376">
        <v>11</v>
      </c>
      <c r="B14" s="398" t="s">
        <v>304</v>
      </c>
      <c r="C14" s="368" t="s">
        <v>46</v>
      </c>
      <c r="D14" s="353" t="s">
        <v>337</v>
      </c>
      <c r="E14" s="353" t="s">
        <v>340</v>
      </c>
      <c r="F14" s="359" t="s">
        <v>49</v>
      </c>
      <c r="G14" s="353" t="s">
        <v>322</v>
      </c>
      <c r="H14" s="353" t="s">
        <v>308</v>
      </c>
      <c r="I14" s="368">
        <v>29</v>
      </c>
      <c r="J14" s="368"/>
      <c r="K14" s="353" t="s">
        <v>309</v>
      </c>
      <c r="L14" s="376"/>
      <c r="M14" s="381" t="s">
        <v>341</v>
      </c>
      <c r="N14" s="379" t="s">
        <v>324</v>
      </c>
      <c r="O14" s="365" t="s">
        <v>330</v>
      </c>
      <c r="P14" s="364" t="s">
        <v>55</v>
      </c>
      <c r="Q14" s="364" t="s">
        <v>331</v>
      </c>
      <c r="R14" s="364" t="s">
        <v>332</v>
      </c>
      <c r="S14" s="364" t="s">
        <v>313</v>
      </c>
      <c r="T14" s="404" t="s">
        <v>56</v>
      </c>
      <c r="U14" s="367"/>
      <c r="V14" s="367"/>
      <c r="W14" s="367"/>
      <c r="X14" s="351" t="s">
        <v>325</v>
      </c>
      <c r="Y14" s="367"/>
    </row>
    <row r="15" spans="1:25" ht="409.5" hidden="1" customHeight="1" x14ac:dyDescent="0.4">
      <c r="A15" s="364">
        <v>12</v>
      </c>
      <c r="B15" s="398" t="s">
        <v>304</v>
      </c>
      <c r="C15" s="368" t="s">
        <v>67</v>
      </c>
      <c r="D15" s="354" t="s">
        <v>342</v>
      </c>
      <c r="E15" s="353" t="s">
        <v>343</v>
      </c>
      <c r="F15" s="353" t="s">
        <v>49</v>
      </c>
      <c r="G15" s="353" t="s">
        <v>344</v>
      </c>
      <c r="H15" s="353" t="s">
        <v>345</v>
      </c>
      <c r="I15" s="368" t="s">
        <v>154</v>
      </c>
      <c r="J15" s="368"/>
      <c r="K15" s="353" t="s">
        <v>53</v>
      </c>
      <c r="L15" s="353">
        <v>2</v>
      </c>
      <c r="M15" s="381" t="s">
        <v>346</v>
      </c>
      <c r="N15" s="391" t="s">
        <v>347</v>
      </c>
      <c r="O15" s="392" t="s">
        <v>330</v>
      </c>
      <c r="P15" s="392" t="s">
        <v>330</v>
      </c>
      <c r="Q15" s="392" t="s">
        <v>330</v>
      </c>
      <c r="R15" s="393" t="s">
        <v>348</v>
      </c>
      <c r="S15" s="368" t="s">
        <v>313</v>
      </c>
      <c r="T15" s="368" t="s">
        <v>349</v>
      </c>
      <c r="U15" s="407" t="s">
        <v>350</v>
      </c>
      <c r="V15" s="375"/>
      <c r="W15" s="375"/>
      <c r="X15" s="368" t="s">
        <v>352</v>
      </c>
      <c r="Y15" s="375"/>
    </row>
    <row r="16" spans="1:25" ht="245.5" customHeight="1" x14ac:dyDescent="0.35">
      <c r="A16" s="372">
        <v>13</v>
      </c>
      <c r="B16" s="398" t="s">
        <v>353</v>
      </c>
      <c r="C16" s="368" t="s">
        <v>46</v>
      </c>
      <c r="D16" s="354" t="s">
        <v>354</v>
      </c>
      <c r="E16" s="354" t="s">
        <v>246</v>
      </c>
      <c r="F16" s="353" t="s">
        <v>49</v>
      </c>
      <c r="G16" s="353" t="s">
        <v>344</v>
      </c>
      <c r="H16" s="230" t="s">
        <v>71</v>
      </c>
      <c r="I16" s="268" t="s">
        <v>154</v>
      </c>
      <c r="J16" s="268"/>
      <c r="K16" s="230" t="s">
        <v>74</v>
      </c>
      <c r="L16" s="268"/>
      <c r="M16" s="269" t="s">
        <v>355</v>
      </c>
      <c r="N16" s="268"/>
      <c r="O16" s="392" t="s">
        <v>330</v>
      </c>
      <c r="P16" s="392" t="s">
        <v>331</v>
      </c>
      <c r="Q16" s="392" t="s">
        <v>331</v>
      </c>
      <c r="R16" s="171" t="s">
        <v>356</v>
      </c>
      <c r="S16" s="368" t="s">
        <v>357</v>
      </c>
      <c r="T16" s="368" t="s">
        <v>56</v>
      </c>
      <c r="U16" s="171" t="s">
        <v>358</v>
      </c>
      <c r="V16" s="268"/>
      <c r="W16" s="268"/>
      <c r="X16" s="368" t="s">
        <v>352</v>
      </c>
      <c r="Y16" s="268"/>
    </row>
    <row r="17" spans="1:25" x14ac:dyDescent="0.35">
      <c r="A17" s="394"/>
      <c r="B17" s="245"/>
      <c r="C17" s="394"/>
      <c r="D17" s="394"/>
      <c r="E17" s="394"/>
      <c r="F17" s="394"/>
      <c r="G17" s="394"/>
      <c r="H17" s="394"/>
      <c r="I17" s="394"/>
      <c r="J17" s="394"/>
      <c r="K17" s="394"/>
      <c r="L17" s="394"/>
      <c r="M17" s="395"/>
      <c r="N17" s="394"/>
      <c r="O17" s="394"/>
      <c r="P17" s="394"/>
      <c r="Q17" s="394"/>
      <c r="R17" s="394"/>
      <c r="S17" s="394"/>
      <c r="T17" s="405"/>
      <c r="U17" s="394"/>
      <c r="V17" s="394"/>
      <c r="W17" s="394"/>
      <c r="X17" s="394"/>
      <c r="Y17" s="394"/>
    </row>
    <row r="18" spans="1:25" x14ac:dyDescent="0.35">
      <c r="A18" s="394"/>
      <c r="B18" s="245"/>
      <c r="C18" s="394"/>
      <c r="D18" s="394"/>
      <c r="E18" s="394"/>
      <c r="F18" s="394"/>
      <c r="G18" s="394"/>
      <c r="H18" s="394"/>
      <c r="I18" s="394"/>
      <c r="J18" s="394"/>
      <c r="K18" s="394"/>
      <c r="L18" s="394"/>
      <c r="M18" s="395"/>
      <c r="N18" s="394"/>
      <c r="O18" s="394"/>
      <c r="P18" s="394"/>
      <c r="Q18" s="394"/>
      <c r="R18" s="394"/>
      <c r="S18" s="394"/>
      <c r="T18" s="405"/>
      <c r="U18" s="394"/>
      <c r="V18" s="394"/>
      <c r="W18" s="394"/>
      <c r="X18" s="394"/>
      <c r="Y18" s="394"/>
    </row>
    <row r="19" spans="1:25" x14ac:dyDescent="0.35">
      <c r="A19" s="394"/>
      <c r="B19" s="245"/>
      <c r="C19" s="394"/>
      <c r="D19" s="394"/>
      <c r="E19" s="394"/>
      <c r="F19" s="394"/>
      <c r="G19" s="394"/>
      <c r="H19" s="394"/>
      <c r="I19" s="394"/>
      <c r="J19" s="394"/>
      <c r="K19" s="394"/>
      <c r="L19" s="394"/>
      <c r="M19" s="395"/>
      <c r="N19" s="394"/>
      <c r="O19" s="394"/>
      <c r="P19" s="394"/>
      <c r="Q19" s="394"/>
      <c r="R19" s="394"/>
      <c r="S19" s="394"/>
      <c r="T19" s="405"/>
      <c r="U19" s="394"/>
      <c r="V19" s="394"/>
      <c r="W19" s="394"/>
      <c r="X19" s="394"/>
      <c r="Y19" s="394"/>
    </row>
    <row r="20" spans="1:25" x14ac:dyDescent="0.35">
      <c r="A20" s="394"/>
      <c r="B20" s="245"/>
      <c r="C20" s="394"/>
      <c r="D20" s="394"/>
      <c r="E20" s="394"/>
      <c r="F20" s="394"/>
      <c r="G20" s="394"/>
      <c r="H20" s="394"/>
      <c r="I20" s="394"/>
      <c r="J20" s="394"/>
      <c r="K20" s="394"/>
      <c r="L20" s="394"/>
      <c r="M20" s="395"/>
      <c r="N20" s="394"/>
      <c r="O20" s="394"/>
      <c r="P20" s="394"/>
      <c r="Q20" s="394"/>
      <c r="R20" s="394"/>
      <c r="S20" s="394"/>
      <c r="T20" s="405"/>
      <c r="U20" s="394"/>
      <c r="V20" s="394"/>
      <c r="W20" s="394"/>
      <c r="X20" s="394"/>
      <c r="Y20" s="394"/>
    </row>
    <row r="21" spans="1:25" x14ac:dyDescent="0.35">
      <c r="A21" s="394"/>
      <c r="B21" s="245"/>
      <c r="C21" s="394"/>
      <c r="D21" s="394"/>
      <c r="E21" s="394"/>
      <c r="F21" s="394"/>
      <c r="G21" s="394"/>
      <c r="H21" s="394"/>
      <c r="I21" s="394"/>
      <c r="J21" s="394"/>
      <c r="K21" s="394"/>
      <c r="L21" s="394"/>
      <c r="M21" s="395"/>
      <c r="N21" s="394"/>
      <c r="O21" s="394"/>
      <c r="P21" s="394"/>
      <c r="Q21" s="394"/>
      <c r="R21" s="394"/>
      <c r="S21" s="394"/>
      <c r="T21" s="405"/>
      <c r="U21" s="394"/>
      <c r="V21" s="394"/>
      <c r="W21" s="394"/>
      <c r="X21" s="394"/>
      <c r="Y21" s="394"/>
    </row>
    <row r="22" spans="1:25" x14ac:dyDescent="0.35">
      <c r="A22" s="394"/>
      <c r="B22" s="245"/>
      <c r="C22" s="394"/>
      <c r="D22" s="394"/>
      <c r="E22" s="394"/>
      <c r="F22" s="394"/>
      <c r="G22" s="394"/>
      <c r="H22" s="394"/>
      <c r="I22" s="394"/>
      <c r="J22" s="394"/>
      <c r="K22" s="394"/>
      <c r="L22" s="394"/>
      <c r="M22" s="395"/>
      <c r="N22" s="394"/>
      <c r="O22" s="394"/>
      <c r="P22" s="394"/>
      <c r="Q22" s="394"/>
      <c r="R22" s="394"/>
      <c r="S22" s="394"/>
      <c r="T22" s="405"/>
      <c r="U22" s="394"/>
      <c r="V22" s="394"/>
      <c r="W22" s="394"/>
      <c r="X22" s="394"/>
      <c r="Y22" s="394"/>
    </row>
    <row r="23" spans="1:25" x14ac:dyDescent="0.35">
      <c r="A23" s="394"/>
      <c r="B23" s="245"/>
      <c r="C23" s="394"/>
      <c r="D23" s="394"/>
      <c r="E23" s="394"/>
      <c r="F23" s="394"/>
      <c r="G23" s="394"/>
      <c r="H23" s="394"/>
      <c r="I23" s="394"/>
      <c r="J23" s="394"/>
      <c r="K23" s="394"/>
      <c r="L23" s="394"/>
      <c r="M23" s="395"/>
      <c r="N23" s="394"/>
      <c r="O23" s="394"/>
      <c r="P23" s="394"/>
      <c r="Q23" s="394"/>
      <c r="R23" s="394"/>
      <c r="S23" s="394"/>
      <c r="T23" s="405"/>
      <c r="U23" s="394"/>
      <c r="V23" s="394"/>
      <c r="W23" s="394"/>
      <c r="X23" s="394"/>
      <c r="Y23" s="394"/>
    </row>
    <row r="24" spans="1:25" x14ac:dyDescent="0.35">
      <c r="A24" s="394"/>
      <c r="B24" s="245"/>
      <c r="C24" s="394"/>
      <c r="D24" s="394"/>
      <c r="E24" s="394"/>
      <c r="F24" s="394"/>
      <c r="G24" s="394"/>
      <c r="H24" s="394"/>
      <c r="I24" s="394"/>
      <c r="J24" s="394"/>
      <c r="K24" s="394"/>
      <c r="L24" s="394"/>
      <c r="M24" s="395"/>
      <c r="N24" s="394"/>
      <c r="O24" s="394"/>
      <c r="P24" s="394"/>
      <c r="Q24" s="394"/>
      <c r="R24" s="394"/>
      <c r="S24" s="394"/>
      <c r="T24" s="405"/>
      <c r="U24" s="394"/>
      <c r="V24" s="394"/>
      <c r="W24" s="394"/>
      <c r="X24" s="394"/>
      <c r="Y24" s="394"/>
    </row>
    <row r="25" spans="1:25" x14ac:dyDescent="0.35">
      <c r="A25" s="394"/>
      <c r="B25" s="245"/>
      <c r="C25" s="394"/>
      <c r="D25" s="394"/>
      <c r="E25" s="394"/>
      <c r="F25" s="394"/>
      <c r="G25" s="394"/>
      <c r="H25" s="394"/>
      <c r="I25" s="394"/>
      <c r="J25" s="394"/>
      <c r="K25" s="394"/>
      <c r="L25" s="394"/>
      <c r="M25" s="395"/>
      <c r="N25" s="394"/>
      <c r="O25" s="394"/>
      <c r="P25" s="394"/>
      <c r="Q25" s="394"/>
      <c r="R25" s="394"/>
      <c r="S25" s="394"/>
      <c r="T25" s="405"/>
      <c r="U25" s="394"/>
      <c r="V25" s="394"/>
      <c r="W25" s="394"/>
      <c r="X25" s="394"/>
      <c r="Y25" s="394"/>
    </row>
  </sheetData>
  <mergeCells count="2">
    <mergeCell ref="A1:Y1"/>
    <mergeCell ref="A2:Y2"/>
  </mergeCells>
  <conditionalFormatting sqref="T4:T16">
    <cfRule type="cellIs" dxfId="77" priority="1" operator="equal">
      <formula>"Approved"</formula>
    </cfRule>
    <cfRule type="cellIs" dxfId="76" priority="2" operator="equal">
      <formula>"Revision Needed"</formula>
    </cfRule>
    <cfRule type="cellIs" dxfId="75" priority="3" operator="equal">
      <formula>"Rejected"</formula>
    </cfRule>
  </conditionalFormatting>
  <dataValidations count="1">
    <dataValidation type="list" allowBlank="1" showInputMessage="1" showErrorMessage="1" promptTitle="CEO Decision" prompt="Select Approved, Revision Needed, or Rejected" sqref="T4:T16" xr:uid="{8BE16FD2-98B8-4C91-9E9E-735930FAD493}">
      <formula1>"Approved,Revision Needed,Rejected"</formula1>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6525-546D-42F6-9E29-0A0CB06A8592}">
  <sheetPr>
    <tabColor theme="6"/>
  </sheetPr>
  <dimension ref="A1:W359"/>
  <sheetViews>
    <sheetView showGridLines="0" topLeftCell="A8" zoomScale="70" zoomScaleNormal="70" workbookViewId="0">
      <selection activeCell="F11" sqref="F11"/>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1.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3.1796875" style="2" hidden="1" customWidth="1"/>
    <col min="13" max="13" width="36" style="1" customWidth="1"/>
    <col min="14" max="14" width="46.1796875" style="143" customWidth="1"/>
    <col min="15" max="15" width="12.81640625" style="76" customWidth="1"/>
    <col min="16" max="16" width="10.81640625" style="76" customWidth="1"/>
    <col min="17" max="17" width="13.1796875" style="76" customWidth="1"/>
    <col min="18" max="18" width="45.26953125" style="76" customWidth="1"/>
    <col min="19" max="19" width="20.54296875" style="2" customWidth="1"/>
    <col min="20" max="20" width="76.54296875" style="17" customWidth="1"/>
    <col min="21" max="21" width="53.726562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676</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12" t="s">
        <v>2</v>
      </c>
      <c r="B3" s="512"/>
      <c r="C3" s="512"/>
      <c r="D3" s="512"/>
      <c r="E3" s="512"/>
      <c r="F3" s="512"/>
      <c r="G3" s="512"/>
      <c r="H3" s="512"/>
      <c r="I3" s="512"/>
      <c r="J3" s="512"/>
      <c r="K3" s="512"/>
      <c r="L3" s="512"/>
      <c r="M3" s="512"/>
      <c r="N3" s="512"/>
      <c r="O3" s="512"/>
      <c r="P3" s="512"/>
      <c r="Q3" s="512"/>
      <c r="R3" s="512"/>
      <c r="S3" s="512"/>
      <c r="T3" s="512"/>
      <c r="U3" s="512"/>
      <c r="V3" s="512"/>
      <c r="W3" s="512"/>
    </row>
    <row r="4" spans="1:23" s="4" customFormat="1" ht="27.75" customHeight="1" thickTop="1" thickBot="1" x14ac:dyDescent="0.45">
      <c r="A4" s="513" t="s">
        <v>3</v>
      </c>
      <c r="B4" s="514"/>
      <c r="C4" s="514"/>
      <c r="D4" s="514"/>
      <c r="E4" s="514"/>
      <c r="F4" s="513" t="s">
        <v>4</v>
      </c>
      <c r="G4" s="514"/>
      <c r="H4" s="514"/>
      <c r="I4" s="514"/>
      <c r="J4" s="514"/>
      <c r="K4" s="514"/>
      <c r="L4" s="515"/>
      <c r="M4" s="516" t="s">
        <v>5</v>
      </c>
      <c r="N4" s="516"/>
      <c r="O4" s="513" t="s">
        <v>6</v>
      </c>
      <c r="P4" s="514"/>
      <c r="Q4" s="514"/>
      <c r="R4" s="515"/>
      <c r="S4" s="513" t="s">
        <v>7</v>
      </c>
      <c r="T4" s="514"/>
      <c r="U4" s="515"/>
      <c r="V4" s="513" t="s">
        <v>8</v>
      </c>
      <c r="W4" s="515"/>
    </row>
    <row r="5" spans="1:23" ht="71.5" customHeight="1" thickTop="1" thickBot="1" x14ac:dyDescent="0.4">
      <c r="A5" s="10" t="s">
        <v>9</v>
      </c>
      <c r="B5" s="10" t="s">
        <v>10</v>
      </c>
      <c r="C5" s="10" t="s">
        <v>11</v>
      </c>
      <c r="D5" s="10" t="s">
        <v>12</v>
      </c>
      <c r="E5" s="10" t="s">
        <v>13</v>
      </c>
      <c r="F5" s="10" t="s">
        <v>14</v>
      </c>
      <c r="G5" s="10" t="s">
        <v>228</v>
      </c>
      <c r="H5" s="10" t="s">
        <v>15</v>
      </c>
      <c r="I5" s="10" t="s">
        <v>16</v>
      </c>
      <c r="J5" s="10" t="s">
        <v>17</v>
      </c>
      <c r="K5" s="10" t="s">
        <v>18</v>
      </c>
      <c r="L5" s="10" t="s">
        <v>19</v>
      </c>
      <c r="M5" s="10" t="s">
        <v>20</v>
      </c>
      <c r="N5" s="10" t="s">
        <v>21</v>
      </c>
      <c r="O5" s="10" t="s">
        <v>22</v>
      </c>
      <c r="P5" s="10" t="s">
        <v>23</v>
      </c>
      <c r="Q5" s="10" t="s">
        <v>24</v>
      </c>
      <c r="R5" s="10" t="s">
        <v>25</v>
      </c>
      <c r="S5" s="23" t="s">
        <v>26</v>
      </c>
      <c r="T5" s="18" t="s">
        <v>27</v>
      </c>
      <c r="U5" s="18" t="s">
        <v>28</v>
      </c>
      <c r="V5" s="18" t="s">
        <v>29</v>
      </c>
      <c r="W5" s="433" t="s">
        <v>30</v>
      </c>
    </row>
    <row r="6" spans="1:23" s="5" customFormat="1" ht="394.5" customHeight="1" thickTop="1" x14ac:dyDescent="0.35">
      <c r="A6" s="117">
        <v>1</v>
      </c>
      <c r="B6" s="244" t="s">
        <v>45</v>
      </c>
      <c r="C6" s="432" t="s">
        <v>67</v>
      </c>
      <c r="D6" s="117" t="s">
        <v>712</v>
      </c>
      <c r="E6" s="429" t="s">
        <v>713</v>
      </c>
      <c r="F6" s="117" t="s">
        <v>49</v>
      </c>
      <c r="G6" s="117"/>
      <c r="H6" s="117" t="s">
        <v>50</v>
      </c>
      <c r="I6" s="25" t="s">
        <v>714</v>
      </c>
      <c r="J6" s="25" t="s">
        <v>52</v>
      </c>
      <c r="K6" s="117" t="s">
        <v>74</v>
      </c>
      <c r="L6" s="426"/>
      <c r="M6" s="274" t="s">
        <v>715</v>
      </c>
      <c r="N6" s="162" t="s">
        <v>716</v>
      </c>
      <c r="O6" s="120" t="s">
        <v>55</v>
      </c>
      <c r="P6" s="120" t="s">
        <v>150</v>
      </c>
      <c r="Q6" s="162" t="s">
        <v>55</v>
      </c>
      <c r="R6" s="524" t="s">
        <v>717</v>
      </c>
      <c r="S6" s="130" t="s">
        <v>56</v>
      </c>
      <c r="T6" s="168"/>
      <c r="U6" s="179"/>
      <c r="V6" s="179" t="s">
        <v>76</v>
      </c>
      <c r="W6" s="176"/>
    </row>
    <row r="7" spans="1:23" s="5" customFormat="1" ht="252.65" customHeight="1" x14ac:dyDescent="0.35">
      <c r="A7" s="8">
        <v>2</v>
      </c>
      <c r="B7" s="244" t="s">
        <v>45</v>
      </c>
      <c r="C7" s="144" t="s">
        <v>67</v>
      </c>
      <c r="D7" s="426" t="s">
        <v>712</v>
      </c>
      <c r="E7" s="430" t="s">
        <v>718</v>
      </c>
      <c r="F7" s="117" t="s">
        <v>49</v>
      </c>
      <c r="G7" s="8"/>
      <c r="H7" s="117" t="s">
        <v>50</v>
      </c>
      <c r="I7" s="26" t="s">
        <v>414</v>
      </c>
      <c r="J7" s="25" t="s">
        <v>52</v>
      </c>
      <c r="K7" s="117" t="s">
        <v>74</v>
      </c>
      <c r="L7" s="132"/>
      <c r="M7" s="142" t="s">
        <v>715</v>
      </c>
      <c r="N7" s="136" t="s">
        <v>52</v>
      </c>
      <c r="O7" s="120" t="s">
        <v>55</v>
      </c>
      <c r="P7" s="120" t="s">
        <v>150</v>
      </c>
      <c r="Q7" s="162" t="s">
        <v>55</v>
      </c>
      <c r="R7" s="518"/>
      <c r="S7" s="102" t="s">
        <v>291</v>
      </c>
      <c r="T7" s="169"/>
      <c r="U7" s="174"/>
      <c r="V7" s="179" t="s">
        <v>76</v>
      </c>
      <c r="W7" s="126"/>
    </row>
    <row r="8" spans="1:23" s="5" customFormat="1" ht="340.5" customHeight="1" x14ac:dyDescent="0.35">
      <c r="A8" s="8">
        <v>3</v>
      </c>
      <c r="B8" s="244" t="s">
        <v>45</v>
      </c>
      <c r="C8" s="144" t="s">
        <v>67</v>
      </c>
      <c r="D8" s="8" t="s">
        <v>719</v>
      </c>
      <c r="E8" s="430" t="s">
        <v>720</v>
      </c>
      <c r="F8" s="8" t="s">
        <v>456</v>
      </c>
      <c r="G8" s="8"/>
      <c r="H8" s="117" t="s">
        <v>50</v>
      </c>
      <c r="I8" s="26" t="s">
        <v>721</v>
      </c>
      <c r="J8" s="26" t="s">
        <v>52</v>
      </c>
      <c r="K8" s="117" t="s">
        <v>74</v>
      </c>
      <c r="L8" s="8"/>
      <c r="M8" s="135" t="s">
        <v>722</v>
      </c>
      <c r="N8" s="427" t="s">
        <v>723</v>
      </c>
      <c r="O8" s="38" t="s">
        <v>150</v>
      </c>
      <c r="P8" s="120" t="s">
        <v>150</v>
      </c>
      <c r="Q8" s="162" t="s">
        <v>55</v>
      </c>
      <c r="R8" s="75" t="s">
        <v>724</v>
      </c>
      <c r="S8" s="102" t="s">
        <v>291</v>
      </c>
      <c r="T8" s="169"/>
      <c r="U8" s="174"/>
      <c r="V8" s="179" t="s">
        <v>76</v>
      </c>
      <c r="W8" s="171"/>
    </row>
    <row r="9" spans="1:23" s="5" customFormat="1" ht="180" customHeight="1" x14ac:dyDescent="0.35">
      <c r="A9" s="8">
        <v>4</v>
      </c>
      <c r="B9" s="244" t="s">
        <v>45</v>
      </c>
      <c r="C9" s="144" t="s">
        <v>67</v>
      </c>
      <c r="D9" s="8" t="s">
        <v>725</v>
      </c>
      <c r="E9" s="430" t="s">
        <v>726</v>
      </c>
      <c r="F9" s="130" t="s">
        <v>49</v>
      </c>
      <c r="G9" s="117"/>
      <c r="H9" s="117" t="s">
        <v>50</v>
      </c>
      <c r="I9" s="26" t="s">
        <v>154</v>
      </c>
      <c r="J9" s="26" t="s">
        <v>52</v>
      </c>
      <c r="K9" s="117" t="s">
        <v>74</v>
      </c>
      <c r="L9" s="8"/>
      <c r="M9" s="135" t="s">
        <v>727</v>
      </c>
      <c r="N9" s="153" t="s">
        <v>728</v>
      </c>
      <c r="O9" s="38" t="s">
        <v>150</v>
      </c>
      <c r="P9" s="38" t="s">
        <v>55</v>
      </c>
      <c r="Q9" s="162" t="s">
        <v>55</v>
      </c>
      <c r="R9" s="428" t="s">
        <v>729</v>
      </c>
      <c r="S9" s="102" t="s">
        <v>56</v>
      </c>
      <c r="T9" s="169"/>
      <c r="U9" s="174"/>
      <c r="V9" s="179" t="s">
        <v>76</v>
      </c>
      <c r="W9" s="171"/>
    </row>
    <row r="10" spans="1:23" s="5" customFormat="1" ht="141.65" customHeight="1" x14ac:dyDescent="0.35">
      <c r="A10" s="8">
        <v>5</v>
      </c>
      <c r="B10" s="244" t="s">
        <v>45</v>
      </c>
      <c r="C10" s="144" t="s">
        <v>46</v>
      </c>
      <c r="D10" s="8" t="s">
        <v>730</v>
      </c>
      <c r="E10" s="430" t="s">
        <v>731</v>
      </c>
      <c r="F10" s="130" t="s">
        <v>732</v>
      </c>
      <c r="G10" s="8"/>
      <c r="H10" s="8" t="s">
        <v>733</v>
      </c>
      <c r="I10" s="26" t="s">
        <v>734</v>
      </c>
      <c r="J10" s="26" t="s">
        <v>52</v>
      </c>
      <c r="K10" s="117" t="s">
        <v>74</v>
      </c>
      <c r="L10" s="8"/>
      <c r="M10" s="135" t="s">
        <v>54</v>
      </c>
      <c r="N10" s="153" t="s">
        <v>735</v>
      </c>
      <c r="O10" s="197" t="s">
        <v>55</v>
      </c>
      <c r="P10" s="38" t="s">
        <v>55</v>
      </c>
      <c r="Q10" s="162" t="s">
        <v>55</v>
      </c>
      <c r="R10" s="38" t="s">
        <v>52</v>
      </c>
      <c r="S10" s="102" t="s">
        <v>56</v>
      </c>
      <c r="T10" s="169"/>
      <c r="U10" s="174"/>
      <c r="V10" s="179" t="s">
        <v>76</v>
      </c>
      <c r="W10" s="171"/>
    </row>
    <row r="11" spans="1:23" s="5" customFormat="1" ht="223.5" customHeight="1" x14ac:dyDescent="0.4">
      <c r="A11" s="8">
        <v>6</v>
      </c>
      <c r="B11" s="244" t="s">
        <v>45</v>
      </c>
      <c r="C11" s="144" t="s">
        <v>46</v>
      </c>
      <c r="D11" s="8" t="s">
        <v>736</v>
      </c>
      <c r="E11" s="430" t="s">
        <v>737</v>
      </c>
      <c r="F11" s="130" t="s">
        <v>738</v>
      </c>
      <c r="G11" s="8"/>
      <c r="H11" s="8" t="s">
        <v>733</v>
      </c>
      <c r="I11" s="26" t="s">
        <v>551</v>
      </c>
      <c r="J11" s="26" t="s">
        <v>52</v>
      </c>
      <c r="K11" s="117" t="s">
        <v>74</v>
      </c>
      <c r="L11" s="8"/>
      <c r="M11" s="135" t="s">
        <v>256</v>
      </c>
      <c r="N11" s="103" t="s">
        <v>52</v>
      </c>
      <c r="O11" s="197" t="s">
        <v>150</v>
      </c>
      <c r="P11" s="38" t="s">
        <v>55</v>
      </c>
      <c r="Q11" s="162" t="s">
        <v>55</v>
      </c>
      <c r="R11" s="431" t="s">
        <v>739</v>
      </c>
      <c r="S11" s="102" t="s">
        <v>56</v>
      </c>
      <c r="T11" s="169"/>
      <c r="U11" s="174"/>
      <c r="V11" s="179" t="s">
        <v>76</v>
      </c>
      <c r="W11" s="173"/>
    </row>
    <row r="12" spans="1:23" s="5" customFormat="1" ht="143.15" customHeight="1" x14ac:dyDescent="0.35">
      <c r="A12" s="8"/>
      <c r="B12" s="12"/>
      <c r="C12" s="144"/>
      <c r="D12" s="101"/>
      <c r="E12" s="99"/>
      <c r="F12" s="130"/>
      <c r="G12" s="8"/>
      <c r="H12" s="8"/>
      <c r="I12" s="26"/>
      <c r="J12" s="25"/>
      <c r="K12" s="8"/>
      <c r="L12" s="8"/>
      <c r="M12" s="135"/>
      <c r="N12" s="142"/>
      <c r="O12" s="197"/>
      <c r="P12" s="38"/>
      <c r="Q12" s="136"/>
      <c r="R12" s="75"/>
      <c r="S12" s="102"/>
      <c r="T12" s="169"/>
      <c r="U12" s="265"/>
      <c r="V12" s="179"/>
      <c r="W12" s="34"/>
    </row>
    <row r="13" spans="1:23" s="5" customFormat="1" ht="140.15" customHeight="1" x14ac:dyDescent="0.35">
      <c r="A13" s="8"/>
      <c r="B13" s="12"/>
      <c r="C13" s="144"/>
      <c r="D13" s="101"/>
      <c r="E13" s="99"/>
      <c r="F13" s="130"/>
      <c r="G13" s="8"/>
      <c r="H13" s="8"/>
      <c r="I13" s="26"/>
      <c r="J13" s="25"/>
      <c r="K13" s="8"/>
      <c r="L13" s="8"/>
      <c r="M13" s="135"/>
      <c r="N13" s="38"/>
      <c r="O13" s="197"/>
      <c r="P13" s="38"/>
      <c r="Q13" s="136"/>
      <c r="R13" s="75"/>
      <c r="S13" s="102"/>
      <c r="T13" s="169"/>
      <c r="U13" s="265"/>
      <c r="V13" s="179"/>
      <c r="W13" s="34"/>
    </row>
    <row r="14" spans="1:23" s="5" customFormat="1" ht="115.5" customHeight="1" x14ac:dyDescent="0.35">
      <c r="A14" s="8"/>
      <c r="B14" s="12"/>
      <c r="C14" s="144"/>
      <c r="D14" s="139"/>
      <c r="E14" s="99"/>
      <c r="F14" s="130"/>
      <c r="G14" s="8"/>
      <c r="H14" s="8"/>
      <c r="I14" s="26"/>
      <c r="J14" s="26"/>
      <c r="K14" s="8"/>
      <c r="L14" s="8"/>
      <c r="M14" s="135"/>
      <c r="N14" s="142"/>
      <c r="O14" s="75"/>
      <c r="P14" s="75"/>
      <c r="Q14" s="75"/>
      <c r="R14" s="75"/>
      <c r="S14" s="102"/>
      <c r="T14" s="169"/>
      <c r="U14" s="174"/>
      <c r="V14" s="179"/>
      <c r="W14" s="34"/>
    </row>
    <row r="15" spans="1:23" s="5" customFormat="1" ht="138" customHeight="1" x14ac:dyDescent="0.35">
      <c r="A15" s="8"/>
      <c r="B15" s="12"/>
      <c r="C15" s="144"/>
      <c r="D15" s="139"/>
      <c r="E15" s="99"/>
      <c r="F15" s="130"/>
      <c r="G15" s="8"/>
      <c r="H15" s="8"/>
      <c r="I15" s="26"/>
      <c r="J15" s="26"/>
      <c r="K15" s="8"/>
      <c r="L15" s="8"/>
      <c r="M15" s="135"/>
      <c r="N15" s="142"/>
      <c r="O15" s="75"/>
      <c r="P15" s="75"/>
      <c r="Q15" s="75"/>
      <c r="R15" s="75"/>
      <c r="S15" s="102"/>
      <c r="T15" s="169"/>
      <c r="U15" s="174"/>
      <c r="V15" s="179"/>
      <c r="W15" s="34"/>
    </row>
    <row r="16" spans="1:23" s="5" customFormat="1" ht="143.5" customHeight="1" x14ac:dyDescent="0.35">
      <c r="A16" s="8"/>
      <c r="B16" s="12"/>
      <c r="C16" s="144"/>
      <c r="D16" s="139"/>
      <c r="E16" s="99"/>
      <c r="F16" s="130"/>
      <c r="G16" s="8"/>
      <c r="H16" s="8"/>
      <c r="I16" s="26"/>
      <c r="J16" s="26"/>
      <c r="K16" s="8"/>
      <c r="L16" s="8"/>
      <c r="M16" s="135"/>
      <c r="N16" s="38"/>
      <c r="O16" s="75"/>
      <c r="P16" s="75"/>
      <c r="Q16" s="75"/>
      <c r="R16" s="75"/>
      <c r="S16" s="102"/>
      <c r="T16" s="169"/>
      <c r="U16" s="174"/>
      <c r="V16" s="179"/>
      <c r="W16" s="34"/>
    </row>
    <row r="17" spans="1:23" s="5" customFormat="1" ht="115.5" customHeight="1" x14ac:dyDescent="0.35">
      <c r="A17" s="8"/>
      <c r="B17" s="12"/>
      <c r="C17" s="144"/>
      <c r="D17" s="8"/>
      <c r="E17" s="8"/>
      <c r="F17" s="8"/>
      <c r="G17" s="8"/>
      <c r="H17" s="8"/>
      <c r="I17" s="26"/>
      <c r="J17" s="26"/>
      <c r="K17" s="8"/>
      <c r="L17" s="8"/>
      <c r="M17" s="138"/>
      <c r="N17" s="75"/>
      <c r="O17" s="38"/>
      <c r="P17" s="38"/>
      <c r="Q17" s="38"/>
      <c r="R17" s="75"/>
      <c r="S17" s="102"/>
      <c r="T17" s="169"/>
      <c r="U17" s="174"/>
      <c r="V17" s="174"/>
      <c r="W17" s="34"/>
    </row>
    <row r="18" spans="1:23" s="3" customFormat="1" ht="79.5" customHeight="1" x14ac:dyDescent="0.35">
      <c r="A18" s="8"/>
      <c r="B18" s="12"/>
      <c r="C18" s="144"/>
      <c r="D18" s="8"/>
      <c r="E18" s="8"/>
      <c r="F18" s="8"/>
      <c r="G18" s="8"/>
      <c r="H18" s="8"/>
      <c r="I18" s="26"/>
      <c r="J18" s="26"/>
      <c r="K18" s="8"/>
      <c r="L18" s="8"/>
      <c r="M18" s="9"/>
      <c r="N18" s="119"/>
      <c r="O18" s="38"/>
      <c r="P18" s="38"/>
      <c r="Q18" s="136"/>
      <c r="R18" s="38"/>
      <c r="S18" s="102"/>
      <c r="T18" s="169"/>
      <c r="U18" s="174"/>
      <c r="V18" s="174"/>
      <c r="W18" s="34"/>
    </row>
    <row r="19" spans="1:23" s="3" customFormat="1" ht="223.5" customHeight="1" x14ac:dyDescent="0.35">
      <c r="A19" s="8"/>
      <c r="B19" s="13"/>
      <c r="C19" s="144"/>
      <c r="D19" s="8"/>
      <c r="E19" s="8"/>
      <c r="F19" s="8"/>
      <c r="G19" s="8"/>
      <c r="H19" s="8"/>
      <c r="I19" s="26"/>
      <c r="J19" s="26"/>
      <c r="K19" s="8"/>
      <c r="L19" s="8"/>
      <c r="M19" s="9"/>
      <c r="N19" s="9"/>
      <c r="O19" s="77"/>
      <c r="P19" s="77"/>
      <c r="Q19" s="141"/>
      <c r="R19" s="38"/>
      <c r="S19" s="102"/>
      <c r="T19" s="169"/>
      <c r="U19" s="174"/>
      <c r="V19" s="174"/>
      <c r="W19" s="34"/>
    </row>
    <row r="20" spans="1:23" s="3" customFormat="1" ht="79.5" customHeight="1" x14ac:dyDescent="0.35">
      <c r="A20" s="8"/>
      <c r="B20" s="12"/>
      <c r="C20" s="144"/>
      <c r="D20" s="8"/>
      <c r="E20" s="8"/>
      <c r="F20" s="8"/>
      <c r="G20" s="8"/>
      <c r="H20" s="8"/>
      <c r="I20" s="26"/>
      <c r="J20" s="27"/>
      <c r="K20" s="8"/>
      <c r="L20" s="8"/>
      <c r="M20" s="9"/>
      <c r="N20" s="9"/>
      <c r="O20" s="8"/>
      <c r="P20" s="8"/>
      <c r="Q20" s="132"/>
      <c r="R20" s="38"/>
      <c r="S20" s="102"/>
      <c r="T20" s="169"/>
      <c r="U20" s="174"/>
      <c r="V20" s="174"/>
      <c r="W20" s="34"/>
    </row>
    <row r="21" spans="1:23" s="3" customFormat="1" ht="79.5" customHeight="1" x14ac:dyDescent="0.35">
      <c r="A21" s="8"/>
      <c r="B21" s="12"/>
      <c r="C21" s="144"/>
      <c r="D21" s="8"/>
      <c r="E21" s="8"/>
      <c r="F21" s="8"/>
      <c r="G21" s="8"/>
      <c r="H21" s="8"/>
      <c r="I21" s="26"/>
      <c r="J21" s="26"/>
      <c r="K21" s="8"/>
      <c r="L21" s="8"/>
      <c r="M21" s="9"/>
      <c r="N21" s="9"/>
      <c r="O21" s="8"/>
      <c r="P21" s="8"/>
      <c r="Q21" s="132"/>
      <c r="R21" s="38"/>
      <c r="S21" s="102"/>
      <c r="T21" s="169"/>
      <c r="U21" s="174"/>
      <c r="V21" s="174"/>
      <c r="W21" s="34"/>
    </row>
    <row r="22" spans="1:23" s="3" customFormat="1" ht="79.5" customHeight="1" x14ac:dyDescent="0.35">
      <c r="A22" s="8"/>
      <c r="B22" s="12"/>
      <c r="C22" s="144"/>
      <c r="D22" s="8"/>
      <c r="E22" s="8"/>
      <c r="F22" s="8"/>
      <c r="G22" s="8"/>
      <c r="H22" s="8"/>
      <c r="I22" s="26"/>
      <c r="J22" s="26"/>
      <c r="K22" s="8"/>
      <c r="L22" s="8"/>
      <c r="M22" s="9"/>
      <c r="N22" s="9"/>
      <c r="O22" s="8"/>
      <c r="P22" s="8"/>
      <c r="Q22" s="132"/>
      <c r="R22" s="38"/>
      <c r="S22" s="102"/>
      <c r="T22" s="169"/>
      <c r="U22" s="174"/>
      <c r="V22" s="174"/>
      <c r="W22" s="34"/>
    </row>
    <row r="23" spans="1:23" s="3" customFormat="1" ht="79.5" customHeight="1" x14ac:dyDescent="0.35">
      <c r="A23" s="8"/>
      <c r="B23" s="12"/>
      <c r="C23" s="144"/>
      <c r="D23" s="8"/>
      <c r="E23" s="8"/>
      <c r="F23" s="8"/>
      <c r="G23" s="8"/>
      <c r="H23" s="8"/>
      <c r="I23" s="26"/>
      <c r="J23" s="26"/>
      <c r="K23" s="8"/>
      <c r="L23" s="8"/>
      <c r="M23" s="9"/>
      <c r="N23" s="9"/>
      <c r="O23" s="8"/>
      <c r="P23" s="8"/>
      <c r="Q23" s="132"/>
      <c r="R23" s="38"/>
      <c r="S23" s="102"/>
      <c r="T23" s="169"/>
      <c r="U23" s="174"/>
      <c r="V23" s="174"/>
      <c r="W23" s="34"/>
    </row>
    <row r="24" spans="1:23" s="3" customFormat="1" ht="79.5" customHeight="1" x14ac:dyDescent="0.35">
      <c r="A24" s="8"/>
      <c r="B24" s="12"/>
      <c r="C24" s="144"/>
      <c r="D24" s="8"/>
      <c r="E24" s="8"/>
      <c r="F24" s="8"/>
      <c r="G24" s="8"/>
      <c r="H24" s="8"/>
      <c r="I24" s="26"/>
      <c r="J24" s="26"/>
      <c r="K24" s="8"/>
      <c r="L24" s="8"/>
      <c r="M24" s="9"/>
      <c r="N24" s="9"/>
      <c r="O24" s="8"/>
      <c r="P24" s="8"/>
      <c r="Q24" s="132"/>
      <c r="R24" s="38"/>
      <c r="S24" s="102"/>
      <c r="T24" s="169"/>
      <c r="U24" s="174"/>
      <c r="V24" s="174"/>
      <c r="W24" s="34"/>
    </row>
    <row r="25" spans="1:23" s="3" customFormat="1" ht="79.5" customHeight="1" x14ac:dyDescent="0.35">
      <c r="A25" s="8"/>
      <c r="B25" s="12"/>
      <c r="C25" s="144"/>
      <c r="D25" s="8"/>
      <c r="E25" s="8"/>
      <c r="F25" s="8"/>
      <c r="G25" s="8"/>
      <c r="H25" s="8"/>
      <c r="I25" s="26"/>
      <c r="J25" s="26"/>
      <c r="K25" s="8"/>
      <c r="L25" s="8"/>
      <c r="M25" s="9"/>
      <c r="N25" s="9"/>
      <c r="O25" s="80"/>
      <c r="P25" s="80"/>
      <c r="Q25" s="190"/>
      <c r="R25" s="38"/>
      <c r="S25" s="102"/>
      <c r="T25" s="169"/>
      <c r="U25" s="174"/>
      <c r="V25" s="174"/>
      <c r="W25" s="34"/>
    </row>
    <row r="26" spans="1:23" s="3" customFormat="1" ht="79.5" customHeight="1" x14ac:dyDescent="0.35">
      <c r="A26" s="8"/>
      <c r="B26" s="12"/>
      <c r="C26" s="144"/>
      <c r="D26" s="8"/>
      <c r="E26" s="8"/>
      <c r="F26" s="8"/>
      <c r="G26" s="8"/>
      <c r="H26" s="8"/>
      <c r="I26" s="26"/>
      <c r="J26" s="26"/>
      <c r="K26" s="8"/>
      <c r="L26" s="8"/>
      <c r="M26" s="9"/>
      <c r="N26" s="138"/>
      <c r="O26" s="38"/>
      <c r="P26" s="38"/>
      <c r="Q26" s="136"/>
      <c r="R26" s="38"/>
      <c r="S26" s="102"/>
      <c r="T26" s="169"/>
      <c r="U26" s="174"/>
      <c r="V26" s="174"/>
      <c r="W26" s="34"/>
    </row>
    <row r="27" spans="1:23" ht="79.5" customHeight="1" x14ac:dyDescent="0.4">
      <c r="A27" s="19"/>
      <c r="B27" s="20"/>
      <c r="C27" s="144"/>
      <c r="D27" s="19"/>
      <c r="E27" s="19"/>
      <c r="F27" s="19"/>
      <c r="G27" s="19"/>
      <c r="H27" s="19"/>
      <c r="I27" s="28"/>
      <c r="J27" s="28"/>
      <c r="K27" s="19"/>
      <c r="L27" s="19"/>
      <c r="M27" s="21"/>
      <c r="N27" s="138"/>
      <c r="O27" s="38"/>
      <c r="P27" s="38"/>
      <c r="Q27" s="136"/>
      <c r="R27" s="38"/>
      <c r="S27" s="178"/>
      <c r="T27" s="170"/>
      <c r="U27" s="174"/>
      <c r="V27" s="175"/>
      <c r="W27" s="34"/>
    </row>
    <row r="28" spans="1:23" ht="16" x14ac:dyDescent="0.35">
      <c r="O28" s="79"/>
      <c r="P28" s="79"/>
      <c r="Q28" s="79"/>
      <c r="R28" s="79"/>
      <c r="U28" s="235"/>
    </row>
    <row r="29" spans="1:23" ht="16" x14ac:dyDescent="0.35">
      <c r="O29" s="79"/>
      <c r="P29" s="79"/>
      <c r="Q29" s="79"/>
      <c r="R29" s="79"/>
      <c r="U29" s="235"/>
    </row>
    <row r="30" spans="1:23" ht="16" x14ac:dyDescent="0.35">
      <c r="O30" s="79"/>
      <c r="P30" s="79"/>
      <c r="Q30" s="79"/>
      <c r="R30" s="79"/>
      <c r="U30" s="235"/>
    </row>
    <row r="31" spans="1:23" ht="16" x14ac:dyDescent="0.35">
      <c r="O31" s="79"/>
      <c r="P31" s="79"/>
      <c r="Q31" s="79"/>
      <c r="R31" s="79"/>
      <c r="U31" s="235"/>
    </row>
    <row r="32" spans="1:23" ht="16" x14ac:dyDescent="0.35">
      <c r="O32" s="79"/>
      <c r="P32" s="79"/>
      <c r="Q32" s="79"/>
      <c r="R32" s="79"/>
      <c r="U32" s="235"/>
    </row>
    <row r="33" spans="15:21" ht="16" x14ac:dyDescent="0.35">
      <c r="O33" s="79"/>
      <c r="P33" s="79"/>
      <c r="Q33" s="79"/>
      <c r="R33" s="79"/>
      <c r="U33" s="235"/>
    </row>
    <row r="34" spans="15:21" ht="16" x14ac:dyDescent="0.35">
      <c r="O34" s="79"/>
      <c r="P34" s="79"/>
      <c r="Q34" s="79"/>
      <c r="R34" s="79"/>
      <c r="U34" s="235"/>
    </row>
    <row r="35" spans="15:21" ht="16" x14ac:dyDescent="0.35">
      <c r="O35" s="79"/>
      <c r="P35" s="79"/>
      <c r="Q35" s="79"/>
      <c r="R35" s="79"/>
      <c r="U35" s="235"/>
    </row>
    <row r="36" spans="15:21" ht="16" x14ac:dyDescent="0.35">
      <c r="O36" s="79"/>
      <c r="P36" s="79"/>
      <c r="Q36" s="79"/>
      <c r="R36" s="79"/>
      <c r="U36" s="235"/>
    </row>
    <row r="37" spans="15:21" ht="16" x14ac:dyDescent="0.35">
      <c r="O37" s="79"/>
      <c r="P37" s="79"/>
      <c r="Q37" s="79"/>
      <c r="R37" s="79"/>
      <c r="U37" s="235"/>
    </row>
    <row r="38" spans="15:21" ht="16" x14ac:dyDescent="0.35">
      <c r="O38" s="79"/>
      <c r="P38" s="79"/>
      <c r="Q38" s="79"/>
      <c r="R38" s="79"/>
      <c r="U38" s="235"/>
    </row>
    <row r="39" spans="15:21" ht="16" x14ac:dyDescent="0.35">
      <c r="O39" s="79"/>
      <c r="P39" s="79"/>
      <c r="Q39" s="79"/>
      <c r="R39" s="79"/>
      <c r="U39" s="235"/>
    </row>
    <row r="40" spans="15:21" ht="16" x14ac:dyDescent="0.35">
      <c r="O40" s="79"/>
      <c r="P40" s="79"/>
      <c r="Q40" s="79"/>
      <c r="R40" s="79"/>
      <c r="U40" s="235"/>
    </row>
    <row r="41" spans="15:21" ht="16" x14ac:dyDescent="0.35">
      <c r="O41" s="79"/>
      <c r="P41" s="79"/>
      <c r="Q41" s="79"/>
      <c r="R41" s="79"/>
      <c r="U41" s="235"/>
    </row>
    <row r="42" spans="15:21" ht="16" x14ac:dyDescent="0.35">
      <c r="O42" s="79"/>
      <c r="P42" s="79"/>
      <c r="Q42" s="79"/>
      <c r="R42" s="79"/>
      <c r="U42" s="235"/>
    </row>
    <row r="43" spans="15:21" ht="16" x14ac:dyDescent="0.35">
      <c r="O43" s="79"/>
      <c r="P43" s="79"/>
      <c r="Q43" s="79"/>
      <c r="R43" s="79"/>
      <c r="U43" s="235"/>
    </row>
    <row r="44" spans="15:21" ht="16" x14ac:dyDescent="0.35">
      <c r="O44" s="79"/>
      <c r="P44" s="79"/>
      <c r="Q44" s="79"/>
      <c r="R44" s="79"/>
      <c r="U44" s="235"/>
    </row>
    <row r="45" spans="15:21" ht="16" x14ac:dyDescent="0.35">
      <c r="O45" s="79"/>
      <c r="P45" s="79"/>
      <c r="Q45" s="79"/>
      <c r="R45" s="79"/>
      <c r="U45" s="235"/>
    </row>
    <row r="46" spans="15:21" ht="16" x14ac:dyDescent="0.35">
      <c r="O46" s="79"/>
      <c r="P46" s="79"/>
      <c r="Q46" s="79"/>
      <c r="R46" s="79"/>
      <c r="U46" s="235"/>
    </row>
    <row r="47" spans="15:21" ht="16" x14ac:dyDescent="0.35">
      <c r="O47" s="79"/>
      <c r="P47" s="79"/>
      <c r="Q47" s="79"/>
      <c r="R47" s="79"/>
      <c r="U47" s="235"/>
    </row>
    <row r="48" spans="15:21" ht="16" x14ac:dyDescent="0.35">
      <c r="O48" s="79"/>
      <c r="P48" s="79"/>
      <c r="Q48" s="79"/>
      <c r="R48" s="79"/>
      <c r="U48" s="235"/>
    </row>
    <row r="49" spans="15:21" ht="16" x14ac:dyDescent="0.35">
      <c r="O49" s="79"/>
      <c r="P49" s="79"/>
      <c r="Q49" s="79"/>
      <c r="R49" s="79"/>
      <c r="U49" s="235"/>
    </row>
    <row r="50" spans="15:21" ht="16" x14ac:dyDescent="0.35">
      <c r="O50" s="79"/>
      <c r="P50" s="79"/>
      <c r="Q50" s="79"/>
      <c r="R50" s="79"/>
      <c r="U50" s="235"/>
    </row>
    <row r="51" spans="15:21" ht="16" x14ac:dyDescent="0.35">
      <c r="O51" s="79"/>
      <c r="P51" s="79"/>
      <c r="Q51" s="79"/>
      <c r="R51" s="79"/>
      <c r="U51" s="235"/>
    </row>
    <row r="52" spans="15:21" ht="16" x14ac:dyDescent="0.35">
      <c r="O52" s="79"/>
      <c r="P52" s="79"/>
      <c r="Q52" s="79"/>
      <c r="R52" s="79"/>
      <c r="U52" s="235"/>
    </row>
    <row r="53" spans="15:21" ht="16" x14ac:dyDescent="0.35">
      <c r="O53" s="79"/>
      <c r="P53" s="79"/>
      <c r="Q53" s="79"/>
      <c r="R53" s="79"/>
      <c r="U53" s="235"/>
    </row>
    <row r="54" spans="15:21" ht="16" x14ac:dyDescent="0.35">
      <c r="O54" s="79"/>
      <c r="P54" s="79"/>
      <c r="Q54" s="79"/>
      <c r="R54" s="79"/>
      <c r="U54" s="235"/>
    </row>
    <row r="55" spans="15:21" ht="16" x14ac:dyDescent="0.35">
      <c r="O55" s="79"/>
      <c r="P55" s="79"/>
      <c r="Q55" s="79"/>
      <c r="R55" s="79"/>
      <c r="U55" s="235"/>
    </row>
    <row r="56" spans="15:21" ht="16" x14ac:dyDescent="0.35">
      <c r="O56" s="79"/>
      <c r="P56" s="79"/>
      <c r="Q56" s="79"/>
      <c r="R56" s="79"/>
      <c r="U56" s="235"/>
    </row>
    <row r="57" spans="15:21" ht="16" x14ac:dyDescent="0.35">
      <c r="O57" s="79"/>
      <c r="P57" s="79"/>
      <c r="Q57" s="79"/>
      <c r="R57" s="79"/>
      <c r="U57" s="235"/>
    </row>
    <row r="58" spans="15:21" ht="16" x14ac:dyDescent="0.35">
      <c r="O58" s="79"/>
      <c r="P58" s="79"/>
      <c r="Q58" s="79"/>
      <c r="R58" s="79"/>
      <c r="U58" s="235"/>
    </row>
    <row r="59" spans="15:21" ht="16" x14ac:dyDescent="0.35">
      <c r="O59" s="79"/>
      <c r="P59" s="79"/>
      <c r="Q59" s="79"/>
      <c r="R59" s="79"/>
      <c r="U59" s="235"/>
    </row>
    <row r="60" spans="15:21" ht="16" x14ac:dyDescent="0.35">
      <c r="O60" s="79"/>
      <c r="P60" s="79"/>
      <c r="Q60" s="79"/>
      <c r="R60" s="79"/>
      <c r="U60" s="235"/>
    </row>
    <row r="61" spans="15:21" ht="16" x14ac:dyDescent="0.35">
      <c r="O61" s="79"/>
      <c r="P61" s="79"/>
      <c r="Q61" s="79"/>
      <c r="R61" s="79"/>
      <c r="U61" s="235"/>
    </row>
    <row r="62" spans="15:21" ht="16" x14ac:dyDescent="0.35">
      <c r="O62" s="79"/>
      <c r="P62" s="79"/>
      <c r="Q62" s="79"/>
      <c r="R62" s="79"/>
      <c r="U62" s="235"/>
    </row>
    <row r="63" spans="15:21" ht="16" x14ac:dyDescent="0.35">
      <c r="O63" s="79"/>
      <c r="P63" s="79"/>
      <c r="Q63" s="79"/>
      <c r="R63" s="79"/>
      <c r="U63" s="235"/>
    </row>
    <row r="64" spans="15:21" ht="16" x14ac:dyDescent="0.35">
      <c r="O64" s="79"/>
      <c r="P64" s="79"/>
      <c r="Q64" s="79"/>
      <c r="R64" s="79"/>
      <c r="U64" s="235"/>
    </row>
    <row r="65" spans="15:21" ht="16" x14ac:dyDescent="0.35">
      <c r="O65" s="79"/>
      <c r="P65" s="79"/>
      <c r="Q65" s="79"/>
      <c r="R65" s="79"/>
      <c r="U65" s="235"/>
    </row>
    <row r="66" spans="15:21" ht="16" x14ac:dyDescent="0.35">
      <c r="O66" s="79"/>
      <c r="P66" s="79"/>
      <c r="Q66" s="79"/>
      <c r="R66" s="79"/>
      <c r="U66" s="235"/>
    </row>
    <row r="67" spans="15:21" ht="16" x14ac:dyDescent="0.35">
      <c r="O67" s="79"/>
      <c r="P67" s="79"/>
      <c r="Q67" s="79"/>
      <c r="R67" s="79"/>
      <c r="U67" s="235"/>
    </row>
    <row r="68" spans="15:21" ht="16" x14ac:dyDescent="0.35">
      <c r="O68" s="79"/>
      <c r="P68" s="79"/>
      <c r="Q68" s="79"/>
      <c r="R68" s="79"/>
      <c r="U68" s="235"/>
    </row>
    <row r="69" spans="15:21" ht="16" x14ac:dyDescent="0.35">
      <c r="O69" s="79"/>
      <c r="P69" s="79"/>
      <c r="Q69" s="79"/>
      <c r="R69" s="79"/>
      <c r="U69" s="235"/>
    </row>
    <row r="70" spans="15:21" ht="16" x14ac:dyDescent="0.35">
      <c r="O70" s="79"/>
      <c r="P70" s="79"/>
      <c r="Q70" s="79"/>
      <c r="R70" s="79"/>
      <c r="U70" s="235"/>
    </row>
    <row r="71" spans="15:21" ht="16" x14ac:dyDescent="0.35">
      <c r="O71" s="79"/>
      <c r="P71" s="79"/>
      <c r="Q71" s="79"/>
      <c r="R71" s="79"/>
      <c r="U71" s="235"/>
    </row>
    <row r="72" spans="15:21" ht="16" x14ac:dyDescent="0.35">
      <c r="O72" s="79"/>
      <c r="P72" s="79"/>
      <c r="Q72" s="79"/>
      <c r="R72" s="79"/>
      <c r="U72" s="235"/>
    </row>
    <row r="73" spans="15:21" ht="16" x14ac:dyDescent="0.35">
      <c r="O73" s="79"/>
      <c r="P73" s="79"/>
      <c r="Q73" s="79"/>
      <c r="R73" s="79"/>
      <c r="U73" s="235"/>
    </row>
    <row r="74" spans="15:21" ht="16" x14ac:dyDescent="0.35">
      <c r="O74" s="79"/>
      <c r="P74" s="79"/>
      <c r="Q74" s="79"/>
      <c r="R74" s="79"/>
      <c r="U74" s="235"/>
    </row>
    <row r="75" spans="15:21" ht="16" x14ac:dyDescent="0.35">
      <c r="O75" s="79"/>
      <c r="P75" s="79"/>
      <c r="Q75" s="79"/>
      <c r="R75" s="79"/>
      <c r="U75" s="235"/>
    </row>
    <row r="76" spans="15:21" x14ac:dyDescent="0.35">
      <c r="U76" s="235"/>
    </row>
    <row r="77" spans="15:21" x14ac:dyDescent="0.35">
      <c r="U77" s="235"/>
    </row>
    <row r="78" spans="15:21" x14ac:dyDescent="0.35">
      <c r="U78" s="235"/>
    </row>
    <row r="79" spans="15:21" x14ac:dyDescent="0.35">
      <c r="U79" s="235"/>
    </row>
    <row r="80" spans="15:21" x14ac:dyDescent="0.35">
      <c r="U80" s="235"/>
    </row>
    <row r="81" spans="21:21" x14ac:dyDescent="0.35">
      <c r="U81" s="235"/>
    </row>
    <row r="82" spans="21:21" x14ac:dyDescent="0.35">
      <c r="U82" s="235"/>
    </row>
    <row r="83" spans="21:21" x14ac:dyDescent="0.35">
      <c r="U83" s="235"/>
    </row>
    <row r="84" spans="21:21" x14ac:dyDescent="0.35">
      <c r="U84" s="235"/>
    </row>
    <row r="85" spans="21:21" x14ac:dyDescent="0.35">
      <c r="U85" s="235"/>
    </row>
    <row r="86" spans="21:21" x14ac:dyDescent="0.35">
      <c r="U86" s="235"/>
    </row>
    <row r="87" spans="21:21" x14ac:dyDescent="0.35">
      <c r="U87" s="235"/>
    </row>
    <row r="88" spans="21:21" x14ac:dyDescent="0.35">
      <c r="U88" s="235"/>
    </row>
    <row r="89" spans="21:21" x14ac:dyDescent="0.35">
      <c r="U89" s="235"/>
    </row>
    <row r="90" spans="21:21" x14ac:dyDescent="0.35">
      <c r="U90" s="235"/>
    </row>
    <row r="91" spans="21:21" x14ac:dyDescent="0.35">
      <c r="U91" s="235"/>
    </row>
    <row r="92" spans="21:21" x14ac:dyDescent="0.35">
      <c r="U92" s="235"/>
    </row>
    <row r="93" spans="21:21" x14ac:dyDescent="0.35">
      <c r="U93" s="235"/>
    </row>
    <row r="94" spans="21:21" x14ac:dyDescent="0.35">
      <c r="U94" s="235"/>
    </row>
    <row r="95" spans="21:21" x14ac:dyDescent="0.35">
      <c r="U95" s="235"/>
    </row>
    <row r="96" spans="21:21" x14ac:dyDescent="0.35">
      <c r="U96" s="235"/>
    </row>
    <row r="97" spans="21:21" x14ac:dyDescent="0.35">
      <c r="U97" s="235"/>
    </row>
    <row r="98" spans="21:21" x14ac:dyDescent="0.35">
      <c r="U98" s="235"/>
    </row>
    <row r="99" spans="21:21" x14ac:dyDescent="0.35">
      <c r="U99" s="235"/>
    </row>
    <row r="100" spans="21:21" x14ac:dyDescent="0.35">
      <c r="U100" s="235"/>
    </row>
    <row r="101" spans="21:21" x14ac:dyDescent="0.35">
      <c r="U101" s="235"/>
    </row>
    <row r="102" spans="21:21" x14ac:dyDescent="0.35">
      <c r="U102" s="235"/>
    </row>
    <row r="103" spans="21:21" x14ac:dyDescent="0.35">
      <c r="U103" s="235"/>
    </row>
    <row r="104" spans="21:21" x14ac:dyDescent="0.35">
      <c r="U104" s="235"/>
    </row>
    <row r="105" spans="21:21" x14ac:dyDescent="0.35">
      <c r="U105" s="235"/>
    </row>
    <row r="106" spans="21:21" x14ac:dyDescent="0.35">
      <c r="U106" s="235"/>
    </row>
    <row r="107" spans="21:21" x14ac:dyDescent="0.35">
      <c r="U107" s="235"/>
    </row>
    <row r="108" spans="21:21" x14ac:dyDescent="0.35">
      <c r="U108" s="235"/>
    </row>
    <row r="109" spans="21:21" x14ac:dyDescent="0.35">
      <c r="U109" s="235"/>
    </row>
    <row r="110" spans="21:21" x14ac:dyDescent="0.35">
      <c r="U110" s="235"/>
    </row>
    <row r="111" spans="21:21" x14ac:dyDescent="0.35">
      <c r="U111" s="235"/>
    </row>
    <row r="112" spans="21:21" x14ac:dyDescent="0.35">
      <c r="U112" s="235"/>
    </row>
    <row r="113" spans="21:21" x14ac:dyDescent="0.35">
      <c r="U113" s="235"/>
    </row>
    <row r="114" spans="21:21" x14ac:dyDescent="0.35">
      <c r="U114" s="235"/>
    </row>
    <row r="115" spans="21:21" x14ac:dyDescent="0.35">
      <c r="U115" s="235"/>
    </row>
    <row r="116" spans="21:21" x14ac:dyDescent="0.35">
      <c r="U116" s="235"/>
    </row>
    <row r="117" spans="21:21" x14ac:dyDescent="0.35">
      <c r="U117" s="235"/>
    </row>
    <row r="118" spans="21:21" x14ac:dyDescent="0.35">
      <c r="U118" s="235"/>
    </row>
    <row r="119" spans="21:21" x14ac:dyDescent="0.35">
      <c r="U119" s="235"/>
    </row>
    <row r="120" spans="21:21" x14ac:dyDescent="0.35">
      <c r="U120" s="235"/>
    </row>
    <row r="121" spans="21:21" x14ac:dyDescent="0.35">
      <c r="U121" s="235"/>
    </row>
    <row r="122" spans="21:21" x14ac:dyDescent="0.35">
      <c r="U122" s="235"/>
    </row>
    <row r="123" spans="21:21" x14ac:dyDescent="0.35">
      <c r="U123" s="235"/>
    </row>
    <row r="124" spans="21:21" x14ac:dyDescent="0.35">
      <c r="U124" s="235"/>
    </row>
    <row r="125" spans="21:21" x14ac:dyDescent="0.35">
      <c r="U125" s="235"/>
    </row>
    <row r="126" spans="21:21" x14ac:dyDescent="0.35">
      <c r="U126" s="235"/>
    </row>
    <row r="127" spans="21:21" x14ac:dyDescent="0.35">
      <c r="U127" s="235"/>
    </row>
    <row r="128" spans="21:21" x14ac:dyDescent="0.35">
      <c r="U128" s="235"/>
    </row>
    <row r="129" spans="21:21" x14ac:dyDescent="0.35">
      <c r="U129" s="235"/>
    </row>
    <row r="130" spans="21:21" x14ac:dyDescent="0.35">
      <c r="U130" s="235"/>
    </row>
    <row r="131" spans="21:21" x14ac:dyDescent="0.35">
      <c r="U131" s="235"/>
    </row>
    <row r="132" spans="21:21" x14ac:dyDescent="0.35">
      <c r="U132" s="235"/>
    </row>
    <row r="133" spans="21:21" x14ac:dyDescent="0.35">
      <c r="U133" s="235"/>
    </row>
    <row r="134" spans="21:21" x14ac:dyDescent="0.35">
      <c r="U134" s="235"/>
    </row>
    <row r="135" spans="21:21" x14ac:dyDescent="0.35">
      <c r="U135" s="235"/>
    </row>
    <row r="136" spans="21:21" x14ac:dyDescent="0.35">
      <c r="U136" s="235"/>
    </row>
    <row r="137" spans="21:21" x14ac:dyDescent="0.35">
      <c r="U137" s="235"/>
    </row>
    <row r="138" spans="21:21" x14ac:dyDescent="0.35">
      <c r="U138" s="235"/>
    </row>
    <row r="139" spans="21:21" x14ac:dyDescent="0.35">
      <c r="U139" s="235"/>
    </row>
    <row r="140" spans="21:21" x14ac:dyDescent="0.35">
      <c r="U140" s="235"/>
    </row>
    <row r="141" spans="21:21" x14ac:dyDescent="0.35">
      <c r="U141" s="235"/>
    </row>
    <row r="142" spans="21:21" x14ac:dyDescent="0.35">
      <c r="U142" s="235"/>
    </row>
    <row r="143" spans="21:21" x14ac:dyDescent="0.35">
      <c r="U143" s="235"/>
    </row>
    <row r="144" spans="21:21" x14ac:dyDescent="0.35">
      <c r="U144" s="235"/>
    </row>
    <row r="145" spans="21:21" x14ac:dyDescent="0.35">
      <c r="U145" s="235"/>
    </row>
    <row r="146" spans="21:21" x14ac:dyDescent="0.35">
      <c r="U146" s="235"/>
    </row>
    <row r="147" spans="21:21" x14ac:dyDescent="0.35">
      <c r="U147" s="235"/>
    </row>
    <row r="148" spans="21:21" x14ac:dyDescent="0.35">
      <c r="U148" s="235"/>
    </row>
    <row r="149" spans="21:21" x14ac:dyDescent="0.35">
      <c r="U149" s="235"/>
    </row>
    <row r="150" spans="21:21" x14ac:dyDescent="0.35">
      <c r="U150" s="235"/>
    </row>
    <row r="151" spans="21:21" x14ac:dyDescent="0.35">
      <c r="U151" s="235"/>
    </row>
    <row r="152" spans="21:21" x14ac:dyDescent="0.35">
      <c r="U152" s="235"/>
    </row>
    <row r="153" spans="21:21" x14ac:dyDescent="0.35">
      <c r="U153" s="235"/>
    </row>
    <row r="154" spans="21:21" x14ac:dyDescent="0.35">
      <c r="U154" s="235"/>
    </row>
    <row r="155" spans="21:21" x14ac:dyDescent="0.35">
      <c r="U155" s="235"/>
    </row>
    <row r="156" spans="21:21" x14ac:dyDescent="0.35">
      <c r="U156" s="235"/>
    </row>
    <row r="157" spans="21:21" x14ac:dyDescent="0.35">
      <c r="U157" s="235"/>
    </row>
    <row r="158" spans="21:21" x14ac:dyDescent="0.35">
      <c r="U158" s="235"/>
    </row>
    <row r="159" spans="21:21" x14ac:dyDescent="0.35">
      <c r="U159" s="235"/>
    </row>
    <row r="160" spans="21:21" x14ac:dyDescent="0.35">
      <c r="U160" s="235"/>
    </row>
    <row r="161" spans="21:21" x14ac:dyDescent="0.35">
      <c r="U161" s="235"/>
    </row>
    <row r="162" spans="21:21" x14ac:dyDescent="0.35">
      <c r="U162" s="235"/>
    </row>
    <row r="163" spans="21:21" x14ac:dyDescent="0.35">
      <c r="U163" s="235"/>
    </row>
    <row r="164" spans="21:21" x14ac:dyDescent="0.35">
      <c r="U164" s="235"/>
    </row>
    <row r="165" spans="21:21" x14ac:dyDescent="0.35">
      <c r="U165" s="235"/>
    </row>
    <row r="166" spans="21:21" x14ac:dyDescent="0.35">
      <c r="U166" s="235"/>
    </row>
    <row r="167" spans="21:21" x14ac:dyDescent="0.35">
      <c r="U167" s="235"/>
    </row>
    <row r="168" spans="21:21" x14ac:dyDescent="0.35">
      <c r="U168" s="235"/>
    </row>
    <row r="169" spans="21:21" x14ac:dyDescent="0.35">
      <c r="U169" s="235"/>
    </row>
    <row r="170" spans="21:21" x14ac:dyDescent="0.35">
      <c r="U170" s="235"/>
    </row>
    <row r="171" spans="21:21" x14ac:dyDescent="0.35">
      <c r="U171" s="235"/>
    </row>
    <row r="172" spans="21:21" x14ac:dyDescent="0.35">
      <c r="U172" s="235"/>
    </row>
    <row r="173" spans="21:21" x14ac:dyDescent="0.35">
      <c r="U173" s="235"/>
    </row>
    <row r="174" spans="21:21" x14ac:dyDescent="0.35">
      <c r="U174" s="235"/>
    </row>
    <row r="175" spans="21:21" x14ac:dyDescent="0.35">
      <c r="U175" s="235"/>
    </row>
    <row r="176" spans="21:21" x14ac:dyDescent="0.35">
      <c r="U176" s="235"/>
    </row>
    <row r="177" spans="21:21" x14ac:dyDescent="0.35">
      <c r="U177" s="235"/>
    </row>
    <row r="178" spans="21:21" x14ac:dyDescent="0.35">
      <c r="U178" s="235"/>
    </row>
    <row r="179" spans="21:21" x14ac:dyDescent="0.35">
      <c r="U179" s="235"/>
    </row>
    <row r="180" spans="21:21" x14ac:dyDescent="0.35">
      <c r="U180" s="235"/>
    </row>
    <row r="181" spans="21:21" x14ac:dyDescent="0.35">
      <c r="U181" s="235"/>
    </row>
    <row r="182" spans="21:21" x14ac:dyDescent="0.35">
      <c r="U182" s="235"/>
    </row>
    <row r="183" spans="21:21" x14ac:dyDescent="0.35">
      <c r="U183" s="235"/>
    </row>
    <row r="184" spans="21:21" x14ac:dyDescent="0.35">
      <c r="U184" s="235"/>
    </row>
    <row r="185" spans="21:21" x14ac:dyDescent="0.35">
      <c r="U185" s="235"/>
    </row>
    <row r="186" spans="21:21" x14ac:dyDescent="0.35">
      <c r="U186" s="235"/>
    </row>
    <row r="187" spans="21:21" x14ac:dyDescent="0.35">
      <c r="U187" s="235"/>
    </row>
    <row r="188" spans="21:21" x14ac:dyDescent="0.35">
      <c r="U188" s="235"/>
    </row>
    <row r="189" spans="21:21" x14ac:dyDescent="0.35">
      <c r="U189" s="235"/>
    </row>
    <row r="190" spans="21:21" x14ac:dyDescent="0.35">
      <c r="U190" s="235"/>
    </row>
    <row r="191" spans="21:21" x14ac:dyDescent="0.35">
      <c r="U191" s="235"/>
    </row>
    <row r="192" spans="21:21" x14ac:dyDescent="0.35">
      <c r="U192" s="235"/>
    </row>
    <row r="193" spans="21:21" x14ac:dyDescent="0.35">
      <c r="U193" s="235"/>
    </row>
    <row r="194" spans="21:21" x14ac:dyDescent="0.35">
      <c r="U194" s="235"/>
    </row>
    <row r="195" spans="21:21" x14ac:dyDescent="0.35">
      <c r="U195" s="235"/>
    </row>
    <row r="196" spans="21:21" x14ac:dyDescent="0.35">
      <c r="U196" s="235"/>
    </row>
    <row r="197" spans="21:21" x14ac:dyDescent="0.35">
      <c r="U197" s="235"/>
    </row>
    <row r="198" spans="21:21" x14ac:dyDescent="0.35">
      <c r="U198" s="235"/>
    </row>
    <row r="199" spans="21:21" x14ac:dyDescent="0.35">
      <c r="U199" s="235"/>
    </row>
    <row r="200" spans="21:21" x14ac:dyDescent="0.35">
      <c r="U200" s="235"/>
    </row>
    <row r="201" spans="21:21" x14ac:dyDescent="0.35">
      <c r="U201" s="235"/>
    </row>
    <row r="202" spans="21:21" x14ac:dyDescent="0.35">
      <c r="U202" s="235"/>
    </row>
    <row r="203" spans="21:21" x14ac:dyDescent="0.35">
      <c r="U203" s="235"/>
    </row>
    <row r="204" spans="21:21" x14ac:dyDescent="0.35">
      <c r="U204" s="235"/>
    </row>
    <row r="205" spans="21:21" x14ac:dyDescent="0.35">
      <c r="U205" s="235"/>
    </row>
    <row r="206" spans="21:21" x14ac:dyDescent="0.35">
      <c r="U206" s="235"/>
    </row>
    <row r="207" spans="21:21" x14ac:dyDescent="0.35">
      <c r="U207" s="235"/>
    </row>
    <row r="208" spans="21:21" x14ac:dyDescent="0.35">
      <c r="U208" s="235"/>
    </row>
    <row r="209" spans="21:21" x14ac:dyDescent="0.35">
      <c r="U209" s="235"/>
    </row>
    <row r="210" spans="21:21" x14ac:dyDescent="0.35">
      <c r="U210" s="235"/>
    </row>
    <row r="211" spans="21:21" x14ac:dyDescent="0.35">
      <c r="U211" s="235"/>
    </row>
    <row r="212" spans="21:21" x14ac:dyDescent="0.35">
      <c r="U212" s="235"/>
    </row>
    <row r="213" spans="21:21" x14ac:dyDescent="0.35">
      <c r="U213" s="235"/>
    </row>
    <row r="214" spans="21:21" x14ac:dyDescent="0.35">
      <c r="U214" s="235"/>
    </row>
    <row r="215" spans="21:21" x14ac:dyDescent="0.35">
      <c r="U215" s="235"/>
    </row>
    <row r="216" spans="21:21" x14ac:dyDescent="0.35">
      <c r="U216" s="235"/>
    </row>
    <row r="217" spans="21:21" x14ac:dyDescent="0.35">
      <c r="U217" s="235"/>
    </row>
    <row r="218" spans="21:21" x14ac:dyDescent="0.35">
      <c r="U218" s="235"/>
    </row>
    <row r="219" spans="21:21" x14ac:dyDescent="0.35">
      <c r="U219" s="235"/>
    </row>
    <row r="220" spans="21:21" x14ac:dyDescent="0.35">
      <c r="U220" s="235"/>
    </row>
    <row r="221" spans="21:21" x14ac:dyDescent="0.35">
      <c r="U221" s="235"/>
    </row>
    <row r="222" spans="21:21" x14ac:dyDescent="0.35">
      <c r="U222" s="235"/>
    </row>
    <row r="223" spans="21:21" x14ac:dyDescent="0.35">
      <c r="U223" s="235"/>
    </row>
    <row r="224" spans="21:21" x14ac:dyDescent="0.35">
      <c r="U224" s="235"/>
    </row>
    <row r="225" spans="21:21" x14ac:dyDescent="0.35">
      <c r="U225" s="235"/>
    </row>
    <row r="226" spans="21:21" x14ac:dyDescent="0.35">
      <c r="U226" s="235"/>
    </row>
    <row r="227" spans="21:21" x14ac:dyDescent="0.35">
      <c r="U227" s="235"/>
    </row>
    <row r="228" spans="21:21" x14ac:dyDescent="0.35">
      <c r="U228" s="235"/>
    </row>
    <row r="229" spans="21:21" x14ac:dyDescent="0.35">
      <c r="U229" s="235"/>
    </row>
    <row r="230" spans="21:21" x14ac:dyDescent="0.35">
      <c r="U230" s="235"/>
    </row>
    <row r="231" spans="21:21" x14ac:dyDescent="0.35">
      <c r="U231" s="235"/>
    </row>
    <row r="232" spans="21:21" x14ac:dyDescent="0.35">
      <c r="U232" s="235"/>
    </row>
    <row r="233" spans="21:21" x14ac:dyDescent="0.35">
      <c r="U233" s="235"/>
    </row>
    <row r="234" spans="21:21" x14ac:dyDescent="0.35">
      <c r="U234" s="235"/>
    </row>
    <row r="235" spans="21:21" x14ac:dyDescent="0.35">
      <c r="U235" s="235"/>
    </row>
    <row r="236" spans="21:21" x14ac:dyDescent="0.35">
      <c r="U236" s="235"/>
    </row>
    <row r="237" spans="21:21" x14ac:dyDescent="0.35">
      <c r="U237" s="235"/>
    </row>
    <row r="238" spans="21:21" x14ac:dyDescent="0.35">
      <c r="U238" s="235"/>
    </row>
    <row r="239" spans="21:21" x14ac:dyDescent="0.35">
      <c r="U239" s="235"/>
    </row>
    <row r="240" spans="21:21" x14ac:dyDescent="0.35">
      <c r="U240" s="235"/>
    </row>
    <row r="241" spans="21:21" x14ac:dyDescent="0.35">
      <c r="U241" s="235"/>
    </row>
    <row r="242" spans="21:21" x14ac:dyDescent="0.35">
      <c r="U242" s="235"/>
    </row>
    <row r="243" spans="21:21" x14ac:dyDescent="0.35">
      <c r="U243" s="235"/>
    </row>
    <row r="244" spans="21:21" x14ac:dyDescent="0.35">
      <c r="U244" s="235"/>
    </row>
    <row r="245" spans="21:21" x14ac:dyDescent="0.35">
      <c r="U245" s="235"/>
    </row>
    <row r="246" spans="21:21" x14ac:dyDescent="0.35">
      <c r="U246" s="235"/>
    </row>
    <row r="247" spans="21:21" x14ac:dyDescent="0.35">
      <c r="U247" s="235"/>
    </row>
    <row r="248" spans="21:21" x14ac:dyDescent="0.35">
      <c r="U248" s="235"/>
    </row>
    <row r="249" spans="21:21" x14ac:dyDescent="0.35">
      <c r="U249" s="235"/>
    </row>
    <row r="250" spans="21:21" x14ac:dyDescent="0.35">
      <c r="U250" s="235"/>
    </row>
    <row r="251" spans="21:21" x14ac:dyDescent="0.35">
      <c r="U251" s="235"/>
    </row>
    <row r="252" spans="21:21" x14ac:dyDescent="0.35">
      <c r="U252" s="235"/>
    </row>
    <row r="253" spans="21:21" x14ac:dyDescent="0.35">
      <c r="U253" s="235"/>
    </row>
    <row r="254" spans="21:21" x14ac:dyDescent="0.35">
      <c r="U254" s="235"/>
    </row>
    <row r="255" spans="21:21" x14ac:dyDescent="0.35">
      <c r="U255" s="235"/>
    </row>
    <row r="256" spans="21:21" x14ac:dyDescent="0.35">
      <c r="U256" s="235"/>
    </row>
    <row r="257" spans="21:21" x14ac:dyDescent="0.35">
      <c r="U257" s="235"/>
    </row>
    <row r="258" spans="21:21" x14ac:dyDescent="0.35">
      <c r="U258" s="235"/>
    </row>
    <row r="259" spans="21:21" x14ac:dyDescent="0.35">
      <c r="U259" s="235"/>
    </row>
    <row r="260" spans="21:21" x14ac:dyDescent="0.35">
      <c r="U260" s="235"/>
    </row>
    <row r="261" spans="21:21" x14ac:dyDescent="0.35">
      <c r="U261" s="235"/>
    </row>
    <row r="262" spans="21:21" x14ac:dyDescent="0.35">
      <c r="U262" s="235"/>
    </row>
    <row r="263" spans="21:21" x14ac:dyDescent="0.35">
      <c r="U263" s="235"/>
    </row>
    <row r="264" spans="21:21" x14ac:dyDescent="0.35">
      <c r="U264" s="235"/>
    </row>
    <row r="265" spans="21:21" x14ac:dyDescent="0.35">
      <c r="U265" s="235"/>
    </row>
    <row r="266" spans="21:21" x14ac:dyDescent="0.35">
      <c r="U266" s="235"/>
    </row>
    <row r="267" spans="21:21" x14ac:dyDescent="0.35">
      <c r="U267" s="235"/>
    </row>
    <row r="268" spans="21:21" x14ac:dyDescent="0.35">
      <c r="U268" s="235"/>
    </row>
    <row r="269" spans="21:21" x14ac:dyDescent="0.35">
      <c r="U269" s="235"/>
    </row>
    <row r="270" spans="21:21" x14ac:dyDescent="0.35">
      <c r="U270" s="235"/>
    </row>
    <row r="271" spans="21:21" x14ac:dyDescent="0.35">
      <c r="U271" s="235"/>
    </row>
    <row r="272" spans="21:21" x14ac:dyDescent="0.35">
      <c r="U272" s="235"/>
    </row>
    <row r="273" spans="21:21" x14ac:dyDescent="0.35">
      <c r="U273" s="235"/>
    </row>
    <row r="274" spans="21:21" x14ac:dyDescent="0.35">
      <c r="U274" s="235"/>
    </row>
    <row r="275" spans="21:21" x14ac:dyDescent="0.35">
      <c r="U275" s="235"/>
    </row>
    <row r="276" spans="21:21" x14ac:dyDescent="0.35">
      <c r="U276" s="235"/>
    </row>
    <row r="277" spans="21:21" x14ac:dyDescent="0.35">
      <c r="U277" s="235"/>
    </row>
    <row r="278" spans="21:21" x14ac:dyDescent="0.35">
      <c r="U278" s="235"/>
    </row>
    <row r="279" spans="21:21" x14ac:dyDescent="0.35">
      <c r="U279" s="235"/>
    </row>
    <row r="280" spans="21:21" x14ac:dyDescent="0.35">
      <c r="U280" s="235"/>
    </row>
    <row r="281" spans="21:21" x14ac:dyDescent="0.35">
      <c r="U281" s="235"/>
    </row>
    <row r="282" spans="21:21" x14ac:dyDescent="0.35">
      <c r="U282" s="235"/>
    </row>
    <row r="283" spans="21:21" x14ac:dyDescent="0.35">
      <c r="U283" s="235"/>
    </row>
    <row r="284" spans="21:21" x14ac:dyDescent="0.35">
      <c r="U284" s="235"/>
    </row>
    <row r="285" spans="21:21" x14ac:dyDescent="0.35">
      <c r="U285" s="235"/>
    </row>
    <row r="286" spans="21:21" x14ac:dyDescent="0.35">
      <c r="U286" s="235"/>
    </row>
    <row r="287" spans="21:21" x14ac:dyDescent="0.35">
      <c r="U287" s="235"/>
    </row>
    <row r="288" spans="21:21" x14ac:dyDescent="0.35">
      <c r="U288" s="235"/>
    </row>
    <row r="289" spans="21:21" x14ac:dyDescent="0.35">
      <c r="U289" s="235"/>
    </row>
    <row r="290" spans="21:21" x14ac:dyDescent="0.35">
      <c r="U290" s="235"/>
    </row>
    <row r="291" spans="21:21" x14ac:dyDescent="0.35">
      <c r="U291" s="235"/>
    </row>
    <row r="292" spans="21:21" x14ac:dyDescent="0.35">
      <c r="U292" s="235"/>
    </row>
    <row r="293" spans="21:21" x14ac:dyDescent="0.35">
      <c r="U293" s="235"/>
    </row>
    <row r="294" spans="21:21" x14ac:dyDescent="0.35">
      <c r="U294" s="235"/>
    </row>
    <row r="295" spans="21:21" x14ac:dyDescent="0.35">
      <c r="U295" s="235"/>
    </row>
    <row r="296" spans="21:21" x14ac:dyDescent="0.35">
      <c r="U296" s="235"/>
    </row>
    <row r="297" spans="21:21" x14ac:dyDescent="0.35">
      <c r="U297" s="235"/>
    </row>
    <row r="298" spans="21:21" x14ac:dyDescent="0.35">
      <c r="U298" s="235"/>
    </row>
    <row r="299" spans="21:21" x14ac:dyDescent="0.35">
      <c r="U299" s="235"/>
    </row>
    <row r="300" spans="21:21" x14ac:dyDescent="0.35">
      <c r="U300" s="235"/>
    </row>
    <row r="301" spans="21:21" x14ac:dyDescent="0.35">
      <c r="U301" s="235"/>
    </row>
    <row r="302" spans="21:21" x14ac:dyDescent="0.35">
      <c r="U302" s="235"/>
    </row>
    <row r="303" spans="21:21" x14ac:dyDescent="0.35">
      <c r="U303" s="235"/>
    </row>
    <row r="304" spans="21:21" x14ac:dyDescent="0.35">
      <c r="U304" s="235"/>
    </row>
    <row r="305" spans="21:21" x14ac:dyDescent="0.35">
      <c r="U305" s="235"/>
    </row>
    <row r="306" spans="21:21" x14ac:dyDescent="0.35">
      <c r="U306" s="235"/>
    </row>
    <row r="307" spans="21:21" x14ac:dyDescent="0.35">
      <c r="U307" s="235"/>
    </row>
    <row r="308" spans="21:21" x14ac:dyDescent="0.35">
      <c r="U308" s="235"/>
    </row>
    <row r="309" spans="21:21" x14ac:dyDescent="0.35">
      <c r="U309" s="243"/>
    </row>
    <row r="310" spans="21:21" x14ac:dyDescent="0.35">
      <c r="U310" s="243"/>
    </row>
    <row r="311" spans="21:21" x14ac:dyDescent="0.35">
      <c r="U311" s="243"/>
    </row>
    <row r="312" spans="21:21" x14ac:dyDescent="0.35">
      <c r="U312" s="243"/>
    </row>
    <row r="313" spans="21:21" x14ac:dyDescent="0.35">
      <c r="U313" s="243"/>
    </row>
    <row r="314" spans="21:21" x14ac:dyDescent="0.35">
      <c r="U314" s="243"/>
    </row>
    <row r="315" spans="21:21" x14ac:dyDescent="0.35">
      <c r="U315" s="243"/>
    </row>
    <row r="316" spans="21:21" x14ac:dyDescent="0.35">
      <c r="U316" s="243"/>
    </row>
    <row r="317" spans="21:21" x14ac:dyDescent="0.35">
      <c r="U317" s="243"/>
    </row>
    <row r="318" spans="21:21" x14ac:dyDescent="0.35">
      <c r="U318" s="243"/>
    </row>
    <row r="319" spans="21:21" x14ac:dyDescent="0.35">
      <c r="U319" s="243"/>
    </row>
    <row r="320" spans="21:21" x14ac:dyDescent="0.35">
      <c r="U320" s="243"/>
    </row>
    <row r="321" spans="21:21" x14ac:dyDescent="0.35">
      <c r="U321" s="243"/>
    </row>
    <row r="322" spans="21:21" x14ac:dyDescent="0.35">
      <c r="U322" s="243"/>
    </row>
    <row r="323" spans="21:21" x14ac:dyDescent="0.35">
      <c r="U323" s="243"/>
    </row>
    <row r="324" spans="21:21" x14ac:dyDescent="0.35">
      <c r="U324" s="243"/>
    </row>
    <row r="325" spans="21:21" x14ac:dyDescent="0.35">
      <c r="U325" s="243"/>
    </row>
    <row r="326" spans="21:21" x14ac:dyDescent="0.35">
      <c r="U326" s="243"/>
    </row>
    <row r="327" spans="21:21" x14ac:dyDescent="0.35">
      <c r="U327" s="243"/>
    </row>
    <row r="328" spans="21:21" x14ac:dyDescent="0.35">
      <c r="U328" s="243"/>
    </row>
    <row r="329" spans="21:21" x14ac:dyDescent="0.35">
      <c r="U329" s="243"/>
    </row>
    <row r="330" spans="21:21" x14ac:dyDescent="0.35">
      <c r="U330" s="243"/>
    </row>
    <row r="331" spans="21:21" x14ac:dyDescent="0.35">
      <c r="U331" s="243"/>
    </row>
    <row r="332" spans="21:21" x14ac:dyDescent="0.35">
      <c r="U332" s="243"/>
    </row>
    <row r="333" spans="21:21" x14ac:dyDescent="0.35">
      <c r="U333" s="243"/>
    </row>
    <row r="334" spans="21:21" x14ac:dyDescent="0.35">
      <c r="U334" s="243"/>
    </row>
    <row r="335" spans="21:21" x14ac:dyDescent="0.35">
      <c r="U335" s="243"/>
    </row>
    <row r="336" spans="21:21" x14ac:dyDescent="0.35">
      <c r="U336" s="243"/>
    </row>
    <row r="337" spans="21:21" x14ac:dyDescent="0.35">
      <c r="U337" s="243"/>
    </row>
    <row r="338" spans="21:21" x14ac:dyDescent="0.35">
      <c r="U338" s="243"/>
    </row>
    <row r="339" spans="21:21" x14ac:dyDescent="0.35">
      <c r="U339" s="243"/>
    </row>
    <row r="340" spans="21:21" x14ac:dyDescent="0.35">
      <c r="U340" s="243"/>
    </row>
    <row r="341" spans="21:21" x14ac:dyDescent="0.35">
      <c r="U341" s="243"/>
    </row>
    <row r="342" spans="21:21" x14ac:dyDescent="0.35">
      <c r="U342" s="243"/>
    </row>
    <row r="343" spans="21:21" x14ac:dyDescent="0.35">
      <c r="U343" s="243"/>
    </row>
    <row r="344" spans="21:21" x14ac:dyDescent="0.35">
      <c r="U344" s="243"/>
    </row>
    <row r="345" spans="21:21" x14ac:dyDescent="0.35">
      <c r="U345" s="243"/>
    </row>
    <row r="346" spans="21:21" x14ac:dyDescent="0.35">
      <c r="U346" s="243"/>
    </row>
    <row r="347" spans="21:21" x14ac:dyDescent="0.35">
      <c r="U347" s="243"/>
    </row>
    <row r="348" spans="21:21" x14ac:dyDescent="0.35">
      <c r="U348" s="243"/>
    </row>
    <row r="349" spans="21:21" x14ac:dyDescent="0.35">
      <c r="U349" s="243"/>
    </row>
    <row r="350" spans="21:21" x14ac:dyDescent="0.35">
      <c r="U350" s="243"/>
    </row>
    <row r="351" spans="21:21" x14ac:dyDescent="0.35">
      <c r="U351" s="243"/>
    </row>
    <row r="352" spans="21:21" x14ac:dyDescent="0.35">
      <c r="U352" s="243"/>
    </row>
    <row r="353" spans="21:21" x14ac:dyDescent="0.35">
      <c r="U353" s="243"/>
    </row>
    <row r="354" spans="21:21" x14ac:dyDescent="0.35">
      <c r="U354" s="243"/>
    </row>
    <row r="355" spans="21:21" x14ac:dyDescent="0.35">
      <c r="U355" s="243"/>
    </row>
    <row r="356" spans="21:21" x14ac:dyDescent="0.35">
      <c r="U356" s="243"/>
    </row>
    <row r="357" spans="21:21" x14ac:dyDescent="0.35">
      <c r="U357" s="243"/>
    </row>
    <row r="358" spans="21:21" x14ac:dyDescent="0.35">
      <c r="U358" s="243"/>
    </row>
    <row r="359" spans="21:21" x14ac:dyDescent="0.35">
      <c r="U359" s="243"/>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0">
    <mergeCell ref="R6:R7"/>
    <mergeCell ref="A1:W1"/>
    <mergeCell ref="A2:W2"/>
    <mergeCell ref="A4:E4"/>
    <mergeCell ref="F4:L4"/>
    <mergeCell ref="M4:N4"/>
    <mergeCell ref="O4:R4"/>
    <mergeCell ref="S4:U4"/>
    <mergeCell ref="V4:W4"/>
    <mergeCell ref="A3:W3"/>
  </mergeCells>
  <conditionalFormatting sqref="O6:R6 O7:Q8 O9:R9 O10:Q10 O11:R11 O12:Q13 O14:R14 O15:Q16 O17:R1048576">
    <cfRule type="containsText" dxfId="74" priority="1" operator="containsText" text="No">
      <formula>NOT(ISERROR(SEARCH("No",O6)))</formula>
    </cfRule>
    <cfRule type="containsText" dxfId="73" priority="2" operator="containsText" text="Yes">
      <formula>NOT(ISERROR(SEARCH("Yes",O6)))</formula>
    </cfRule>
  </conditionalFormatting>
  <conditionalFormatting sqref="S6:S1048576">
    <cfRule type="containsText" dxfId="72" priority="3" operator="containsText" text="Rejected">
      <formula>NOT(ISERROR(SEARCH("Rejected",S6)))</formula>
    </cfRule>
    <cfRule type="containsText" dxfId="71" priority="4" operator="containsText" text="Revisions Needed">
      <formula>NOT(ISERROR(SEARCH("Revisions Needed",S6)))</formula>
    </cfRule>
    <cfRule type="containsText" dxfId="70" priority="5" operator="containsText" text="Approved">
      <formula>NOT(ISERROR(SEARCH("Approved",S6)))</formula>
    </cfRule>
  </conditionalFormatting>
  <dataValidations count="3">
    <dataValidation type="list" allowBlank="1" showInputMessage="1" showErrorMessage="1" sqref="C6:C1048576" xr:uid="{1BDDE40E-3EC7-4A00-8C04-FA4BC28448B2}">
      <formula1>"Monthly, Yearly"</formula1>
    </dataValidation>
    <dataValidation type="list" allowBlank="1" showInputMessage="1" showErrorMessage="1" sqref="O14:Q14 O17:Q1048576 O6:Q7 O11 P8:Q11" xr:uid="{07E0C057-3DAB-4DBD-B340-2A3D98A8204E}">
      <formula1>"No, Yes"</formula1>
    </dataValidation>
    <dataValidation type="list" allowBlank="1" sqref="S6:S1048576" xr:uid="{33E5C457-19CE-4195-BB30-AA06019C8D19}">
      <formula1>"Approved,Revisions Needed, Rejected"</formula1>
    </dataValidation>
  </dataValidations>
  <pageMargins left="0.75" right="0.75" top="1" bottom="1" header="0.511811023622047" footer="0.511811023622047"/>
  <pageSetup paperSize="9" orientation="portrait" horizontalDpi="300" verticalDpi="300"/>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2C37D-B147-4409-A4C3-D369B9251D68}">
  <sheetPr>
    <tabColor theme="6"/>
  </sheetPr>
  <dimension ref="A1:AF359"/>
  <sheetViews>
    <sheetView showGridLines="0" topLeftCell="A2" zoomScale="70" zoomScaleNormal="50" workbookViewId="0">
      <selection activeCell="N6" sqref="N6"/>
    </sheetView>
  </sheetViews>
  <sheetFormatPr defaultColWidth="8.54296875" defaultRowHeight="14.5" x14ac:dyDescent="0.35"/>
  <cols>
    <col min="1" max="1" width="4.54296875" style="2" bestFit="1" customWidth="1"/>
    <col min="2" max="3" width="12" style="14" customWidth="1"/>
    <col min="4" max="4" width="27.81640625" style="2" bestFit="1" customWidth="1"/>
    <col min="5" max="5" width="21.453125" style="345" customWidth="1"/>
    <col min="6" max="6" width="15.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2.81640625" style="2" customWidth="1"/>
    <col min="13" max="13" width="36" style="416" customWidth="1"/>
    <col min="14" max="14" width="38" style="143" customWidth="1"/>
    <col min="15" max="15" width="12.81640625" style="76" customWidth="1"/>
    <col min="16" max="16" width="10.81640625" style="76" customWidth="1"/>
    <col min="17" max="17" width="13.1796875" style="76" customWidth="1"/>
    <col min="18" max="18" width="39.1796875" style="76" customWidth="1"/>
    <col min="19" max="19" width="20.54296875" style="2" customWidth="1"/>
    <col min="20" max="20" width="47.81640625" style="17" customWidth="1"/>
    <col min="21" max="21" width="52.81640625" style="236" customWidth="1"/>
    <col min="22" max="22" width="76.54296875" style="17" customWidth="1"/>
    <col min="23" max="23" width="20.54296875" style="1" customWidth="1"/>
    <col min="24" max="24" width="8.54296875" style="1"/>
    <col min="25" max="25" width="39.453125" style="1" customWidth="1"/>
    <col min="26" max="16384" width="8.54296875" style="1"/>
  </cols>
  <sheetData>
    <row r="1" spans="1:32" ht="16.5" x14ac:dyDescent="0.35">
      <c r="A1" s="529" t="s">
        <v>297</v>
      </c>
      <c r="B1" s="529"/>
      <c r="C1" s="529"/>
      <c r="D1" s="529"/>
      <c r="E1" s="529"/>
      <c r="F1" s="529"/>
      <c r="G1" s="529"/>
      <c r="H1" s="529"/>
      <c r="I1" s="529"/>
      <c r="J1" s="529"/>
      <c r="K1" s="529"/>
      <c r="L1" s="529"/>
      <c r="M1" s="529"/>
      <c r="N1" s="529"/>
      <c r="O1" s="529"/>
      <c r="P1" s="529"/>
      <c r="Q1" s="529"/>
      <c r="R1" s="529"/>
      <c r="S1" s="529"/>
      <c r="T1" s="529"/>
      <c r="U1" s="529"/>
      <c r="V1" s="529"/>
      <c r="W1" s="529"/>
      <c r="X1" s="529"/>
      <c r="Y1" s="529"/>
      <c r="Z1" s="299"/>
      <c r="AA1" s="299"/>
      <c r="AB1" s="299"/>
      <c r="AC1" s="299"/>
      <c r="AD1" s="299"/>
      <c r="AE1" s="299"/>
      <c r="AF1" s="299"/>
    </row>
    <row r="2" spans="1:32" ht="42" x14ac:dyDescent="0.35">
      <c r="A2" s="300" t="s">
        <v>9</v>
      </c>
      <c r="B2" s="300" t="s">
        <v>10</v>
      </c>
      <c r="C2" s="300" t="s">
        <v>11</v>
      </c>
      <c r="D2" s="300" t="s">
        <v>12</v>
      </c>
      <c r="E2" s="300" t="s">
        <v>13</v>
      </c>
      <c r="F2" s="300" t="s">
        <v>14</v>
      </c>
      <c r="G2" s="300" t="s">
        <v>228</v>
      </c>
      <c r="H2" s="300" t="s">
        <v>15</v>
      </c>
      <c r="I2" s="300" t="s">
        <v>16</v>
      </c>
      <c r="J2" s="300" t="s">
        <v>17</v>
      </c>
      <c r="K2" s="300" t="s">
        <v>18</v>
      </c>
      <c r="L2" s="300" t="s">
        <v>19</v>
      </c>
      <c r="M2" s="300" t="s">
        <v>20</v>
      </c>
      <c r="N2" s="300" t="s">
        <v>21</v>
      </c>
      <c r="O2" s="300" t="s">
        <v>22</v>
      </c>
      <c r="P2" s="300" t="s">
        <v>23</v>
      </c>
      <c r="Q2" s="300" t="s">
        <v>24</v>
      </c>
      <c r="R2" s="300" t="s">
        <v>25</v>
      </c>
      <c r="S2" s="300" t="s">
        <v>299</v>
      </c>
      <c r="T2" s="300" t="s">
        <v>359</v>
      </c>
      <c r="U2" s="300" t="s">
        <v>303</v>
      </c>
      <c r="V2" s="300" t="s">
        <v>302</v>
      </c>
      <c r="W2" s="300" t="s">
        <v>360</v>
      </c>
      <c r="X2" s="300" t="s">
        <v>29</v>
      </c>
      <c r="Y2" s="300" t="s">
        <v>30</v>
      </c>
      <c r="Z2" s="299"/>
      <c r="AA2" s="299"/>
      <c r="AB2" s="299"/>
      <c r="AC2" s="299"/>
      <c r="AD2" s="299"/>
      <c r="AE2" s="299"/>
      <c r="AF2" s="299"/>
    </row>
    <row r="3" spans="1:32" ht="92.15" hidden="1" customHeight="1" x14ac:dyDescent="0.35">
      <c r="A3" s="310">
        <v>1</v>
      </c>
      <c r="B3" s="306" t="s">
        <v>361</v>
      </c>
      <c r="C3" s="306" t="s">
        <v>67</v>
      </c>
      <c r="D3" s="343" t="s">
        <v>362</v>
      </c>
      <c r="E3" s="343" t="s">
        <v>363</v>
      </c>
      <c r="F3" s="311" t="s">
        <v>364</v>
      </c>
      <c r="G3" s="311" t="s">
        <v>365</v>
      </c>
      <c r="H3" s="311" t="s">
        <v>345</v>
      </c>
      <c r="I3" s="311" t="s">
        <v>52</v>
      </c>
      <c r="J3" s="311" t="s">
        <v>52</v>
      </c>
      <c r="K3" s="311" t="s">
        <v>309</v>
      </c>
      <c r="L3" s="312" t="s">
        <v>52</v>
      </c>
      <c r="M3" s="408" t="s">
        <v>366</v>
      </c>
      <c r="N3" s="314" t="s">
        <v>52</v>
      </c>
      <c r="O3" s="315"/>
      <c r="P3" s="315"/>
      <c r="Q3" s="315"/>
      <c r="R3" s="316"/>
      <c r="S3" s="317"/>
      <c r="T3" s="318" t="s">
        <v>201</v>
      </c>
      <c r="U3" s="347" t="s">
        <v>367</v>
      </c>
      <c r="V3" s="320"/>
      <c r="W3" s="320" t="s">
        <v>369</v>
      </c>
      <c r="X3" s="400" t="s">
        <v>352</v>
      </c>
      <c r="Y3" s="400"/>
      <c r="Z3" s="299"/>
      <c r="AA3" s="299"/>
      <c r="AB3" s="299"/>
      <c r="AC3" s="299"/>
      <c r="AD3" s="299"/>
      <c r="AE3" s="299"/>
      <c r="AF3" s="299"/>
    </row>
    <row r="4" spans="1:32" s="4" customFormat="1" ht="72.5" x14ac:dyDescent="0.4">
      <c r="A4" s="310">
        <v>2</v>
      </c>
      <c r="B4" s="321" t="s">
        <v>361</v>
      </c>
      <c r="C4" s="320" t="s">
        <v>46</v>
      </c>
      <c r="D4" s="330" t="s">
        <v>370</v>
      </c>
      <c r="E4" s="330" t="s">
        <v>371</v>
      </c>
      <c r="F4" s="319" t="s">
        <v>364</v>
      </c>
      <c r="G4" s="322" t="s">
        <v>365</v>
      </c>
      <c r="H4" s="322" t="s">
        <v>345</v>
      </c>
      <c r="I4" s="321" t="s">
        <v>52</v>
      </c>
      <c r="J4" s="321" t="s">
        <v>52</v>
      </c>
      <c r="K4" s="322" t="s">
        <v>309</v>
      </c>
      <c r="L4" s="321" t="s">
        <v>52</v>
      </c>
      <c r="M4" s="408" t="s">
        <v>372</v>
      </c>
      <c r="N4" s="323" t="s">
        <v>373</v>
      </c>
      <c r="O4" s="530" t="s">
        <v>150</v>
      </c>
      <c r="P4" s="531" t="s">
        <v>55</v>
      </c>
      <c r="Q4" s="531" t="s">
        <v>55</v>
      </c>
      <c r="R4" s="532" t="s">
        <v>374</v>
      </c>
      <c r="S4" s="533" t="s">
        <v>375</v>
      </c>
      <c r="T4" s="324" t="s">
        <v>291</v>
      </c>
      <c r="U4" s="348" t="s">
        <v>376</v>
      </c>
      <c r="V4" s="315"/>
      <c r="W4" s="320" t="s">
        <v>369</v>
      </c>
      <c r="X4" s="401" t="s">
        <v>314</v>
      </c>
      <c r="Y4" s="401" t="s">
        <v>377</v>
      </c>
      <c r="Z4" s="299"/>
      <c r="AA4" s="299"/>
      <c r="AB4" s="299"/>
      <c r="AC4" s="299"/>
      <c r="AD4" s="299"/>
      <c r="AE4" s="299"/>
      <c r="AF4" s="299"/>
    </row>
    <row r="5" spans="1:32" ht="116" x14ac:dyDescent="0.35">
      <c r="A5" s="310">
        <v>3</v>
      </c>
      <c r="B5" s="321" t="s">
        <v>361</v>
      </c>
      <c r="C5" s="320" t="s">
        <v>46</v>
      </c>
      <c r="D5" s="330" t="s">
        <v>370</v>
      </c>
      <c r="E5" s="330" t="s">
        <v>378</v>
      </c>
      <c r="F5" s="319" t="s">
        <v>364</v>
      </c>
      <c r="G5" s="322" t="s">
        <v>379</v>
      </c>
      <c r="H5" s="322" t="s">
        <v>345</v>
      </c>
      <c r="I5" s="321" t="s">
        <v>52</v>
      </c>
      <c r="J5" s="321" t="s">
        <v>52</v>
      </c>
      <c r="K5" s="322" t="s">
        <v>309</v>
      </c>
      <c r="L5" s="321" t="s">
        <v>52</v>
      </c>
      <c r="M5" s="408" t="s">
        <v>380</v>
      </c>
      <c r="N5" s="314" t="s">
        <v>52</v>
      </c>
      <c r="O5" s="530"/>
      <c r="P5" s="531"/>
      <c r="Q5" s="531"/>
      <c r="R5" s="532"/>
      <c r="S5" s="531"/>
      <c r="T5" s="318" t="s">
        <v>291</v>
      </c>
      <c r="U5" s="349" t="s">
        <v>381</v>
      </c>
      <c r="V5" s="320"/>
      <c r="W5" s="320" t="s">
        <v>369</v>
      </c>
      <c r="X5" s="401" t="s">
        <v>314</v>
      </c>
      <c r="Y5" s="400" t="s">
        <v>382</v>
      </c>
      <c r="Z5" s="299"/>
      <c r="AA5" s="299"/>
      <c r="AB5" s="299"/>
      <c r="AC5" s="299"/>
      <c r="AD5" s="299"/>
      <c r="AE5" s="299"/>
      <c r="AF5" s="299"/>
    </row>
    <row r="6" spans="1:32" s="5" customFormat="1" ht="155" x14ac:dyDescent="0.35">
      <c r="A6" s="326">
        <v>4</v>
      </c>
      <c r="B6" s="320" t="s">
        <v>361</v>
      </c>
      <c r="C6" s="320" t="s">
        <v>46</v>
      </c>
      <c r="D6" s="330" t="s">
        <v>383</v>
      </c>
      <c r="E6" s="330" t="s">
        <v>384</v>
      </c>
      <c r="F6" s="322" t="s">
        <v>49</v>
      </c>
      <c r="G6" s="322" t="s">
        <v>307</v>
      </c>
      <c r="H6" s="322" t="s">
        <v>345</v>
      </c>
      <c r="I6" s="322">
        <v>17</v>
      </c>
      <c r="J6" s="322">
        <v>10</v>
      </c>
      <c r="K6" s="322" t="s">
        <v>309</v>
      </c>
      <c r="L6" s="322">
        <v>3</v>
      </c>
      <c r="M6" s="409" t="s">
        <v>385</v>
      </c>
      <c r="N6" s="331" t="s">
        <v>52</v>
      </c>
      <c r="O6" s="534" t="s">
        <v>55</v>
      </c>
      <c r="P6" s="534" t="s">
        <v>55</v>
      </c>
      <c r="Q6" s="538" t="s">
        <v>55</v>
      </c>
      <c r="R6" s="533" t="s">
        <v>52</v>
      </c>
      <c r="S6" s="541" t="s">
        <v>375</v>
      </c>
      <c r="T6" s="333" t="s">
        <v>291</v>
      </c>
      <c r="U6" s="347" t="s">
        <v>386</v>
      </c>
      <c r="V6" s="320"/>
      <c r="W6" s="320" t="s">
        <v>369</v>
      </c>
      <c r="X6" s="401" t="s">
        <v>314</v>
      </c>
      <c r="Y6" s="400" t="s">
        <v>387</v>
      </c>
      <c r="Z6" s="299"/>
      <c r="AA6" s="299"/>
      <c r="AB6" s="299"/>
      <c r="AC6" s="299"/>
      <c r="AD6" s="299"/>
      <c r="AE6" s="299"/>
      <c r="AF6" s="299"/>
    </row>
    <row r="7" spans="1:32" s="5" customFormat="1" ht="201.5" x14ac:dyDescent="0.35">
      <c r="A7" s="326">
        <v>5</v>
      </c>
      <c r="B7" s="306" t="s">
        <v>361</v>
      </c>
      <c r="C7" s="306" t="s">
        <v>46</v>
      </c>
      <c r="D7" s="334" t="s">
        <v>383</v>
      </c>
      <c r="E7" s="334" t="s">
        <v>388</v>
      </c>
      <c r="F7" s="328" t="s">
        <v>49</v>
      </c>
      <c r="G7" s="328" t="s">
        <v>307</v>
      </c>
      <c r="H7" s="328" t="s">
        <v>345</v>
      </c>
      <c r="I7" s="328">
        <v>28</v>
      </c>
      <c r="J7" s="328">
        <v>22</v>
      </c>
      <c r="K7" s="328" t="s">
        <v>309</v>
      </c>
      <c r="L7" s="312" t="s">
        <v>52</v>
      </c>
      <c r="M7" s="410" t="s">
        <v>389</v>
      </c>
      <c r="N7" s="343" t="s">
        <v>52</v>
      </c>
      <c r="O7" s="535"/>
      <c r="P7" s="535"/>
      <c r="Q7" s="539"/>
      <c r="R7" s="531"/>
      <c r="S7" s="542"/>
      <c r="T7" s="333" t="s">
        <v>291</v>
      </c>
      <c r="U7" s="347" t="s">
        <v>386</v>
      </c>
      <c r="V7" s="320"/>
      <c r="W7" s="320" t="s">
        <v>369</v>
      </c>
      <c r="X7" s="401" t="s">
        <v>314</v>
      </c>
      <c r="Y7" s="400" t="s">
        <v>387</v>
      </c>
      <c r="Z7" s="299"/>
      <c r="AA7" s="299"/>
      <c r="AB7" s="299"/>
      <c r="AC7" s="299"/>
      <c r="AD7" s="299"/>
      <c r="AE7" s="299"/>
      <c r="AF7" s="299"/>
    </row>
    <row r="8" spans="1:32" s="5" customFormat="1" ht="155" x14ac:dyDescent="0.35">
      <c r="A8" s="310">
        <v>6</v>
      </c>
      <c r="B8" s="390" t="s">
        <v>361</v>
      </c>
      <c r="C8" s="390" t="s">
        <v>46</v>
      </c>
      <c r="D8" s="422" t="s">
        <v>383</v>
      </c>
      <c r="E8" s="422" t="s">
        <v>390</v>
      </c>
      <c r="F8" s="423" t="s">
        <v>49</v>
      </c>
      <c r="G8" s="423" t="s">
        <v>307</v>
      </c>
      <c r="H8" s="423" t="s">
        <v>345</v>
      </c>
      <c r="I8" s="423">
        <v>46</v>
      </c>
      <c r="J8" s="423">
        <v>32</v>
      </c>
      <c r="K8" s="423" t="s">
        <v>309</v>
      </c>
      <c r="L8" s="38" t="s">
        <v>52</v>
      </c>
      <c r="M8" s="424" t="s">
        <v>385</v>
      </c>
      <c r="N8" s="425" t="s">
        <v>52</v>
      </c>
      <c r="O8" s="563"/>
      <c r="P8" s="536"/>
      <c r="Q8" s="540"/>
      <c r="R8" s="531"/>
      <c r="S8" s="542"/>
      <c r="T8" s="333" t="s">
        <v>291</v>
      </c>
      <c r="U8" s="347" t="s">
        <v>386</v>
      </c>
      <c r="V8" s="320"/>
      <c r="W8" s="320" t="s">
        <v>369</v>
      </c>
      <c r="X8" s="401" t="s">
        <v>314</v>
      </c>
      <c r="Y8" s="400" t="s">
        <v>387</v>
      </c>
      <c r="Z8" s="299"/>
      <c r="AA8" s="299"/>
      <c r="AB8" s="299"/>
      <c r="AC8" s="299"/>
      <c r="AD8" s="299"/>
      <c r="AE8" s="299"/>
      <c r="AF8" s="299"/>
    </row>
    <row r="9" spans="1:32" s="5" customFormat="1" ht="139.5" hidden="1" x14ac:dyDescent="0.35">
      <c r="A9" s="326">
        <v>7</v>
      </c>
      <c r="B9" s="315" t="s">
        <v>361</v>
      </c>
      <c r="C9" s="315" t="s">
        <v>46</v>
      </c>
      <c r="D9" s="417" t="s">
        <v>391</v>
      </c>
      <c r="E9" s="418" t="s">
        <v>392</v>
      </c>
      <c r="F9" s="417" t="s">
        <v>49</v>
      </c>
      <c r="G9" s="417" t="s">
        <v>344</v>
      </c>
      <c r="H9" s="417" t="s">
        <v>345</v>
      </c>
      <c r="I9" s="417">
        <v>250</v>
      </c>
      <c r="J9" s="417" t="s">
        <v>52</v>
      </c>
      <c r="K9" s="417" t="s">
        <v>309</v>
      </c>
      <c r="L9" s="419" t="s">
        <v>52</v>
      </c>
      <c r="M9" s="420" t="s">
        <v>393</v>
      </c>
      <c r="N9" s="421" t="s">
        <v>52</v>
      </c>
      <c r="O9" s="306" t="s">
        <v>55</v>
      </c>
      <c r="P9" s="306" t="s">
        <v>55</v>
      </c>
      <c r="Q9" s="306" t="s">
        <v>55</v>
      </c>
      <c r="R9" s="308" t="s">
        <v>52</v>
      </c>
      <c r="S9" s="332" t="s">
        <v>375</v>
      </c>
      <c r="T9" s="333" t="s">
        <v>201</v>
      </c>
      <c r="U9" s="349" t="s">
        <v>394</v>
      </c>
      <c r="V9" s="320"/>
      <c r="W9" s="320" t="s">
        <v>369</v>
      </c>
      <c r="X9" s="401" t="s">
        <v>314</v>
      </c>
      <c r="Y9" s="400"/>
      <c r="Z9" s="299"/>
      <c r="AA9" s="299"/>
      <c r="AB9" s="299"/>
      <c r="AC9" s="299"/>
      <c r="AD9" s="299"/>
      <c r="AE9" s="299"/>
      <c r="AF9" s="299"/>
    </row>
    <row r="10" spans="1:32" s="5" customFormat="1" ht="16" x14ac:dyDescent="0.35">
      <c r="A10" s="390"/>
      <c r="B10" s="342"/>
      <c r="C10" s="315"/>
      <c r="D10" s="315"/>
      <c r="E10" s="315"/>
      <c r="F10" s="315"/>
      <c r="G10" s="315"/>
      <c r="H10" s="315"/>
      <c r="I10" s="315"/>
      <c r="J10" s="315"/>
      <c r="K10" s="316"/>
      <c r="L10" s="320"/>
      <c r="M10" s="411"/>
      <c r="N10" s="320"/>
      <c r="O10" s="320"/>
      <c r="P10" s="320"/>
      <c r="Q10" s="320"/>
      <c r="R10" s="320"/>
      <c r="S10" s="338"/>
      <c r="T10" s="320"/>
      <c r="U10" s="319"/>
      <c r="V10" s="320"/>
      <c r="W10" s="320"/>
      <c r="X10" s="320"/>
      <c r="Y10" s="320"/>
      <c r="Z10" s="299"/>
      <c r="AA10" s="299"/>
      <c r="AB10" s="299"/>
      <c r="AC10" s="299"/>
      <c r="AD10" s="299"/>
      <c r="AE10" s="299"/>
      <c r="AF10" s="299"/>
    </row>
    <row r="11" spans="1:32" s="5" customFormat="1" ht="16" x14ac:dyDescent="0.35">
      <c r="A11" s="315"/>
      <c r="B11" s="320"/>
      <c r="C11" s="320"/>
      <c r="D11" s="320"/>
      <c r="E11" s="320"/>
      <c r="F11" s="320"/>
      <c r="G11" s="320"/>
      <c r="H11" s="320"/>
      <c r="I11" s="320"/>
      <c r="J11" s="320"/>
      <c r="K11" s="320"/>
      <c r="L11" s="315"/>
      <c r="M11" s="412"/>
      <c r="N11" s="320"/>
      <c r="O11" s="320"/>
      <c r="P11" s="320"/>
      <c r="Q11" s="320"/>
      <c r="R11" s="320"/>
      <c r="S11" s="338"/>
      <c r="T11" s="320"/>
      <c r="U11" s="319"/>
      <c r="V11" s="320"/>
      <c r="W11" s="320"/>
      <c r="X11" s="320"/>
      <c r="Y11" s="320"/>
      <c r="Z11" s="299"/>
      <c r="AA11" s="299"/>
      <c r="AB11" s="299"/>
      <c r="AC11" s="299"/>
      <c r="AD11" s="299"/>
      <c r="AE11" s="299"/>
      <c r="AF11" s="299"/>
    </row>
    <row r="12" spans="1:32" s="5" customFormat="1" ht="16" x14ac:dyDescent="0.35">
      <c r="A12" s="320"/>
      <c r="B12" s="320"/>
      <c r="C12" s="320"/>
      <c r="D12" s="320"/>
      <c r="E12" s="320"/>
      <c r="F12" s="320"/>
      <c r="G12" s="320"/>
      <c r="H12" s="320"/>
      <c r="I12" s="320"/>
      <c r="J12" s="320"/>
      <c r="K12" s="320"/>
      <c r="L12" s="320"/>
      <c r="M12" s="412"/>
      <c r="N12" s="320"/>
      <c r="O12" s="320"/>
      <c r="P12" s="320"/>
      <c r="Q12" s="320"/>
      <c r="R12" s="320"/>
      <c r="S12" s="338"/>
      <c r="T12" s="320"/>
      <c r="U12" s="319"/>
      <c r="V12" s="320"/>
      <c r="W12" s="320"/>
      <c r="X12" s="320"/>
      <c r="Y12" s="320"/>
      <c r="Z12" s="299"/>
      <c r="AA12" s="299"/>
      <c r="AB12" s="299"/>
      <c r="AC12" s="299"/>
      <c r="AD12" s="299"/>
      <c r="AE12" s="299"/>
      <c r="AF12" s="299"/>
    </row>
    <row r="13" spans="1:32" s="5" customFormat="1" ht="16" x14ac:dyDescent="0.35">
      <c r="A13" s="320"/>
      <c r="B13" s="320"/>
      <c r="C13" s="320"/>
      <c r="D13" s="320"/>
      <c r="E13" s="320"/>
      <c r="F13" s="320"/>
      <c r="G13" s="320"/>
      <c r="H13" s="320"/>
      <c r="I13" s="320"/>
      <c r="J13" s="320"/>
      <c r="K13" s="320"/>
      <c r="L13" s="320"/>
      <c r="M13" s="412"/>
      <c r="N13" s="320"/>
      <c r="O13" s="320"/>
      <c r="P13" s="320"/>
      <c r="Q13" s="320"/>
      <c r="R13" s="320"/>
      <c r="S13" s="338"/>
      <c r="T13" s="320"/>
      <c r="U13" s="319"/>
      <c r="V13" s="320"/>
      <c r="W13" s="320"/>
      <c r="X13" s="320"/>
      <c r="Y13" s="320"/>
      <c r="Z13" s="299"/>
      <c r="AA13" s="299"/>
      <c r="AB13" s="299"/>
      <c r="AC13" s="299"/>
      <c r="AD13" s="299"/>
      <c r="AE13" s="299"/>
      <c r="AF13" s="299"/>
    </row>
    <row r="14" spans="1:32" s="5" customFormat="1" ht="16" x14ac:dyDescent="0.35">
      <c r="A14" s="320"/>
      <c r="B14" s="320"/>
      <c r="C14" s="320"/>
      <c r="D14" s="320"/>
      <c r="E14" s="320"/>
      <c r="F14" s="320"/>
      <c r="G14" s="320"/>
      <c r="H14" s="320"/>
      <c r="I14" s="320"/>
      <c r="J14" s="320"/>
      <c r="K14" s="320"/>
      <c r="L14" s="320"/>
      <c r="M14" s="412"/>
      <c r="N14" s="320"/>
      <c r="O14" s="320"/>
      <c r="P14" s="320"/>
      <c r="Q14" s="320"/>
      <c r="R14" s="320"/>
      <c r="S14" s="338"/>
      <c r="T14" s="320"/>
      <c r="U14" s="319"/>
      <c r="V14" s="320"/>
      <c r="W14" s="320"/>
      <c r="X14" s="320"/>
      <c r="Y14" s="320"/>
      <c r="Z14" s="299"/>
      <c r="AA14" s="299"/>
      <c r="AB14" s="299"/>
      <c r="AC14" s="299"/>
      <c r="AD14" s="299"/>
      <c r="AE14" s="299"/>
      <c r="AF14" s="299"/>
    </row>
    <row r="15" spans="1:32" s="5" customFormat="1" ht="16" x14ac:dyDescent="0.35">
      <c r="A15" s="320"/>
      <c r="B15" s="320"/>
      <c r="C15" s="320"/>
      <c r="D15" s="320"/>
      <c r="E15" s="320"/>
      <c r="F15" s="320"/>
      <c r="G15" s="320"/>
      <c r="H15" s="320"/>
      <c r="I15" s="320"/>
      <c r="J15" s="320"/>
      <c r="K15" s="320"/>
      <c r="L15" s="320"/>
      <c r="M15" s="412"/>
      <c r="N15" s="320"/>
      <c r="O15" s="320"/>
      <c r="P15" s="320"/>
      <c r="Q15" s="320"/>
      <c r="R15" s="320"/>
      <c r="S15" s="338"/>
      <c r="T15" s="320"/>
      <c r="U15" s="319"/>
      <c r="V15" s="320"/>
      <c r="W15" s="320"/>
      <c r="X15" s="320"/>
      <c r="Y15" s="320"/>
      <c r="Z15" s="299"/>
      <c r="AA15" s="299"/>
      <c r="AB15" s="299"/>
      <c r="AC15" s="299"/>
      <c r="AD15" s="299"/>
      <c r="AE15" s="299"/>
      <c r="AF15" s="299"/>
    </row>
    <row r="16" spans="1:32" s="5" customFormat="1" ht="16" x14ac:dyDescent="0.35">
      <c r="A16" s="320"/>
      <c r="B16" s="320"/>
      <c r="C16" s="320"/>
      <c r="D16" s="320"/>
      <c r="E16" s="320"/>
      <c r="F16" s="320"/>
      <c r="G16" s="320"/>
      <c r="H16" s="320"/>
      <c r="I16" s="320"/>
      <c r="J16" s="320"/>
      <c r="K16" s="320"/>
      <c r="L16" s="320"/>
      <c r="M16" s="412"/>
      <c r="N16" s="320"/>
      <c r="O16" s="320"/>
      <c r="P16" s="320"/>
      <c r="Q16" s="320"/>
      <c r="R16" s="320"/>
      <c r="S16" s="338"/>
      <c r="T16" s="320"/>
      <c r="U16" s="319"/>
      <c r="V16" s="320"/>
      <c r="W16" s="320"/>
      <c r="X16" s="320"/>
      <c r="Y16" s="320"/>
      <c r="Z16" s="299"/>
      <c r="AA16" s="299"/>
      <c r="AB16" s="299"/>
      <c r="AC16" s="299"/>
      <c r="AD16" s="299"/>
      <c r="AE16" s="299"/>
      <c r="AF16" s="299"/>
    </row>
    <row r="17" spans="1:32" s="5" customFormat="1" ht="16" x14ac:dyDescent="0.35">
      <c r="A17" s="320"/>
      <c r="B17" s="320"/>
      <c r="C17" s="320"/>
      <c r="D17" s="320"/>
      <c r="E17" s="320"/>
      <c r="F17" s="320"/>
      <c r="G17" s="320"/>
      <c r="H17" s="320"/>
      <c r="I17" s="320"/>
      <c r="J17" s="320"/>
      <c r="K17" s="320"/>
      <c r="L17" s="320"/>
      <c r="M17" s="412"/>
      <c r="N17" s="320"/>
      <c r="O17" s="320"/>
      <c r="P17" s="320"/>
      <c r="Q17" s="320"/>
      <c r="R17" s="320"/>
      <c r="S17" s="338"/>
      <c r="T17" s="320"/>
      <c r="U17" s="319"/>
      <c r="V17" s="320"/>
      <c r="W17" s="320"/>
      <c r="X17" s="320"/>
      <c r="Y17" s="320"/>
      <c r="Z17" s="299"/>
      <c r="AA17" s="299"/>
      <c r="AB17" s="299"/>
      <c r="AC17" s="299"/>
      <c r="AD17" s="299"/>
      <c r="AE17" s="299"/>
      <c r="AF17" s="299"/>
    </row>
    <row r="18" spans="1:32" s="3" customFormat="1" x14ac:dyDescent="0.35">
      <c r="A18" s="320"/>
      <c r="B18" s="320"/>
      <c r="C18" s="320"/>
      <c r="D18" s="320"/>
      <c r="E18" s="320"/>
      <c r="F18" s="320"/>
      <c r="G18" s="320"/>
      <c r="H18" s="320"/>
      <c r="I18" s="320"/>
      <c r="J18" s="320"/>
      <c r="K18" s="320"/>
      <c r="L18" s="320"/>
      <c r="M18" s="412"/>
      <c r="N18" s="320"/>
      <c r="O18" s="320"/>
      <c r="P18" s="320"/>
      <c r="Q18" s="320"/>
      <c r="R18" s="320"/>
      <c r="S18" s="338"/>
      <c r="T18" s="320"/>
      <c r="U18" s="319"/>
      <c r="V18" s="320"/>
      <c r="W18" s="320"/>
      <c r="X18" s="320"/>
      <c r="Y18" s="320"/>
      <c r="Z18" s="299"/>
      <c r="AA18" s="299"/>
      <c r="AB18" s="299"/>
      <c r="AC18" s="299"/>
      <c r="AD18" s="299"/>
      <c r="AE18" s="299"/>
      <c r="AF18" s="299"/>
    </row>
    <row r="19" spans="1:32" s="3" customFormat="1" x14ac:dyDescent="0.35">
      <c r="A19" s="320"/>
      <c r="B19" s="320"/>
      <c r="C19" s="320"/>
      <c r="D19" s="320"/>
      <c r="E19" s="320"/>
      <c r="F19" s="320"/>
      <c r="G19" s="320"/>
      <c r="H19" s="320"/>
      <c r="I19" s="320"/>
      <c r="J19" s="320"/>
      <c r="K19" s="320"/>
      <c r="L19" s="320"/>
      <c r="M19" s="412"/>
      <c r="N19" s="320"/>
      <c r="O19" s="320"/>
      <c r="P19" s="320"/>
      <c r="Q19" s="320"/>
      <c r="R19" s="320"/>
      <c r="S19" s="338"/>
      <c r="T19" s="320"/>
      <c r="U19" s="319"/>
      <c r="V19" s="320"/>
      <c r="W19" s="320"/>
      <c r="X19" s="320"/>
      <c r="Y19" s="320"/>
      <c r="Z19" s="299"/>
      <c r="AA19" s="299"/>
      <c r="AB19" s="299"/>
      <c r="AC19" s="299"/>
      <c r="AD19" s="299"/>
      <c r="AE19" s="299"/>
      <c r="AF19" s="299"/>
    </row>
    <row r="20" spans="1:32" s="3" customFormat="1" x14ac:dyDescent="0.35">
      <c r="A20" s="320"/>
      <c r="B20" s="320"/>
      <c r="C20" s="320"/>
      <c r="D20" s="320"/>
      <c r="E20" s="320"/>
      <c r="F20" s="320"/>
      <c r="G20" s="320"/>
      <c r="H20" s="320"/>
      <c r="I20" s="320"/>
      <c r="J20" s="320"/>
      <c r="K20" s="320"/>
      <c r="L20" s="320"/>
      <c r="M20" s="412"/>
      <c r="N20" s="320"/>
      <c r="O20" s="320"/>
      <c r="P20" s="320"/>
      <c r="Q20" s="320"/>
      <c r="R20" s="320"/>
      <c r="S20" s="338"/>
      <c r="T20" s="320"/>
      <c r="U20" s="319"/>
      <c r="V20" s="320"/>
      <c r="W20" s="320"/>
      <c r="X20" s="320"/>
      <c r="Y20" s="320"/>
      <c r="Z20" s="299"/>
      <c r="AA20" s="299"/>
      <c r="AB20" s="299"/>
      <c r="AC20" s="299"/>
      <c r="AD20" s="299"/>
      <c r="AE20" s="299"/>
      <c r="AF20" s="299"/>
    </row>
    <row r="21" spans="1:32" s="3" customFormat="1" x14ac:dyDescent="0.35">
      <c r="A21" s="320"/>
      <c r="B21" s="320"/>
      <c r="C21" s="320"/>
      <c r="D21" s="320"/>
      <c r="E21" s="320"/>
      <c r="F21" s="320"/>
      <c r="G21" s="320"/>
      <c r="H21" s="320"/>
      <c r="I21" s="320"/>
      <c r="J21" s="320"/>
      <c r="K21" s="320"/>
      <c r="L21" s="320"/>
      <c r="M21" s="412"/>
      <c r="N21" s="320"/>
      <c r="O21" s="320"/>
      <c r="P21" s="320"/>
      <c r="Q21" s="320"/>
      <c r="R21" s="320"/>
      <c r="S21" s="338"/>
      <c r="T21" s="320"/>
      <c r="U21" s="319"/>
      <c r="V21" s="320"/>
      <c r="W21" s="320"/>
      <c r="X21" s="320"/>
      <c r="Y21" s="320"/>
      <c r="Z21" s="299"/>
      <c r="AA21" s="299"/>
      <c r="AB21" s="299"/>
      <c r="AC21" s="299"/>
      <c r="AD21" s="299"/>
      <c r="AE21" s="299"/>
      <c r="AF21" s="299"/>
    </row>
    <row r="22" spans="1:32" s="3" customFormat="1" x14ac:dyDescent="0.35">
      <c r="A22" s="320"/>
      <c r="B22" s="320"/>
      <c r="C22" s="320"/>
      <c r="D22" s="320"/>
      <c r="E22" s="320"/>
      <c r="F22" s="320"/>
      <c r="G22" s="320"/>
      <c r="H22" s="320"/>
      <c r="I22" s="320"/>
      <c r="J22" s="320"/>
      <c r="K22" s="320"/>
      <c r="L22" s="320"/>
      <c r="M22" s="412"/>
      <c r="N22" s="320"/>
      <c r="O22" s="320"/>
      <c r="P22" s="320"/>
      <c r="Q22" s="320"/>
      <c r="R22" s="320"/>
      <c r="S22" s="338"/>
      <c r="T22" s="320"/>
      <c r="U22" s="319"/>
      <c r="V22" s="320"/>
      <c r="W22" s="320"/>
      <c r="X22" s="320"/>
      <c r="Y22" s="320"/>
      <c r="Z22" s="299"/>
      <c r="AA22" s="299"/>
      <c r="AB22" s="299"/>
      <c r="AC22" s="299"/>
      <c r="AD22" s="299"/>
      <c r="AE22" s="299"/>
      <c r="AF22" s="299"/>
    </row>
    <row r="23" spans="1:32" s="3" customFormat="1" x14ac:dyDescent="0.35">
      <c r="A23" s="320"/>
      <c r="B23" s="320"/>
      <c r="C23" s="320"/>
      <c r="D23" s="320"/>
      <c r="E23" s="320"/>
      <c r="F23" s="320"/>
      <c r="G23" s="320"/>
      <c r="H23" s="320"/>
      <c r="I23" s="320"/>
      <c r="J23" s="320"/>
      <c r="K23" s="320"/>
      <c r="L23" s="320"/>
      <c r="M23" s="412"/>
      <c r="N23" s="320"/>
      <c r="O23" s="320"/>
      <c r="P23" s="320"/>
      <c r="Q23" s="320"/>
      <c r="R23" s="320"/>
      <c r="S23" s="338"/>
      <c r="T23" s="320"/>
      <c r="U23" s="319"/>
      <c r="V23" s="320"/>
      <c r="W23" s="320"/>
      <c r="X23" s="320"/>
      <c r="Y23" s="320"/>
      <c r="Z23" s="299"/>
      <c r="AA23" s="299"/>
      <c r="AB23" s="299"/>
      <c r="AC23" s="299"/>
      <c r="AD23" s="299"/>
      <c r="AE23" s="299"/>
      <c r="AF23" s="299"/>
    </row>
    <row r="24" spans="1:32" s="3" customFormat="1" x14ac:dyDescent="0.35">
      <c r="A24" s="320"/>
      <c r="B24" s="320"/>
      <c r="C24" s="320"/>
      <c r="D24" s="320"/>
      <c r="E24" s="320"/>
      <c r="F24" s="320"/>
      <c r="G24" s="320"/>
      <c r="H24" s="320"/>
      <c r="I24" s="320"/>
      <c r="J24" s="320"/>
      <c r="K24" s="320"/>
      <c r="L24" s="320"/>
      <c r="M24" s="412"/>
      <c r="N24" s="320"/>
      <c r="O24" s="320"/>
      <c r="P24" s="320"/>
      <c r="Q24" s="320"/>
      <c r="R24" s="320"/>
      <c r="S24" s="338"/>
      <c r="T24" s="320"/>
      <c r="U24" s="319"/>
      <c r="V24" s="320"/>
      <c r="W24" s="320"/>
      <c r="X24" s="320"/>
      <c r="Y24" s="320"/>
      <c r="Z24" s="299"/>
      <c r="AA24" s="299"/>
      <c r="AB24" s="299"/>
      <c r="AC24" s="299"/>
      <c r="AD24" s="299"/>
      <c r="AE24" s="299"/>
      <c r="AF24" s="299"/>
    </row>
    <row r="25" spans="1:32" s="3" customFormat="1" x14ac:dyDescent="0.35">
      <c r="A25" s="320"/>
      <c r="B25" s="320"/>
      <c r="C25" s="320"/>
      <c r="D25" s="320"/>
      <c r="E25" s="320"/>
      <c r="F25" s="320"/>
      <c r="G25" s="320"/>
      <c r="H25" s="320"/>
      <c r="I25" s="320"/>
      <c r="J25" s="320"/>
      <c r="K25" s="320"/>
      <c r="L25" s="320"/>
      <c r="M25" s="412"/>
      <c r="N25" s="320"/>
      <c r="O25" s="320"/>
      <c r="P25" s="320"/>
      <c r="Q25" s="320"/>
      <c r="R25" s="320"/>
      <c r="S25" s="338"/>
      <c r="T25" s="320"/>
      <c r="U25" s="319"/>
      <c r="V25" s="320"/>
      <c r="W25" s="320"/>
      <c r="X25" s="320"/>
      <c r="Y25" s="320"/>
      <c r="Z25" s="299"/>
      <c r="AA25" s="299"/>
      <c r="AB25" s="299"/>
      <c r="AC25" s="299"/>
      <c r="AD25" s="299"/>
      <c r="AE25" s="299"/>
      <c r="AF25" s="299"/>
    </row>
    <row r="26" spans="1:32" s="3" customFormat="1" x14ac:dyDescent="0.35">
      <c r="A26" s="320"/>
      <c r="B26" s="320"/>
      <c r="C26" s="320"/>
      <c r="D26" s="320"/>
      <c r="E26" s="320"/>
      <c r="F26" s="320"/>
      <c r="G26" s="320"/>
      <c r="H26" s="320"/>
      <c r="I26" s="320"/>
      <c r="J26" s="320"/>
      <c r="K26" s="320"/>
      <c r="L26" s="320"/>
      <c r="M26" s="412"/>
      <c r="N26" s="320"/>
      <c r="O26" s="320"/>
      <c r="P26" s="320"/>
      <c r="Q26" s="320"/>
      <c r="R26" s="320"/>
      <c r="S26" s="338"/>
      <c r="T26" s="320"/>
      <c r="U26" s="319"/>
      <c r="V26" s="320"/>
      <c r="W26" s="320"/>
      <c r="X26" s="320"/>
      <c r="Y26" s="320"/>
      <c r="Z26" s="299"/>
      <c r="AA26" s="299"/>
      <c r="AB26" s="299"/>
      <c r="AC26" s="299"/>
      <c r="AD26" s="299"/>
      <c r="AE26" s="299"/>
      <c r="AF26" s="299"/>
    </row>
    <row r="27" spans="1:32" x14ac:dyDescent="0.35">
      <c r="A27" s="320"/>
      <c r="B27" s="320"/>
      <c r="C27" s="320"/>
      <c r="D27" s="320"/>
      <c r="E27" s="320"/>
      <c r="F27" s="320"/>
      <c r="G27" s="320"/>
      <c r="H27" s="320"/>
      <c r="I27" s="320"/>
      <c r="J27" s="320"/>
      <c r="K27" s="320"/>
      <c r="L27" s="320"/>
      <c r="M27" s="412"/>
      <c r="N27" s="320"/>
      <c r="O27" s="320"/>
      <c r="P27" s="320"/>
      <c r="Q27" s="320"/>
      <c r="R27" s="320"/>
      <c r="S27" s="338"/>
      <c r="T27" s="320"/>
      <c r="U27" s="319"/>
      <c r="V27" s="320"/>
      <c r="W27" s="320"/>
      <c r="X27" s="320"/>
      <c r="Y27" s="320"/>
      <c r="Z27" s="299"/>
      <c r="AA27" s="299"/>
      <c r="AB27" s="299"/>
      <c r="AC27" s="299"/>
      <c r="AD27" s="299"/>
      <c r="AE27" s="299"/>
      <c r="AF27" s="299"/>
    </row>
    <row r="28" spans="1:32" x14ac:dyDescent="0.35">
      <c r="A28" s="320"/>
      <c r="B28" s="320"/>
      <c r="C28" s="320"/>
      <c r="D28" s="320"/>
      <c r="E28" s="320"/>
      <c r="F28" s="320"/>
      <c r="G28" s="320"/>
      <c r="H28" s="320"/>
      <c r="I28" s="320"/>
      <c r="J28" s="320"/>
      <c r="K28" s="320"/>
      <c r="L28" s="320"/>
      <c r="M28" s="412"/>
      <c r="N28" s="320"/>
      <c r="O28" s="320"/>
      <c r="P28" s="320"/>
      <c r="Q28" s="320"/>
      <c r="R28" s="320"/>
      <c r="S28" s="338"/>
      <c r="T28" s="320"/>
      <c r="U28" s="319"/>
      <c r="V28" s="320"/>
      <c r="W28" s="320"/>
      <c r="X28" s="320"/>
      <c r="Y28" s="320"/>
      <c r="Z28" s="299"/>
      <c r="AA28" s="299"/>
      <c r="AB28" s="299"/>
      <c r="AC28" s="299"/>
      <c r="AD28" s="299"/>
      <c r="AE28" s="299"/>
      <c r="AF28" s="299"/>
    </row>
    <row r="29" spans="1:32" x14ac:dyDescent="0.35">
      <c r="A29" s="320"/>
      <c r="B29" s="320"/>
      <c r="C29" s="320"/>
      <c r="D29" s="320"/>
      <c r="E29" s="320"/>
      <c r="F29" s="320"/>
      <c r="G29" s="320"/>
      <c r="H29" s="320"/>
      <c r="I29" s="320"/>
      <c r="J29" s="320"/>
      <c r="K29" s="320"/>
      <c r="L29" s="320"/>
      <c r="M29" s="412"/>
      <c r="N29" s="320"/>
      <c r="O29" s="320"/>
      <c r="P29" s="320"/>
      <c r="Q29" s="320"/>
      <c r="R29" s="320"/>
      <c r="S29" s="338"/>
      <c r="T29" s="320"/>
      <c r="U29" s="319"/>
      <c r="V29" s="320"/>
      <c r="W29" s="320"/>
      <c r="X29" s="320"/>
      <c r="Y29" s="320"/>
      <c r="Z29" s="299"/>
      <c r="AA29" s="299"/>
      <c r="AB29" s="299"/>
      <c r="AC29" s="299"/>
      <c r="AD29" s="299"/>
      <c r="AE29" s="299"/>
      <c r="AF29" s="299"/>
    </row>
    <row r="30" spans="1:32" x14ac:dyDescent="0.35">
      <c r="A30" s="320"/>
      <c r="B30" s="320"/>
      <c r="C30" s="320"/>
      <c r="D30" s="320"/>
      <c r="E30" s="320"/>
      <c r="F30" s="320"/>
      <c r="G30" s="320"/>
      <c r="H30" s="320"/>
      <c r="I30" s="320"/>
      <c r="J30" s="320"/>
      <c r="K30" s="320"/>
      <c r="L30" s="320"/>
      <c r="M30" s="412"/>
      <c r="N30" s="320"/>
      <c r="O30" s="320"/>
      <c r="P30" s="320"/>
      <c r="Q30" s="320"/>
      <c r="R30" s="320"/>
      <c r="S30" s="338"/>
      <c r="T30" s="320"/>
      <c r="U30" s="319"/>
      <c r="V30" s="320"/>
      <c r="W30" s="320"/>
      <c r="X30" s="320"/>
      <c r="Y30" s="320"/>
      <c r="Z30" s="299"/>
      <c r="AA30" s="299"/>
      <c r="AB30" s="299"/>
      <c r="AC30" s="299"/>
      <c r="AD30" s="299"/>
      <c r="AE30" s="299"/>
      <c r="AF30" s="299"/>
    </row>
    <row r="31" spans="1:32" x14ac:dyDescent="0.35">
      <c r="A31" s="320"/>
      <c r="B31" s="320"/>
      <c r="C31" s="320"/>
      <c r="D31" s="320"/>
      <c r="E31" s="320"/>
      <c r="F31" s="320"/>
      <c r="G31" s="320"/>
      <c r="H31" s="320"/>
      <c r="I31" s="320"/>
      <c r="J31" s="320"/>
      <c r="K31" s="320"/>
      <c r="L31" s="320"/>
      <c r="M31" s="412"/>
      <c r="N31" s="320"/>
      <c r="O31" s="320"/>
      <c r="P31" s="320"/>
      <c r="Q31" s="320"/>
      <c r="R31" s="320"/>
      <c r="S31" s="338"/>
      <c r="T31" s="320"/>
      <c r="U31" s="319"/>
      <c r="V31" s="320"/>
      <c r="W31" s="320"/>
      <c r="X31" s="320"/>
      <c r="Y31" s="320"/>
      <c r="Z31" s="299"/>
      <c r="AA31" s="299"/>
      <c r="AB31" s="299"/>
      <c r="AC31" s="299"/>
      <c r="AD31" s="299"/>
      <c r="AE31" s="299"/>
      <c r="AF31" s="299"/>
    </row>
    <row r="32" spans="1:32" x14ac:dyDescent="0.35">
      <c r="A32" s="320"/>
      <c r="B32" s="320"/>
      <c r="C32" s="320"/>
      <c r="D32" s="320"/>
      <c r="E32" s="320"/>
      <c r="F32" s="320"/>
      <c r="G32" s="320"/>
      <c r="H32" s="320"/>
      <c r="I32" s="320"/>
      <c r="J32" s="320"/>
      <c r="K32" s="320"/>
      <c r="L32" s="320"/>
      <c r="M32" s="412"/>
      <c r="N32" s="320"/>
      <c r="O32" s="320"/>
      <c r="P32" s="320"/>
      <c r="Q32" s="320"/>
      <c r="R32" s="320"/>
      <c r="S32" s="338"/>
      <c r="T32" s="320"/>
      <c r="U32" s="319"/>
      <c r="V32" s="320"/>
      <c r="W32" s="320"/>
      <c r="X32" s="320"/>
      <c r="Y32" s="320"/>
      <c r="Z32" s="299"/>
      <c r="AA32" s="299"/>
      <c r="AB32" s="299"/>
      <c r="AC32" s="299"/>
      <c r="AD32" s="299"/>
      <c r="AE32" s="299"/>
      <c r="AF32" s="299"/>
    </row>
    <row r="33" spans="1:32" x14ac:dyDescent="0.35">
      <c r="A33" s="320"/>
      <c r="B33" s="320"/>
      <c r="C33" s="320"/>
      <c r="D33" s="320"/>
      <c r="E33" s="320"/>
      <c r="F33" s="320"/>
      <c r="G33" s="320"/>
      <c r="H33" s="320"/>
      <c r="I33" s="320"/>
      <c r="J33" s="320"/>
      <c r="K33" s="320"/>
      <c r="L33" s="320"/>
      <c r="M33" s="412"/>
      <c r="N33" s="320"/>
      <c r="O33" s="320"/>
      <c r="P33" s="320"/>
      <c r="Q33" s="320"/>
      <c r="R33" s="320"/>
      <c r="S33" s="338"/>
      <c r="T33" s="320"/>
      <c r="U33" s="319"/>
      <c r="V33" s="320"/>
      <c r="W33" s="320"/>
      <c r="X33" s="320"/>
      <c r="Y33" s="320"/>
      <c r="Z33" s="299"/>
      <c r="AA33" s="299"/>
      <c r="AB33" s="299"/>
      <c r="AC33" s="299"/>
      <c r="AD33" s="299"/>
      <c r="AE33" s="299"/>
      <c r="AF33" s="299"/>
    </row>
    <row r="34" spans="1:32" x14ac:dyDescent="0.35">
      <c r="A34" s="320"/>
      <c r="B34" s="320"/>
      <c r="C34" s="320"/>
      <c r="D34" s="320"/>
      <c r="E34" s="320"/>
      <c r="F34" s="320"/>
      <c r="G34" s="320"/>
      <c r="H34" s="320"/>
      <c r="I34" s="320"/>
      <c r="J34" s="320"/>
      <c r="K34" s="320"/>
      <c r="L34" s="320"/>
      <c r="M34" s="412"/>
      <c r="N34" s="320"/>
      <c r="O34" s="320"/>
      <c r="P34" s="320"/>
      <c r="Q34" s="320"/>
      <c r="R34" s="320"/>
      <c r="S34" s="338"/>
      <c r="T34" s="320"/>
      <c r="U34" s="319"/>
      <c r="V34" s="320"/>
      <c r="W34" s="320"/>
      <c r="X34" s="320"/>
      <c r="Y34" s="320"/>
      <c r="Z34" s="299"/>
      <c r="AA34" s="299"/>
      <c r="AB34" s="299"/>
      <c r="AC34" s="299"/>
      <c r="AD34" s="299"/>
      <c r="AE34" s="299"/>
      <c r="AF34" s="299"/>
    </row>
    <row r="35" spans="1:32" x14ac:dyDescent="0.35">
      <c r="A35" s="320"/>
      <c r="B35" s="320"/>
      <c r="C35" s="320"/>
      <c r="D35" s="320"/>
      <c r="E35" s="320"/>
      <c r="F35" s="320"/>
      <c r="G35" s="320"/>
      <c r="H35" s="320"/>
      <c r="I35" s="320"/>
      <c r="J35" s="320"/>
      <c r="K35" s="320"/>
      <c r="L35" s="320"/>
      <c r="M35" s="412"/>
      <c r="N35" s="320"/>
      <c r="O35" s="320"/>
      <c r="P35" s="320"/>
      <c r="Q35" s="320"/>
      <c r="R35" s="320"/>
      <c r="S35" s="338"/>
      <c r="T35" s="320"/>
      <c r="U35" s="319"/>
      <c r="V35" s="320"/>
      <c r="W35" s="320"/>
      <c r="X35" s="320"/>
      <c r="Y35" s="320"/>
      <c r="Z35" s="299"/>
      <c r="AA35" s="299"/>
      <c r="AB35" s="299"/>
      <c r="AC35" s="299"/>
      <c r="AD35" s="299"/>
      <c r="AE35" s="299"/>
      <c r="AF35" s="299"/>
    </row>
    <row r="36" spans="1:32" x14ac:dyDescent="0.35">
      <c r="A36" s="320"/>
      <c r="B36" s="320"/>
      <c r="C36" s="320"/>
      <c r="D36" s="320"/>
      <c r="E36" s="320"/>
      <c r="F36" s="320"/>
      <c r="G36" s="320"/>
      <c r="H36" s="320"/>
      <c r="I36" s="320"/>
      <c r="J36" s="320"/>
      <c r="K36" s="320"/>
      <c r="L36" s="320"/>
      <c r="M36" s="412"/>
      <c r="N36" s="320"/>
      <c r="O36" s="320"/>
      <c r="P36" s="320"/>
      <c r="Q36" s="320"/>
      <c r="R36" s="320"/>
      <c r="S36" s="338"/>
      <c r="T36" s="320"/>
      <c r="U36" s="319"/>
      <c r="V36" s="320"/>
      <c r="W36" s="320"/>
      <c r="X36" s="320"/>
      <c r="Y36" s="320"/>
      <c r="Z36" s="299"/>
      <c r="AA36" s="299"/>
      <c r="AB36" s="299"/>
      <c r="AC36" s="299"/>
      <c r="AD36" s="299"/>
      <c r="AE36" s="299"/>
      <c r="AF36" s="299"/>
    </row>
    <row r="37" spans="1:32" x14ac:dyDescent="0.35">
      <c r="A37" s="320"/>
      <c r="B37" s="320"/>
      <c r="C37" s="320"/>
      <c r="D37" s="320"/>
      <c r="E37" s="320"/>
      <c r="F37" s="320"/>
      <c r="G37" s="320"/>
      <c r="H37" s="320"/>
      <c r="I37" s="320"/>
      <c r="J37" s="320"/>
      <c r="K37" s="320"/>
      <c r="L37" s="320"/>
      <c r="M37" s="412"/>
      <c r="N37" s="320"/>
      <c r="O37" s="320"/>
      <c r="P37" s="320"/>
      <c r="Q37" s="320"/>
      <c r="R37" s="320"/>
      <c r="S37" s="338"/>
      <c r="T37" s="320"/>
      <c r="U37" s="319"/>
      <c r="V37" s="320"/>
      <c r="W37" s="320"/>
      <c r="X37" s="320"/>
      <c r="Y37" s="320"/>
      <c r="Z37" s="299"/>
      <c r="AA37" s="299"/>
      <c r="AB37" s="299"/>
      <c r="AC37" s="299"/>
      <c r="AD37" s="299"/>
      <c r="AE37" s="299"/>
      <c r="AF37" s="299"/>
    </row>
    <row r="38" spans="1:32" x14ac:dyDescent="0.35">
      <c r="A38" s="320"/>
      <c r="B38" s="320"/>
      <c r="C38" s="320"/>
      <c r="D38" s="320"/>
      <c r="E38" s="320"/>
      <c r="F38" s="320"/>
      <c r="G38" s="320"/>
      <c r="H38" s="320"/>
      <c r="I38" s="320"/>
      <c r="J38" s="320"/>
      <c r="K38" s="320"/>
      <c r="L38" s="320"/>
      <c r="M38" s="412"/>
      <c r="N38" s="320"/>
      <c r="O38" s="320"/>
      <c r="P38" s="320"/>
      <c r="Q38" s="320"/>
      <c r="R38" s="320"/>
      <c r="S38" s="338"/>
      <c r="T38" s="320"/>
      <c r="U38" s="319"/>
      <c r="V38" s="320"/>
      <c r="W38" s="320"/>
      <c r="X38" s="320"/>
      <c r="Y38" s="320"/>
      <c r="Z38" s="299"/>
      <c r="AA38" s="299"/>
      <c r="AB38" s="299"/>
      <c r="AC38" s="299"/>
      <c r="AD38" s="299"/>
      <c r="AE38" s="299"/>
      <c r="AF38" s="299"/>
    </row>
    <row r="39" spans="1:32" x14ac:dyDescent="0.35">
      <c r="A39" s="320"/>
      <c r="B39" s="320"/>
      <c r="C39" s="320"/>
      <c r="D39" s="320"/>
      <c r="E39" s="320"/>
      <c r="F39" s="320"/>
      <c r="G39" s="320"/>
      <c r="H39" s="320"/>
      <c r="I39" s="320"/>
      <c r="J39" s="320"/>
      <c r="K39" s="320"/>
      <c r="L39" s="320"/>
      <c r="M39" s="412"/>
      <c r="N39" s="320"/>
      <c r="O39" s="320"/>
      <c r="P39" s="320"/>
      <c r="Q39" s="320"/>
      <c r="R39" s="320"/>
      <c r="S39" s="338"/>
      <c r="T39" s="320"/>
      <c r="U39" s="319"/>
      <c r="V39" s="320"/>
      <c r="W39" s="320"/>
      <c r="X39" s="320"/>
      <c r="Y39" s="320"/>
      <c r="Z39" s="299"/>
      <c r="AA39" s="299"/>
      <c r="AB39" s="299"/>
      <c r="AC39" s="299"/>
      <c r="AD39" s="299"/>
      <c r="AE39" s="299"/>
      <c r="AF39" s="299"/>
    </row>
    <row r="40" spans="1:32" x14ac:dyDescent="0.35">
      <c r="A40" s="320"/>
      <c r="B40" s="320"/>
      <c r="C40" s="320"/>
      <c r="D40" s="320"/>
      <c r="E40" s="320"/>
      <c r="F40" s="320"/>
      <c r="G40" s="320"/>
      <c r="H40" s="320"/>
      <c r="I40" s="320"/>
      <c r="J40" s="320"/>
      <c r="K40" s="320"/>
      <c r="L40" s="320"/>
      <c r="M40" s="412"/>
      <c r="N40" s="320"/>
      <c r="O40" s="320"/>
      <c r="P40" s="320"/>
      <c r="Q40" s="320"/>
      <c r="R40" s="320"/>
      <c r="S40" s="338"/>
      <c r="T40" s="320"/>
      <c r="U40" s="319"/>
      <c r="V40" s="320"/>
      <c r="W40" s="320"/>
      <c r="X40" s="320"/>
      <c r="Y40" s="320"/>
      <c r="Z40" s="299"/>
      <c r="AA40" s="299"/>
      <c r="AB40" s="299"/>
      <c r="AC40" s="299"/>
      <c r="AD40" s="299"/>
      <c r="AE40" s="299"/>
      <c r="AF40" s="299"/>
    </row>
    <row r="41" spans="1:32" x14ac:dyDescent="0.35">
      <c r="A41" s="320"/>
      <c r="B41" s="320"/>
      <c r="C41" s="320"/>
      <c r="D41" s="320"/>
      <c r="E41" s="320"/>
      <c r="F41" s="320"/>
      <c r="G41" s="320"/>
      <c r="H41" s="320"/>
      <c r="I41" s="320"/>
      <c r="J41" s="320"/>
      <c r="K41" s="320"/>
      <c r="L41" s="320"/>
      <c r="M41" s="412"/>
      <c r="N41" s="320"/>
      <c r="O41" s="320"/>
      <c r="P41" s="320"/>
      <c r="Q41" s="320"/>
      <c r="R41" s="320"/>
      <c r="S41" s="338"/>
      <c r="T41" s="320"/>
      <c r="U41" s="319"/>
      <c r="V41" s="320"/>
      <c r="W41" s="320"/>
      <c r="X41" s="320"/>
      <c r="Y41" s="320"/>
      <c r="Z41" s="299"/>
      <c r="AA41" s="299"/>
      <c r="AB41" s="299"/>
      <c r="AC41" s="299"/>
      <c r="AD41" s="299"/>
      <c r="AE41" s="299"/>
      <c r="AF41" s="299"/>
    </row>
    <row r="42" spans="1:32" x14ac:dyDescent="0.35">
      <c r="A42" s="320"/>
      <c r="B42" s="320"/>
      <c r="C42" s="320"/>
      <c r="D42" s="320"/>
      <c r="E42" s="320"/>
      <c r="F42" s="320"/>
      <c r="G42" s="320"/>
      <c r="H42" s="320"/>
      <c r="I42" s="320"/>
      <c r="J42" s="320"/>
      <c r="K42" s="320"/>
      <c r="L42" s="320"/>
      <c r="M42" s="412"/>
      <c r="N42" s="320"/>
      <c r="O42" s="320"/>
      <c r="P42" s="320"/>
      <c r="Q42" s="320"/>
      <c r="R42" s="320"/>
      <c r="S42" s="338"/>
      <c r="T42" s="320"/>
      <c r="U42" s="319"/>
      <c r="V42" s="320"/>
      <c r="W42" s="320"/>
      <c r="X42" s="320"/>
      <c r="Y42" s="320"/>
      <c r="Z42" s="299"/>
      <c r="AA42" s="299"/>
      <c r="AB42" s="299"/>
      <c r="AC42" s="299"/>
      <c r="AD42" s="299"/>
      <c r="AE42" s="299"/>
      <c r="AF42" s="299"/>
    </row>
    <row r="43" spans="1:32" x14ac:dyDescent="0.35">
      <c r="A43" s="320"/>
      <c r="B43" s="320"/>
      <c r="C43" s="320"/>
      <c r="D43" s="320"/>
      <c r="E43" s="320"/>
      <c r="F43" s="320"/>
      <c r="G43" s="320"/>
      <c r="H43" s="320"/>
      <c r="I43" s="320"/>
      <c r="J43" s="320"/>
      <c r="K43" s="320"/>
      <c r="L43" s="320"/>
      <c r="M43" s="412"/>
      <c r="N43" s="320"/>
      <c r="O43" s="320"/>
      <c r="P43" s="320"/>
      <c r="Q43" s="320"/>
      <c r="R43" s="320"/>
      <c r="S43" s="338"/>
      <c r="T43" s="320"/>
      <c r="U43" s="319"/>
      <c r="V43" s="320"/>
      <c r="W43" s="320"/>
      <c r="X43" s="320"/>
      <c r="Y43" s="320"/>
      <c r="Z43" s="299"/>
      <c r="AA43" s="299"/>
      <c r="AB43" s="299"/>
      <c r="AC43" s="299"/>
      <c r="AD43" s="299"/>
      <c r="AE43" s="299"/>
      <c r="AF43" s="299"/>
    </row>
    <row r="44" spans="1:32" x14ac:dyDescent="0.35">
      <c r="A44" s="320"/>
      <c r="B44" s="320"/>
      <c r="C44" s="320"/>
      <c r="D44" s="320"/>
      <c r="E44" s="320"/>
      <c r="F44" s="320"/>
      <c r="G44" s="320"/>
      <c r="H44" s="320"/>
      <c r="I44" s="320"/>
      <c r="J44" s="320"/>
      <c r="K44" s="320"/>
      <c r="L44" s="320"/>
      <c r="M44" s="412"/>
      <c r="N44" s="320"/>
      <c r="O44" s="320"/>
      <c r="P44" s="320"/>
      <c r="Q44" s="320"/>
      <c r="R44" s="320"/>
      <c r="S44" s="338"/>
      <c r="T44" s="320"/>
      <c r="U44" s="319"/>
      <c r="V44" s="320"/>
      <c r="W44" s="320"/>
      <c r="X44" s="320"/>
      <c r="Y44" s="320"/>
      <c r="Z44" s="299"/>
      <c r="AA44" s="299"/>
      <c r="AB44" s="299"/>
      <c r="AC44" s="299"/>
      <c r="AD44" s="299"/>
      <c r="AE44" s="299"/>
      <c r="AF44" s="299"/>
    </row>
    <row r="45" spans="1:32" x14ac:dyDescent="0.35">
      <c r="A45" s="320"/>
      <c r="B45" s="320"/>
      <c r="C45" s="320"/>
      <c r="D45" s="320"/>
      <c r="E45" s="320"/>
      <c r="F45" s="320"/>
      <c r="G45" s="320"/>
      <c r="H45" s="320"/>
      <c r="I45" s="320"/>
      <c r="J45" s="320"/>
      <c r="K45" s="320"/>
      <c r="L45" s="320"/>
      <c r="M45" s="412"/>
      <c r="N45" s="320"/>
      <c r="O45" s="320"/>
      <c r="P45" s="320"/>
      <c r="Q45" s="320"/>
      <c r="R45" s="320"/>
      <c r="S45" s="338"/>
      <c r="T45" s="320"/>
      <c r="U45" s="319"/>
      <c r="V45" s="320"/>
      <c r="W45" s="320"/>
      <c r="X45" s="320"/>
      <c r="Y45" s="320"/>
      <c r="Z45" s="299"/>
      <c r="AA45" s="299"/>
      <c r="AB45" s="299"/>
      <c r="AC45" s="299"/>
      <c r="AD45" s="299"/>
      <c r="AE45" s="299"/>
      <c r="AF45" s="299"/>
    </row>
    <row r="46" spans="1:32" x14ac:dyDescent="0.35">
      <c r="A46" s="320"/>
      <c r="B46" s="320"/>
      <c r="C46" s="320"/>
      <c r="D46" s="320"/>
      <c r="E46" s="320"/>
      <c r="F46" s="320"/>
      <c r="G46" s="320"/>
      <c r="H46" s="320"/>
      <c r="I46" s="320"/>
      <c r="J46" s="320"/>
      <c r="K46" s="320"/>
      <c r="L46" s="320"/>
      <c r="M46" s="412"/>
      <c r="N46" s="320"/>
      <c r="O46" s="320"/>
      <c r="P46" s="320"/>
      <c r="Q46" s="320"/>
      <c r="R46" s="320"/>
      <c r="S46" s="338"/>
      <c r="T46" s="320"/>
      <c r="U46" s="319"/>
      <c r="V46" s="320"/>
      <c r="W46" s="320"/>
      <c r="X46" s="320"/>
      <c r="Y46" s="320"/>
      <c r="Z46" s="299"/>
      <c r="AA46" s="299"/>
      <c r="AB46" s="299"/>
      <c r="AC46" s="299"/>
      <c r="AD46" s="299"/>
      <c r="AE46" s="299"/>
      <c r="AF46" s="299"/>
    </row>
    <row r="47" spans="1:32" x14ac:dyDescent="0.35">
      <c r="A47" s="320"/>
      <c r="B47" s="320"/>
      <c r="C47" s="320"/>
      <c r="D47" s="320"/>
      <c r="E47" s="320"/>
      <c r="F47" s="320"/>
      <c r="G47" s="320"/>
      <c r="H47" s="320"/>
      <c r="I47" s="320"/>
      <c r="J47" s="320"/>
      <c r="K47" s="320"/>
      <c r="L47" s="320"/>
      <c r="M47" s="412"/>
      <c r="N47" s="320"/>
      <c r="O47" s="320"/>
      <c r="P47" s="320"/>
      <c r="Q47" s="320"/>
      <c r="R47" s="320"/>
      <c r="S47" s="338"/>
      <c r="T47" s="320"/>
      <c r="U47" s="319"/>
      <c r="V47" s="320"/>
      <c r="W47" s="320"/>
      <c r="X47" s="320"/>
      <c r="Y47" s="320"/>
      <c r="Z47" s="299"/>
      <c r="AA47" s="299"/>
      <c r="AB47" s="299"/>
      <c r="AC47" s="299"/>
      <c r="AD47" s="299"/>
      <c r="AE47" s="299"/>
      <c r="AF47" s="299"/>
    </row>
    <row r="48" spans="1:32" x14ac:dyDescent="0.35">
      <c r="A48" s="320"/>
      <c r="B48" s="320"/>
      <c r="C48" s="320"/>
      <c r="D48" s="320"/>
      <c r="E48" s="320"/>
      <c r="F48" s="320"/>
      <c r="G48" s="320"/>
      <c r="H48" s="320"/>
      <c r="I48" s="320"/>
      <c r="J48" s="320"/>
      <c r="K48" s="320"/>
      <c r="L48" s="320"/>
      <c r="M48" s="412"/>
      <c r="N48" s="320"/>
      <c r="O48" s="320"/>
      <c r="P48" s="320"/>
      <c r="Q48" s="320"/>
      <c r="R48" s="320"/>
      <c r="S48" s="338"/>
      <c r="T48" s="320"/>
      <c r="U48" s="319"/>
      <c r="V48" s="320"/>
      <c r="W48" s="320"/>
      <c r="X48" s="320"/>
      <c r="Y48" s="320"/>
      <c r="Z48" s="299"/>
      <c r="AA48" s="299"/>
      <c r="AB48" s="299"/>
      <c r="AC48" s="299"/>
      <c r="AD48" s="299"/>
      <c r="AE48" s="299"/>
      <c r="AF48" s="299"/>
    </row>
    <row r="49" spans="1:32" x14ac:dyDescent="0.35">
      <c r="A49" s="320"/>
      <c r="B49" s="320"/>
      <c r="C49" s="320"/>
      <c r="D49" s="320"/>
      <c r="E49" s="320"/>
      <c r="F49" s="320"/>
      <c r="G49" s="320"/>
      <c r="H49" s="320"/>
      <c r="I49" s="320"/>
      <c r="J49" s="320"/>
      <c r="K49" s="320"/>
      <c r="L49" s="320"/>
      <c r="M49" s="412"/>
      <c r="N49" s="320"/>
      <c r="O49" s="320"/>
      <c r="P49" s="320"/>
      <c r="Q49" s="320"/>
      <c r="R49" s="320"/>
      <c r="S49" s="338"/>
      <c r="T49" s="320"/>
      <c r="U49" s="319"/>
      <c r="V49" s="320"/>
      <c r="W49" s="320"/>
      <c r="X49" s="320"/>
      <c r="Y49" s="320"/>
      <c r="Z49" s="299"/>
      <c r="AA49" s="299"/>
      <c r="AB49" s="299"/>
      <c r="AC49" s="299"/>
      <c r="AD49" s="299"/>
      <c r="AE49" s="299"/>
      <c r="AF49" s="299"/>
    </row>
    <row r="50" spans="1:32" x14ac:dyDescent="0.35">
      <c r="A50" s="320"/>
      <c r="B50" s="320"/>
      <c r="C50" s="320"/>
      <c r="D50" s="320"/>
      <c r="E50" s="320"/>
      <c r="F50" s="320"/>
      <c r="G50" s="320"/>
      <c r="H50" s="320"/>
      <c r="I50" s="320"/>
      <c r="J50" s="320"/>
      <c r="K50" s="320"/>
      <c r="L50" s="320"/>
      <c r="M50" s="412"/>
      <c r="N50" s="320"/>
      <c r="O50" s="320"/>
      <c r="P50" s="320"/>
      <c r="Q50" s="320"/>
      <c r="R50" s="320"/>
      <c r="S50" s="338"/>
      <c r="T50" s="320"/>
      <c r="U50" s="319"/>
      <c r="V50" s="320"/>
      <c r="W50" s="320"/>
      <c r="X50" s="320"/>
      <c r="Y50" s="320"/>
      <c r="Z50" s="299"/>
      <c r="AA50" s="299"/>
      <c r="AB50" s="299"/>
      <c r="AC50" s="299"/>
      <c r="AD50" s="299"/>
      <c r="AE50" s="299"/>
      <c r="AF50" s="299"/>
    </row>
    <row r="51" spans="1:32" x14ac:dyDescent="0.35">
      <c r="A51" s="320"/>
      <c r="B51" s="320"/>
      <c r="C51" s="320"/>
      <c r="D51" s="320"/>
      <c r="E51" s="320"/>
      <c r="F51" s="320"/>
      <c r="G51" s="320"/>
      <c r="H51" s="320"/>
      <c r="I51" s="320"/>
      <c r="J51" s="320"/>
      <c r="K51" s="320"/>
      <c r="L51" s="320"/>
      <c r="M51" s="412"/>
      <c r="N51" s="320"/>
      <c r="O51" s="320"/>
      <c r="P51" s="320"/>
      <c r="Q51" s="320"/>
      <c r="R51" s="320"/>
      <c r="S51" s="338"/>
      <c r="T51" s="320"/>
      <c r="U51" s="319"/>
      <c r="V51" s="320"/>
      <c r="W51" s="320"/>
      <c r="X51" s="320"/>
      <c r="Y51" s="320"/>
      <c r="Z51" s="299"/>
      <c r="AA51" s="299"/>
      <c r="AB51" s="299"/>
      <c r="AC51" s="299"/>
      <c r="AD51" s="299"/>
      <c r="AE51" s="299"/>
      <c r="AF51" s="299"/>
    </row>
    <row r="52" spans="1:32" x14ac:dyDescent="0.35">
      <c r="A52" s="320"/>
      <c r="B52" s="320"/>
      <c r="C52" s="320"/>
      <c r="D52" s="320"/>
      <c r="E52" s="320"/>
      <c r="F52" s="320"/>
      <c r="G52" s="320"/>
      <c r="H52" s="320"/>
      <c r="I52" s="320"/>
      <c r="J52" s="320"/>
      <c r="K52" s="320"/>
      <c r="L52" s="320"/>
      <c r="M52" s="412"/>
      <c r="N52" s="320"/>
      <c r="O52" s="320"/>
      <c r="P52" s="320"/>
      <c r="Q52" s="320"/>
      <c r="R52" s="320"/>
      <c r="S52" s="338"/>
      <c r="T52" s="320"/>
      <c r="U52" s="319"/>
      <c r="V52" s="320"/>
      <c r="W52" s="320"/>
      <c r="X52" s="320"/>
      <c r="Y52" s="320"/>
      <c r="Z52" s="299"/>
      <c r="AA52" s="299"/>
      <c r="AB52" s="299"/>
      <c r="AC52" s="299"/>
      <c r="AD52" s="299"/>
      <c r="AE52" s="299"/>
      <c r="AF52" s="299"/>
    </row>
    <row r="53" spans="1:32" x14ac:dyDescent="0.35">
      <c r="A53" s="320"/>
      <c r="B53" s="320"/>
      <c r="C53" s="320"/>
      <c r="D53" s="320"/>
      <c r="E53" s="320"/>
      <c r="F53" s="320"/>
      <c r="G53" s="320"/>
      <c r="H53" s="320"/>
      <c r="I53" s="320"/>
      <c r="J53" s="320"/>
      <c r="K53" s="320"/>
      <c r="L53" s="320"/>
      <c r="M53" s="412"/>
      <c r="N53" s="320"/>
      <c r="O53" s="320"/>
      <c r="P53" s="320"/>
      <c r="Q53" s="320"/>
      <c r="R53" s="320"/>
      <c r="S53" s="338"/>
      <c r="T53" s="320"/>
      <c r="U53" s="319"/>
      <c r="V53" s="320"/>
      <c r="W53" s="320"/>
      <c r="X53" s="320"/>
      <c r="Y53" s="320"/>
      <c r="Z53" s="299"/>
      <c r="AA53" s="299"/>
      <c r="AB53" s="299"/>
      <c r="AC53" s="299"/>
      <c r="AD53" s="299"/>
      <c r="AE53" s="299"/>
      <c r="AF53" s="299"/>
    </row>
    <row r="54" spans="1:32" x14ac:dyDescent="0.35">
      <c r="A54" s="320"/>
      <c r="B54" s="320"/>
      <c r="C54" s="320"/>
      <c r="D54" s="320"/>
      <c r="E54" s="320"/>
      <c r="F54" s="320"/>
      <c r="G54" s="320"/>
      <c r="H54" s="320"/>
      <c r="I54" s="320"/>
      <c r="J54" s="320"/>
      <c r="K54" s="320"/>
      <c r="L54" s="320"/>
      <c r="M54" s="412"/>
      <c r="N54" s="320"/>
      <c r="O54" s="320"/>
      <c r="P54" s="320"/>
      <c r="Q54" s="320"/>
      <c r="R54" s="320"/>
      <c r="S54" s="338"/>
      <c r="T54" s="320"/>
      <c r="U54" s="319"/>
      <c r="V54" s="320"/>
      <c r="W54" s="320"/>
      <c r="X54" s="320"/>
      <c r="Y54" s="320"/>
      <c r="Z54" s="299"/>
      <c r="AA54" s="299"/>
      <c r="AB54" s="299"/>
      <c r="AC54" s="299"/>
      <c r="AD54" s="299"/>
      <c r="AE54" s="299"/>
      <c r="AF54" s="299"/>
    </row>
    <row r="55" spans="1:32" x14ac:dyDescent="0.35">
      <c r="A55" s="320"/>
      <c r="B55" s="320"/>
      <c r="C55" s="320"/>
      <c r="D55" s="320"/>
      <c r="E55" s="320"/>
      <c r="F55" s="320"/>
      <c r="G55" s="320"/>
      <c r="H55" s="320"/>
      <c r="I55" s="320"/>
      <c r="J55" s="320"/>
      <c r="K55" s="320"/>
      <c r="L55" s="320"/>
      <c r="M55" s="412"/>
      <c r="N55" s="320"/>
      <c r="O55" s="320"/>
      <c r="P55" s="320"/>
      <c r="Q55" s="320"/>
      <c r="R55" s="320"/>
      <c r="S55" s="338"/>
      <c r="T55" s="320"/>
      <c r="U55" s="319"/>
      <c r="V55" s="320"/>
      <c r="W55" s="320"/>
      <c r="X55" s="320"/>
      <c r="Y55" s="320"/>
      <c r="Z55" s="299"/>
      <c r="AA55" s="299"/>
      <c r="AB55" s="299"/>
      <c r="AC55" s="299"/>
      <c r="AD55" s="299"/>
      <c r="AE55" s="299"/>
      <c r="AF55" s="299"/>
    </row>
    <row r="56" spans="1:32" x14ac:dyDescent="0.35">
      <c r="A56" s="320"/>
      <c r="B56" s="320"/>
      <c r="C56" s="320"/>
      <c r="D56" s="320"/>
      <c r="E56" s="320"/>
      <c r="F56" s="320"/>
      <c r="G56" s="320"/>
      <c r="H56" s="320"/>
      <c r="I56" s="320"/>
      <c r="J56" s="320"/>
      <c r="K56" s="320"/>
      <c r="L56" s="320"/>
      <c r="M56" s="412"/>
      <c r="N56" s="320"/>
      <c r="O56" s="320"/>
      <c r="P56" s="320"/>
      <c r="Q56" s="320"/>
      <c r="R56" s="320"/>
      <c r="S56" s="338"/>
      <c r="T56" s="320"/>
      <c r="U56" s="319"/>
      <c r="V56" s="320"/>
      <c r="W56" s="320"/>
      <c r="X56" s="320"/>
      <c r="Y56" s="320"/>
      <c r="Z56" s="299"/>
      <c r="AA56" s="299"/>
      <c r="AB56" s="299"/>
      <c r="AC56" s="299"/>
      <c r="AD56" s="299"/>
      <c r="AE56" s="299"/>
      <c r="AF56" s="299"/>
    </row>
    <row r="57" spans="1:32" x14ac:dyDescent="0.35">
      <c r="A57" s="320"/>
      <c r="B57" s="320"/>
      <c r="C57" s="320"/>
      <c r="D57" s="320"/>
      <c r="E57" s="320"/>
      <c r="F57" s="320"/>
      <c r="G57" s="320"/>
      <c r="H57" s="320"/>
      <c r="I57" s="320"/>
      <c r="J57" s="320"/>
      <c r="K57" s="320"/>
      <c r="L57" s="320"/>
      <c r="M57" s="412"/>
      <c r="N57" s="320"/>
      <c r="O57" s="320"/>
      <c r="P57" s="320"/>
      <c r="Q57" s="320"/>
      <c r="R57" s="320"/>
      <c r="S57" s="338"/>
      <c r="T57" s="320"/>
      <c r="U57" s="319"/>
      <c r="V57" s="320"/>
      <c r="W57" s="320"/>
      <c r="X57" s="320"/>
      <c r="Y57" s="320"/>
      <c r="Z57" s="299"/>
      <c r="AA57" s="299"/>
      <c r="AB57" s="299"/>
      <c r="AC57" s="299"/>
      <c r="AD57" s="299"/>
      <c r="AE57" s="299"/>
      <c r="AF57" s="299"/>
    </row>
    <row r="58" spans="1:32" x14ac:dyDescent="0.35">
      <c r="A58" s="320"/>
      <c r="B58" s="320"/>
      <c r="C58" s="320"/>
      <c r="D58" s="320"/>
      <c r="E58" s="320"/>
      <c r="F58" s="320"/>
      <c r="G58" s="320"/>
      <c r="H58" s="320"/>
      <c r="I58" s="320"/>
      <c r="J58" s="320"/>
      <c r="K58" s="320"/>
      <c r="L58" s="320"/>
      <c r="M58" s="412"/>
      <c r="N58" s="320"/>
      <c r="O58" s="320"/>
      <c r="P58" s="320"/>
      <c r="Q58" s="320"/>
      <c r="R58" s="320"/>
      <c r="S58" s="338"/>
      <c r="T58" s="320"/>
      <c r="U58" s="319"/>
      <c r="V58" s="320"/>
      <c r="W58" s="320"/>
      <c r="X58" s="320"/>
      <c r="Y58" s="320"/>
      <c r="Z58" s="299"/>
      <c r="AA58" s="299"/>
      <c r="AB58" s="299"/>
      <c r="AC58" s="299"/>
      <c r="AD58" s="299"/>
      <c r="AE58" s="299"/>
      <c r="AF58" s="299"/>
    </row>
    <row r="59" spans="1:32" x14ac:dyDescent="0.35">
      <c r="A59" s="320"/>
      <c r="B59" s="320"/>
      <c r="C59" s="320"/>
      <c r="D59" s="320"/>
      <c r="E59" s="320"/>
      <c r="F59" s="320"/>
      <c r="G59" s="320"/>
      <c r="H59" s="320"/>
      <c r="I59" s="320"/>
      <c r="J59" s="320"/>
      <c r="K59" s="320"/>
      <c r="L59" s="320"/>
      <c r="M59" s="412"/>
      <c r="N59" s="320"/>
      <c r="O59" s="320"/>
      <c r="P59" s="320"/>
      <c r="Q59" s="320"/>
      <c r="R59" s="320"/>
      <c r="S59" s="338"/>
      <c r="T59" s="320"/>
      <c r="U59" s="319"/>
      <c r="V59" s="320"/>
      <c r="W59" s="320"/>
      <c r="X59" s="320"/>
      <c r="Y59" s="320"/>
      <c r="Z59" s="299"/>
      <c r="AA59" s="299"/>
      <c r="AB59" s="299"/>
      <c r="AC59" s="299"/>
      <c r="AD59" s="299"/>
      <c r="AE59" s="299"/>
      <c r="AF59" s="299"/>
    </row>
    <row r="60" spans="1:32" x14ac:dyDescent="0.35">
      <c r="A60" s="320"/>
      <c r="B60" s="320"/>
      <c r="C60" s="320"/>
      <c r="D60" s="320"/>
      <c r="E60" s="320"/>
      <c r="F60" s="320"/>
      <c r="G60" s="320"/>
      <c r="H60" s="320"/>
      <c r="I60" s="320"/>
      <c r="J60" s="320"/>
      <c r="K60" s="320"/>
      <c r="L60" s="320"/>
      <c r="M60" s="412"/>
      <c r="N60" s="320"/>
      <c r="O60" s="320"/>
      <c r="P60" s="320"/>
      <c r="Q60" s="320"/>
      <c r="R60" s="320"/>
      <c r="S60" s="338"/>
      <c r="T60" s="320"/>
      <c r="U60" s="319"/>
      <c r="V60" s="320"/>
      <c r="W60" s="320"/>
      <c r="X60" s="320"/>
      <c r="Y60" s="320"/>
      <c r="Z60" s="299"/>
      <c r="AA60" s="299"/>
      <c r="AB60" s="299"/>
      <c r="AC60" s="299"/>
      <c r="AD60" s="299"/>
      <c r="AE60" s="299"/>
      <c r="AF60" s="299"/>
    </row>
    <row r="61" spans="1:32" x14ac:dyDescent="0.35">
      <c r="A61" s="320"/>
      <c r="B61" s="320"/>
      <c r="C61" s="320"/>
      <c r="D61" s="320"/>
      <c r="E61" s="320"/>
      <c r="F61" s="320"/>
      <c r="G61" s="320"/>
      <c r="H61" s="320"/>
      <c r="I61" s="320"/>
      <c r="J61" s="320"/>
      <c r="K61" s="320"/>
      <c r="L61" s="320"/>
      <c r="M61" s="412"/>
      <c r="N61" s="320"/>
      <c r="O61" s="319"/>
      <c r="P61" s="319"/>
      <c r="Q61" s="319"/>
      <c r="R61" s="319"/>
      <c r="S61" s="319"/>
      <c r="T61" s="320"/>
      <c r="U61" s="319"/>
      <c r="V61" s="319"/>
      <c r="W61" s="319"/>
      <c r="X61" s="319"/>
      <c r="Y61" s="319"/>
      <c r="Z61" s="299"/>
      <c r="AA61" s="299"/>
      <c r="AB61" s="299"/>
      <c r="AC61" s="299"/>
      <c r="AD61" s="299"/>
      <c r="AE61" s="299"/>
      <c r="AF61" s="299"/>
    </row>
    <row r="62" spans="1:32" x14ac:dyDescent="0.35">
      <c r="A62" s="338"/>
      <c r="B62" s="319"/>
      <c r="C62" s="319"/>
      <c r="D62" s="319"/>
      <c r="E62" s="331"/>
      <c r="F62" s="319"/>
      <c r="G62" s="319"/>
      <c r="H62" s="319"/>
      <c r="I62" s="319"/>
      <c r="J62" s="319"/>
      <c r="K62" s="319"/>
      <c r="L62" s="319"/>
      <c r="M62" s="413"/>
      <c r="N62" s="319"/>
      <c r="O62" s="319"/>
      <c r="P62" s="319"/>
      <c r="Q62" s="319"/>
      <c r="R62" s="319"/>
      <c r="S62" s="319"/>
      <c r="T62" s="319"/>
      <c r="U62" s="319"/>
      <c r="V62" s="319"/>
      <c r="W62" s="319"/>
      <c r="X62" s="319"/>
      <c r="Y62" s="319"/>
      <c r="Z62" s="299"/>
      <c r="AA62" s="299"/>
      <c r="AB62" s="299"/>
      <c r="AC62" s="299"/>
      <c r="AD62" s="299"/>
      <c r="AE62" s="299"/>
      <c r="AF62" s="299"/>
    </row>
    <row r="63" spans="1:32" x14ac:dyDescent="0.35">
      <c r="A63" s="338"/>
      <c r="B63" s="319"/>
      <c r="C63" s="319"/>
      <c r="D63" s="319"/>
      <c r="E63" s="331"/>
      <c r="F63" s="319"/>
      <c r="G63" s="319"/>
      <c r="H63" s="319"/>
      <c r="I63" s="319"/>
      <c r="J63" s="319"/>
      <c r="K63" s="319"/>
      <c r="L63" s="319"/>
      <c r="M63" s="413"/>
      <c r="N63" s="319"/>
      <c r="O63" s="319"/>
      <c r="P63" s="319"/>
      <c r="Q63" s="319"/>
      <c r="R63" s="319"/>
      <c r="S63" s="319"/>
      <c r="T63" s="319"/>
      <c r="U63" s="319"/>
      <c r="V63" s="319"/>
      <c r="W63" s="319"/>
      <c r="X63" s="319"/>
      <c r="Y63" s="319"/>
      <c r="Z63" s="299"/>
      <c r="AA63" s="299"/>
      <c r="AB63" s="299"/>
      <c r="AC63" s="299"/>
      <c r="AD63" s="299"/>
      <c r="AE63" s="299"/>
      <c r="AF63" s="299"/>
    </row>
    <row r="64" spans="1:32" x14ac:dyDescent="0.35">
      <c r="A64" s="338"/>
      <c r="B64" s="319"/>
      <c r="C64" s="319"/>
      <c r="D64" s="319"/>
      <c r="E64" s="331"/>
      <c r="F64" s="319"/>
      <c r="G64" s="319"/>
      <c r="H64" s="319"/>
      <c r="I64" s="319"/>
      <c r="J64" s="319"/>
      <c r="K64" s="319"/>
      <c r="L64" s="319"/>
      <c r="M64" s="413"/>
      <c r="N64" s="319"/>
      <c r="O64" s="319"/>
      <c r="P64" s="319"/>
      <c r="Q64" s="319"/>
      <c r="R64" s="319"/>
      <c r="S64" s="319"/>
      <c r="T64" s="319"/>
      <c r="U64" s="319"/>
      <c r="V64" s="319"/>
      <c r="W64" s="319"/>
      <c r="X64" s="319"/>
      <c r="Y64" s="319"/>
      <c r="Z64" s="299"/>
      <c r="AA64" s="299"/>
      <c r="AB64" s="299"/>
      <c r="AC64" s="299"/>
      <c r="AD64" s="299"/>
      <c r="AE64" s="299"/>
      <c r="AF64" s="299"/>
    </row>
    <row r="65" spans="1:32" x14ac:dyDescent="0.35">
      <c r="A65" s="338"/>
      <c r="B65" s="319"/>
      <c r="C65" s="319"/>
      <c r="D65" s="319"/>
      <c r="E65" s="331"/>
      <c r="F65" s="319"/>
      <c r="G65" s="319"/>
      <c r="H65" s="319"/>
      <c r="I65" s="319"/>
      <c r="J65" s="319"/>
      <c r="K65" s="319"/>
      <c r="L65" s="319"/>
      <c r="M65" s="413"/>
      <c r="N65" s="319"/>
      <c r="O65" s="319"/>
      <c r="P65" s="319"/>
      <c r="Q65" s="319"/>
      <c r="R65" s="319"/>
      <c r="S65" s="319"/>
      <c r="T65" s="319"/>
      <c r="U65" s="319"/>
      <c r="V65" s="319"/>
      <c r="W65" s="319"/>
      <c r="X65" s="319"/>
      <c r="Y65" s="319"/>
      <c r="Z65" s="299"/>
      <c r="AA65" s="299"/>
      <c r="AB65" s="299"/>
      <c r="AC65" s="299"/>
      <c r="AD65" s="299"/>
      <c r="AE65" s="299"/>
      <c r="AF65" s="299"/>
    </row>
    <row r="66" spans="1:32" x14ac:dyDescent="0.35">
      <c r="A66" s="338"/>
      <c r="B66" s="319"/>
      <c r="C66" s="319"/>
      <c r="D66" s="319"/>
      <c r="E66" s="331"/>
      <c r="F66" s="319"/>
      <c r="G66" s="319"/>
      <c r="H66" s="319"/>
      <c r="I66" s="319"/>
      <c r="J66" s="319"/>
      <c r="K66" s="319"/>
      <c r="L66" s="319"/>
      <c r="M66" s="413"/>
      <c r="N66" s="319"/>
      <c r="O66" s="319"/>
      <c r="P66" s="319"/>
      <c r="Q66" s="319"/>
      <c r="R66" s="319"/>
      <c r="S66" s="319"/>
      <c r="T66" s="319"/>
      <c r="U66" s="319"/>
      <c r="V66" s="319"/>
      <c r="W66" s="319"/>
      <c r="X66" s="319"/>
      <c r="Y66" s="319"/>
      <c r="Z66" s="299"/>
      <c r="AA66" s="299"/>
      <c r="AB66" s="299"/>
      <c r="AC66" s="299"/>
      <c r="AD66" s="299"/>
      <c r="AE66" s="299"/>
      <c r="AF66" s="299"/>
    </row>
    <row r="67" spans="1:32" x14ac:dyDescent="0.35">
      <c r="A67" s="338"/>
      <c r="B67" s="319"/>
      <c r="C67" s="319"/>
      <c r="D67" s="319"/>
      <c r="E67" s="331"/>
      <c r="F67" s="319"/>
      <c r="G67" s="319"/>
      <c r="H67" s="319"/>
      <c r="I67" s="319"/>
      <c r="J67" s="319"/>
      <c r="K67" s="319"/>
      <c r="L67" s="319"/>
      <c r="M67" s="413"/>
      <c r="N67" s="319"/>
      <c r="O67" s="319"/>
      <c r="P67" s="319"/>
      <c r="Q67" s="319"/>
      <c r="R67" s="319"/>
      <c r="S67" s="319"/>
      <c r="T67" s="319"/>
      <c r="U67" s="319"/>
      <c r="V67" s="319"/>
      <c r="W67" s="319"/>
      <c r="X67" s="319"/>
      <c r="Y67" s="319"/>
      <c r="Z67" s="299"/>
      <c r="AA67" s="299"/>
      <c r="AB67" s="299"/>
      <c r="AC67" s="299"/>
      <c r="AD67" s="299"/>
      <c r="AE67" s="299"/>
      <c r="AF67" s="299"/>
    </row>
    <row r="68" spans="1:32" x14ac:dyDescent="0.35">
      <c r="A68" s="338"/>
      <c r="B68" s="319"/>
      <c r="C68" s="319"/>
      <c r="D68" s="319"/>
      <c r="E68" s="331"/>
      <c r="F68" s="319"/>
      <c r="G68" s="319"/>
      <c r="H68" s="319"/>
      <c r="I68" s="319"/>
      <c r="J68" s="319"/>
      <c r="K68" s="319"/>
      <c r="L68" s="319"/>
      <c r="M68" s="413"/>
      <c r="N68" s="319"/>
      <c r="O68" s="319"/>
      <c r="P68" s="319"/>
      <c r="Q68" s="319"/>
      <c r="R68" s="319"/>
      <c r="S68" s="319"/>
      <c r="T68" s="319"/>
      <c r="U68" s="319"/>
      <c r="V68" s="319"/>
      <c r="W68" s="319"/>
      <c r="X68" s="319"/>
      <c r="Y68" s="319"/>
      <c r="Z68" s="299"/>
      <c r="AA68" s="299"/>
      <c r="AB68" s="299"/>
      <c r="AC68" s="299"/>
      <c r="AD68" s="299"/>
      <c r="AE68" s="299"/>
      <c r="AF68" s="299"/>
    </row>
    <row r="69" spans="1:32" x14ac:dyDescent="0.35">
      <c r="A69" s="338"/>
      <c r="B69" s="319"/>
      <c r="C69" s="319"/>
      <c r="D69" s="319"/>
      <c r="E69" s="331"/>
      <c r="F69" s="319"/>
      <c r="G69" s="319"/>
      <c r="H69" s="319"/>
      <c r="I69" s="319"/>
      <c r="J69" s="319"/>
      <c r="K69" s="319"/>
      <c r="L69" s="319"/>
      <c r="M69" s="413"/>
      <c r="N69" s="319"/>
      <c r="O69" s="319"/>
      <c r="P69" s="319"/>
      <c r="Q69" s="319"/>
      <c r="R69" s="319"/>
      <c r="S69" s="319"/>
      <c r="T69" s="319"/>
      <c r="U69" s="319"/>
      <c r="V69" s="319"/>
      <c r="W69" s="319"/>
      <c r="X69" s="319"/>
      <c r="Y69" s="319"/>
      <c r="Z69" s="299"/>
      <c r="AA69" s="299"/>
      <c r="AB69" s="299"/>
      <c r="AC69" s="299"/>
      <c r="AD69" s="299"/>
      <c r="AE69" s="299"/>
      <c r="AF69" s="299"/>
    </row>
    <row r="70" spans="1:32" x14ac:dyDescent="0.35">
      <c r="A70" s="338"/>
      <c r="B70" s="319"/>
      <c r="C70" s="319"/>
      <c r="D70" s="319"/>
      <c r="E70" s="331"/>
      <c r="F70" s="319"/>
      <c r="G70" s="319"/>
      <c r="H70" s="319"/>
      <c r="I70" s="319"/>
      <c r="J70" s="319"/>
      <c r="K70" s="319"/>
      <c r="L70" s="319"/>
      <c r="M70" s="413"/>
      <c r="N70" s="319"/>
      <c r="O70" s="319"/>
      <c r="P70" s="319"/>
      <c r="Q70" s="319"/>
      <c r="R70" s="319"/>
      <c r="S70" s="319"/>
      <c r="T70" s="319"/>
      <c r="U70" s="319"/>
      <c r="V70" s="319"/>
      <c r="W70" s="319"/>
      <c r="X70" s="319"/>
      <c r="Y70" s="319"/>
      <c r="Z70" s="299"/>
      <c r="AA70" s="299"/>
      <c r="AB70" s="299"/>
      <c r="AC70" s="299"/>
      <c r="AD70" s="299"/>
      <c r="AE70" s="299"/>
      <c r="AF70" s="299"/>
    </row>
    <row r="71" spans="1:32" x14ac:dyDescent="0.35">
      <c r="A71" s="338"/>
      <c r="B71" s="319"/>
      <c r="C71" s="319"/>
      <c r="D71" s="319"/>
      <c r="E71" s="331"/>
      <c r="F71" s="319"/>
      <c r="G71" s="319"/>
      <c r="H71" s="319"/>
      <c r="I71" s="319"/>
      <c r="J71" s="319"/>
      <c r="K71" s="319"/>
      <c r="L71" s="319"/>
      <c r="M71" s="413"/>
      <c r="N71" s="319"/>
      <c r="O71" s="319"/>
      <c r="P71" s="319"/>
      <c r="Q71" s="319"/>
      <c r="R71" s="319"/>
      <c r="S71" s="319"/>
      <c r="T71" s="319"/>
      <c r="U71" s="319"/>
      <c r="V71" s="319"/>
      <c r="W71" s="319"/>
      <c r="X71" s="319"/>
      <c r="Y71" s="319"/>
      <c r="Z71" s="299"/>
      <c r="AA71" s="299"/>
      <c r="AB71" s="299"/>
      <c r="AC71" s="299"/>
      <c r="AD71" s="299"/>
      <c r="AE71" s="299"/>
      <c r="AF71" s="299"/>
    </row>
    <row r="72" spans="1:32" x14ac:dyDescent="0.35">
      <c r="A72" s="338"/>
      <c r="B72" s="319"/>
      <c r="C72" s="319"/>
      <c r="D72" s="319"/>
      <c r="E72" s="331"/>
      <c r="F72" s="319"/>
      <c r="G72" s="319"/>
      <c r="H72" s="319"/>
      <c r="I72" s="319"/>
      <c r="J72" s="319"/>
      <c r="K72" s="319"/>
      <c r="L72" s="319"/>
      <c r="M72" s="413"/>
      <c r="N72" s="319"/>
      <c r="O72" s="319"/>
      <c r="P72" s="319"/>
      <c r="Q72" s="319"/>
      <c r="R72" s="319"/>
      <c r="S72" s="319"/>
      <c r="T72" s="319"/>
      <c r="U72" s="319"/>
      <c r="V72" s="319"/>
      <c r="W72" s="319"/>
      <c r="X72" s="319"/>
      <c r="Y72" s="319"/>
      <c r="Z72" s="299"/>
      <c r="AA72" s="299"/>
      <c r="AB72" s="299"/>
      <c r="AC72" s="299"/>
      <c r="AD72" s="299"/>
      <c r="AE72" s="299"/>
      <c r="AF72" s="299"/>
    </row>
    <row r="73" spans="1:32" x14ac:dyDescent="0.35">
      <c r="A73" s="338"/>
      <c r="B73" s="319"/>
      <c r="C73" s="319"/>
      <c r="D73" s="319"/>
      <c r="E73" s="331"/>
      <c r="F73" s="319"/>
      <c r="G73" s="319"/>
      <c r="H73" s="319"/>
      <c r="I73" s="319"/>
      <c r="J73" s="319"/>
      <c r="K73" s="319"/>
      <c r="L73" s="319"/>
      <c r="M73" s="413"/>
      <c r="N73" s="319"/>
      <c r="O73" s="319"/>
      <c r="P73" s="319"/>
      <c r="Q73" s="319"/>
      <c r="R73" s="319"/>
      <c r="S73" s="319"/>
      <c r="T73" s="319"/>
      <c r="U73" s="319"/>
      <c r="V73" s="319"/>
      <c r="W73" s="319"/>
      <c r="X73" s="319"/>
      <c r="Y73" s="319"/>
      <c r="Z73" s="299"/>
      <c r="AA73" s="299"/>
      <c r="AB73" s="299"/>
      <c r="AC73" s="299"/>
      <c r="AD73" s="299"/>
      <c r="AE73" s="299"/>
      <c r="AF73" s="299"/>
    </row>
    <row r="74" spans="1:32" x14ac:dyDescent="0.35">
      <c r="A74" s="338"/>
      <c r="B74" s="319"/>
      <c r="C74" s="319"/>
      <c r="D74" s="319"/>
      <c r="E74" s="331"/>
      <c r="F74" s="319"/>
      <c r="G74" s="319"/>
      <c r="H74" s="319"/>
      <c r="I74" s="319"/>
      <c r="J74" s="319"/>
      <c r="K74" s="319"/>
      <c r="L74" s="319"/>
      <c r="M74" s="413"/>
      <c r="N74" s="319"/>
      <c r="O74" s="319"/>
      <c r="P74" s="319"/>
      <c r="Q74" s="319"/>
      <c r="R74" s="319"/>
      <c r="S74" s="319"/>
      <c r="T74" s="319"/>
      <c r="U74" s="319"/>
      <c r="V74" s="319"/>
      <c r="W74" s="319"/>
      <c r="X74" s="319"/>
      <c r="Y74" s="319"/>
      <c r="Z74" s="299"/>
      <c r="AA74" s="299"/>
      <c r="AB74" s="299"/>
      <c r="AC74" s="299"/>
      <c r="AD74" s="299"/>
      <c r="AE74" s="299"/>
      <c r="AF74" s="299"/>
    </row>
    <row r="75" spans="1:32" x14ac:dyDescent="0.35">
      <c r="A75" s="338"/>
      <c r="B75" s="319"/>
      <c r="C75" s="319"/>
      <c r="D75" s="319"/>
      <c r="E75" s="331"/>
      <c r="F75" s="319"/>
      <c r="G75" s="319"/>
      <c r="H75" s="319"/>
      <c r="I75" s="319"/>
      <c r="J75" s="319"/>
      <c r="K75" s="319"/>
      <c r="L75" s="319"/>
      <c r="M75" s="413"/>
      <c r="N75" s="319"/>
      <c r="O75" s="319"/>
      <c r="P75" s="319"/>
      <c r="Q75" s="319"/>
      <c r="R75" s="319"/>
      <c r="S75" s="319"/>
      <c r="T75" s="319"/>
      <c r="U75" s="319"/>
      <c r="V75" s="319"/>
      <c r="W75" s="319"/>
      <c r="X75" s="319"/>
      <c r="Y75" s="319"/>
      <c r="Z75" s="299"/>
      <c r="AA75" s="299"/>
      <c r="AB75" s="299"/>
      <c r="AC75" s="299"/>
      <c r="AD75" s="299"/>
      <c r="AE75" s="299"/>
      <c r="AF75" s="299"/>
    </row>
    <row r="76" spans="1:32" x14ac:dyDescent="0.35">
      <c r="A76" s="338"/>
      <c r="B76" s="319"/>
      <c r="C76" s="319"/>
      <c r="D76" s="319"/>
      <c r="E76" s="331"/>
      <c r="F76" s="319"/>
      <c r="G76" s="319"/>
      <c r="H76" s="319"/>
      <c r="I76" s="319"/>
      <c r="J76" s="319"/>
      <c r="K76" s="319"/>
      <c r="L76" s="319"/>
      <c r="M76" s="413"/>
      <c r="N76" s="319"/>
      <c r="O76" s="319"/>
      <c r="P76" s="319"/>
      <c r="Q76" s="319"/>
      <c r="R76" s="319"/>
      <c r="S76" s="319"/>
      <c r="T76" s="319"/>
      <c r="U76" s="319"/>
      <c r="V76" s="319"/>
      <c r="W76" s="319"/>
      <c r="X76" s="319"/>
      <c r="Y76" s="319"/>
      <c r="Z76" s="299"/>
      <c r="AA76" s="299"/>
      <c r="AB76" s="299"/>
      <c r="AC76" s="299"/>
      <c r="AD76" s="299"/>
      <c r="AE76" s="299"/>
      <c r="AF76" s="299"/>
    </row>
    <row r="77" spans="1:32" x14ac:dyDescent="0.35">
      <c r="A77" s="338"/>
      <c r="B77" s="319"/>
      <c r="C77" s="319"/>
      <c r="D77" s="319"/>
      <c r="E77" s="331"/>
      <c r="F77" s="319"/>
      <c r="G77" s="319"/>
      <c r="H77" s="319"/>
      <c r="I77" s="319"/>
      <c r="J77" s="319"/>
      <c r="K77" s="319"/>
      <c r="L77" s="319"/>
      <c r="M77" s="413"/>
      <c r="N77" s="319"/>
      <c r="O77" s="319"/>
      <c r="P77" s="319"/>
      <c r="Q77" s="319"/>
      <c r="R77" s="319"/>
      <c r="S77" s="319"/>
      <c r="T77" s="319"/>
      <c r="U77" s="319"/>
      <c r="V77" s="319"/>
      <c r="W77" s="319"/>
      <c r="X77" s="319"/>
      <c r="Y77" s="319"/>
      <c r="Z77" s="299"/>
      <c r="AA77" s="299"/>
      <c r="AB77" s="299"/>
      <c r="AC77" s="299"/>
      <c r="AD77" s="299"/>
      <c r="AE77" s="299"/>
      <c r="AF77" s="299"/>
    </row>
    <row r="78" spans="1:32" x14ac:dyDescent="0.35">
      <c r="A78" s="338"/>
      <c r="B78" s="319"/>
      <c r="C78" s="319"/>
      <c r="D78" s="319"/>
      <c r="E78" s="331"/>
      <c r="F78" s="319"/>
      <c r="G78" s="319"/>
      <c r="H78" s="319"/>
      <c r="I78" s="319"/>
      <c r="J78" s="319"/>
      <c r="K78" s="319"/>
      <c r="L78" s="319"/>
      <c r="M78" s="413"/>
      <c r="N78" s="319"/>
      <c r="O78" s="319"/>
      <c r="P78" s="319"/>
      <c r="Q78" s="319"/>
      <c r="R78" s="319"/>
      <c r="S78" s="319"/>
      <c r="T78" s="319"/>
      <c r="U78" s="319"/>
      <c r="V78" s="319"/>
      <c r="W78" s="319"/>
      <c r="X78" s="319"/>
      <c r="Y78" s="319"/>
      <c r="Z78" s="299"/>
      <c r="AA78" s="299"/>
      <c r="AB78" s="299"/>
      <c r="AC78" s="299"/>
      <c r="AD78" s="299"/>
      <c r="AE78" s="299"/>
      <c r="AF78" s="299"/>
    </row>
    <row r="79" spans="1:32" x14ac:dyDescent="0.35">
      <c r="A79" s="338"/>
      <c r="B79" s="319"/>
      <c r="C79" s="319"/>
      <c r="D79" s="319"/>
      <c r="E79" s="331"/>
      <c r="F79" s="319"/>
      <c r="G79" s="319"/>
      <c r="H79" s="319"/>
      <c r="I79" s="319"/>
      <c r="J79" s="319"/>
      <c r="K79" s="319"/>
      <c r="L79" s="319"/>
      <c r="M79" s="413"/>
      <c r="N79" s="319"/>
      <c r="O79" s="319"/>
      <c r="P79" s="319"/>
      <c r="Q79" s="319"/>
      <c r="R79" s="319"/>
      <c r="S79" s="319"/>
      <c r="T79" s="319"/>
      <c r="U79" s="319"/>
      <c r="V79" s="319"/>
      <c r="W79" s="319"/>
      <c r="X79" s="319"/>
      <c r="Y79" s="319"/>
      <c r="Z79" s="299"/>
      <c r="AA79" s="299"/>
      <c r="AB79" s="299"/>
      <c r="AC79" s="299"/>
      <c r="AD79" s="299"/>
      <c r="AE79" s="299"/>
      <c r="AF79" s="299"/>
    </row>
    <row r="80" spans="1:32" x14ac:dyDescent="0.35">
      <c r="A80" s="338"/>
      <c r="B80" s="319"/>
      <c r="C80" s="319"/>
      <c r="D80" s="319"/>
      <c r="E80" s="331"/>
      <c r="F80" s="319"/>
      <c r="G80" s="319"/>
      <c r="H80" s="319"/>
      <c r="I80" s="319"/>
      <c r="J80" s="319"/>
      <c r="K80" s="319"/>
      <c r="L80" s="319"/>
      <c r="M80" s="413"/>
      <c r="N80" s="319"/>
      <c r="O80" s="319"/>
      <c r="P80" s="319"/>
      <c r="Q80" s="319"/>
      <c r="R80" s="319"/>
      <c r="S80" s="319"/>
      <c r="T80" s="319"/>
      <c r="U80" s="319"/>
      <c r="V80" s="319"/>
      <c r="W80" s="319"/>
      <c r="X80" s="319"/>
      <c r="Y80" s="319"/>
      <c r="Z80" s="299"/>
      <c r="AA80" s="299"/>
      <c r="AB80" s="299"/>
      <c r="AC80" s="299"/>
      <c r="AD80" s="299"/>
      <c r="AE80" s="299"/>
      <c r="AF80" s="299"/>
    </row>
    <row r="81" spans="1:32" x14ac:dyDescent="0.35">
      <c r="A81" s="338"/>
      <c r="B81" s="319"/>
      <c r="C81" s="319"/>
      <c r="D81" s="319"/>
      <c r="E81" s="331"/>
      <c r="F81" s="319"/>
      <c r="G81" s="319"/>
      <c r="H81" s="319"/>
      <c r="I81" s="319"/>
      <c r="J81" s="319"/>
      <c r="K81" s="319"/>
      <c r="L81" s="319"/>
      <c r="M81" s="413"/>
      <c r="N81" s="319"/>
      <c r="O81" s="319"/>
      <c r="P81" s="319"/>
      <c r="Q81" s="319"/>
      <c r="R81" s="319"/>
      <c r="S81" s="319"/>
      <c r="T81" s="319"/>
      <c r="U81" s="319"/>
      <c r="V81" s="319"/>
      <c r="W81" s="319"/>
      <c r="X81" s="319"/>
      <c r="Y81" s="319"/>
      <c r="Z81" s="299"/>
      <c r="AA81" s="299"/>
      <c r="AB81" s="299"/>
      <c r="AC81" s="299"/>
      <c r="AD81" s="299"/>
      <c r="AE81" s="299"/>
      <c r="AF81" s="299"/>
    </row>
    <row r="82" spans="1:32" x14ac:dyDescent="0.35">
      <c r="A82" s="338"/>
      <c r="B82" s="319"/>
      <c r="C82" s="319"/>
      <c r="D82" s="319"/>
      <c r="E82" s="331"/>
      <c r="F82" s="319"/>
      <c r="G82" s="319"/>
      <c r="H82" s="319"/>
      <c r="I82" s="319"/>
      <c r="J82" s="319"/>
      <c r="K82" s="319"/>
      <c r="L82" s="319"/>
      <c r="M82" s="413"/>
      <c r="N82" s="319"/>
      <c r="O82" s="319"/>
      <c r="P82" s="319"/>
      <c r="Q82" s="319"/>
      <c r="R82" s="319"/>
      <c r="S82" s="319"/>
      <c r="T82" s="319"/>
      <c r="U82" s="319"/>
      <c r="V82" s="319"/>
      <c r="W82" s="319"/>
      <c r="X82" s="319"/>
      <c r="Y82" s="319"/>
      <c r="Z82" s="299"/>
      <c r="AA82" s="299"/>
      <c r="AB82" s="299"/>
      <c r="AC82" s="299"/>
      <c r="AD82" s="299"/>
      <c r="AE82" s="299"/>
      <c r="AF82" s="299"/>
    </row>
    <row r="83" spans="1:32" x14ac:dyDescent="0.35">
      <c r="A83" s="338"/>
      <c r="B83" s="319"/>
      <c r="C83" s="319"/>
      <c r="D83" s="319"/>
      <c r="E83" s="331"/>
      <c r="F83" s="319"/>
      <c r="G83" s="319"/>
      <c r="H83" s="319"/>
      <c r="I83" s="319"/>
      <c r="J83" s="319"/>
      <c r="K83" s="319"/>
      <c r="L83" s="319"/>
      <c r="M83" s="413"/>
      <c r="N83" s="319"/>
      <c r="O83" s="319"/>
      <c r="P83" s="319"/>
      <c r="Q83" s="319"/>
      <c r="R83" s="319"/>
      <c r="S83" s="319"/>
      <c r="T83" s="319"/>
      <c r="U83" s="319"/>
      <c r="V83" s="319"/>
      <c r="W83" s="319"/>
      <c r="X83" s="319"/>
      <c r="Y83" s="319"/>
      <c r="Z83" s="299"/>
      <c r="AA83" s="299"/>
      <c r="AB83" s="299"/>
      <c r="AC83" s="299"/>
      <c r="AD83" s="299"/>
      <c r="AE83" s="299"/>
      <c r="AF83" s="299"/>
    </row>
    <row r="84" spans="1:32" x14ac:dyDescent="0.35">
      <c r="A84" s="338"/>
      <c r="B84" s="319"/>
      <c r="C84" s="319"/>
      <c r="D84" s="319"/>
      <c r="E84" s="331"/>
      <c r="F84" s="319"/>
      <c r="G84" s="319"/>
      <c r="H84" s="319"/>
      <c r="I84" s="319"/>
      <c r="J84" s="319"/>
      <c r="K84" s="319"/>
      <c r="L84" s="319"/>
      <c r="M84" s="413"/>
      <c r="N84" s="319"/>
      <c r="O84" s="319"/>
      <c r="P84" s="319"/>
      <c r="Q84" s="319"/>
      <c r="R84" s="319"/>
      <c r="S84" s="319"/>
      <c r="T84" s="319"/>
      <c r="U84" s="319"/>
      <c r="V84" s="319"/>
      <c r="W84" s="319"/>
      <c r="X84" s="319"/>
      <c r="Y84" s="319"/>
      <c r="Z84" s="299"/>
      <c r="AA84" s="299"/>
      <c r="AB84" s="299"/>
      <c r="AC84" s="299"/>
      <c r="AD84" s="299"/>
      <c r="AE84" s="299"/>
      <c r="AF84" s="299"/>
    </row>
    <row r="85" spans="1:32" x14ac:dyDescent="0.35">
      <c r="A85" s="338"/>
      <c r="B85" s="319"/>
      <c r="C85" s="319"/>
      <c r="D85" s="319"/>
      <c r="E85" s="331"/>
      <c r="F85" s="319"/>
      <c r="G85" s="319"/>
      <c r="H85" s="319"/>
      <c r="I85" s="319"/>
      <c r="J85" s="319"/>
      <c r="K85" s="319"/>
      <c r="L85" s="319"/>
      <c r="M85" s="413"/>
      <c r="N85" s="319"/>
      <c r="O85" s="319"/>
      <c r="P85" s="319"/>
      <c r="Q85" s="319"/>
      <c r="R85" s="319"/>
      <c r="S85" s="319"/>
      <c r="T85" s="319"/>
      <c r="U85" s="319"/>
      <c r="V85" s="319"/>
      <c r="W85" s="319"/>
      <c r="X85" s="319"/>
      <c r="Y85" s="319"/>
      <c r="Z85" s="299"/>
      <c r="AA85" s="299"/>
      <c r="AB85" s="299"/>
      <c r="AC85" s="299"/>
      <c r="AD85" s="299"/>
      <c r="AE85" s="299"/>
      <c r="AF85" s="299"/>
    </row>
    <row r="86" spans="1:32" x14ac:dyDescent="0.35">
      <c r="A86" s="338"/>
      <c r="B86" s="319"/>
      <c r="C86" s="319"/>
      <c r="D86" s="319"/>
      <c r="E86" s="331"/>
      <c r="F86" s="319"/>
      <c r="G86" s="319"/>
      <c r="H86" s="319"/>
      <c r="I86" s="319"/>
      <c r="J86" s="319"/>
      <c r="K86" s="319"/>
      <c r="L86" s="319"/>
      <c r="M86" s="413"/>
      <c r="N86" s="319"/>
      <c r="O86" s="319"/>
      <c r="P86" s="319"/>
      <c r="Q86" s="319"/>
      <c r="R86" s="319"/>
      <c r="S86" s="319"/>
      <c r="T86" s="319"/>
      <c r="U86" s="319"/>
      <c r="V86" s="319"/>
      <c r="W86" s="319"/>
      <c r="X86" s="319"/>
      <c r="Y86" s="319"/>
      <c r="Z86" s="299"/>
      <c r="AA86" s="299"/>
      <c r="AB86" s="299"/>
      <c r="AC86" s="299"/>
      <c r="AD86" s="299"/>
      <c r="AE86" s="299"/>
      <c r="AF86" s="299"/>
    </row>
    <row r="87" spans="1:32" x14ac:dyDescent="0.35">
      <c r="A87" s="338"/>
      <c r="B87" s="319"/>
      <c r="C87" s="319"/>
      <c r="D87" s="319"/>
      <c r="E87" s="331"/>
      <c r="F87" s="319"/>
      <c r="G87" s="319"/>
      <c r="H87" s="319"/>
      <c r="I87" s="319"/>
      <c r="J87" s="319"/>
      <c r="K87" s="319"/>
      <c r="L87" s="319"/>
      <c r="M87" s="413"/>
      <c r="N87" s="319"/>
      <c r="O87" s="319"/>
      <c r="P87" s="319"/>
      <c r="Q87" s="319"/>
      <c r="R87" s="319"/>
      <c r="S87" s="319"/>
      <c r="T87" s="319"/>
      <c r="U87" s="319"/>
      <c r="V87" s="319"/>
      <c r="W87" s="319"/>
      <c r="X87" s="319"/>
      <c r="Y87" s="319"/>
      <c r="Z87" s="299"/>
      <c r="AA87" s="299"/>
      <c r="AB87" s="299"/>
      <c r="AC87" s="299"/>
      <c r="AD87" s="299"/>
      <c r="AE87" s="299"/>
      <c r="AF87" s="299"/>
    </row>
    <row r="88" spans="1:32" x14ac:dyDescent="0.35">
      <c r="A88" s="338"/>
      <c r="B88" s="319"/>
      <c r="C88" s="319"/>
      <c r="D88" s="319"/>
      <c r="E88" s="331"/>
      <c r="F88" s="319"/>
      <c r="G88" s="319"/>
      <c r="H88" s="319"/>
      <c r="I88" s="319"/>
      <c r="J88" s="319"/>
      <c r="K88" s="319"/>
      <c r="L88" s="319"/>
      <c r="M88" s="413"/>
      <c r="N88" s="319"/>
      <c r="O88" s="319"/>
      <c r="P88" s="319"/>
      <c r="Q88" s="319"/>
      <c r="R88" s="319"/>
      <c r="S88" s="319"/>
      <c r="T88" s="319"/>
      <c r="U88" s="319"/>
      <c r="V88" s="319"/>
      <c r="W88" s="319"/>
      <c r="X88" s="319"/>
      <c r="Y88" s="319"/>
      <c r="Z88" s="299"/>
      <c r="AA88" s="299"/>
      <c r="AB88" s="299"/>
      <c r="AC88" s="299"/>
      <c r="AD88" s="299"/>
      <c r="AE88" s="299"/>
      <c r="AF88" s="299"/>
    </row>
    <row r="89" spans="1:32" x14ac:dyDescent="0.35">
      <c r="A89" s="338"/>
      <c r="B89" s="319"/>
      <c r="C89" s="319"/>
      <c r="D89" s="319"/>
      <c r="E89" s="331"/>
      <c r="F89" s="319"/>
      <c r="G89" s="319"/>
      <c r="H89" s="319"/>
      <c r="I89" s="319"/>
      <c r="J89" s="319"/>
      <c r="K89" s="319"/>
      <c r="L89" s="319"/>
      <c r="M89" s="413"/>
      <c r="N89" s="319"/>
      <c r="O89" s="319"/>
      <c r="P89" s="319"/>
      <c r="Q89" s="319"/>
      <c r="R89" s="319"/>
      <c r="S89" s="319"/>
      <c r="T89" s="319"/>
      <c r="U89" s="319"/>
      <c r="V89" s="319"/>
      <c r="W89" s="319"/>
      <c r="X89" s="319"/>
      <c r="Y89" s="319"/>
      <c r="Z89" s="299"/>
      <c r="AA89" s="299"/>
      <c r="AB89" s="299"/>
      <c r="AC89" s="299"/>
      <c r="AD89" s="299"/>
      <c r="AE89" s="299"/>
      <c r="AF89" s="299"/>
    </row>
    <row r="90" spans="1:32" x14ac:dyDescent="0.35">
      <c r="A90" s="338"/>
      <c r="B90" s="319"/>
      <c r="C90" s="319"/>
      <c r="D90" s="319"/>
      <c r="E90" s="331"/>
      <c r="F90" s="319"/>
      <c r="G90" s="319"/>
      <c r="H90" s="319"/>
      <c r="I90" s="319"/>
      <c r="J90" s="319"/>
      <c r="K90" s="319"/>
      <c r="L90" s="319"/>
      <c r="M90" s="413"/>
      <c r="N90" s="319"/>
      <c r="O90" s="319"/>
      <c r="P90" s="319"/>
      <c r="Q90" s="319"/>
      <c r="R90" s="319"/>
      <c r="S90" s="319"/>
      <c r="T90" s="319"/>
      <c r="U90" s="319"/>
      <c r="V90" s="319"/>
      <c r="W90" s="319"/>
      <c r="X90" s="319"/>
      <c r="Y90" s="319"/>
      <c r="Z90" s="299"/>
      <c r="AA90" s="299"/>
      <c r="AB90" s="299"/>
      <c r="AC90" s="299"/>
      <c r="AD90" s="299"/>
      <c r="AE90" s="299"/>
      <c r="AF90" s="299"/>
    </row>
    <row r="91" spans="1:32" x14ac:dyDescent="0.35">
      <c r="A91" s="338"/>
      <c r="B91" s="319"/>
      <c r="C91" s="319"/>
      <c r="D91" s="319"/>
      <c r="E91" s="331"/>
      <c r="F91" s="319"/>
      <c r="G91" s="319"/>
      <c r="H91" s="319"/>
      <c r="I91" s="319"/>
      <c r="J91" s="319"/>
      <c r="K91" s="319"/>
      <c r="L91" s="319"/>
      <c r="M91" s="413"/>
      <c r="N91" s="319"/>
      <c r="O91" s="319"/>
      <c r="P91" s="319"/>
      <c r="Q91" s="319"/>
      <c r="R91" s="319"/>
      <c r="S91" s="319"/>
      <c r="T91" s="319"/>
      <c r="U91" s="319"/>
      <c r="V91" s="319"/>
      <c r="W91" s="319"/>
      <c r="X91" s="319"/>
      <c r="Y91" s="319"/>
      <c r="Z91" s="299"/>
      <c r="AA91" s="299"/>
      <c r="AB91" s="299"/>
      <c r="AC91" s="299"/>
      <c r="AD91" s="299"/>
      <c r="AE91" s="299"/>
      <c r="AF91" s="299"/>
    </row>
    <row r="92" spans="1:32" x14ac:dyDescent="0.35">
      <c r="A92" s="338"/>
      <c r="B92" s="319"/>
      <c r="C92" s="319"/>
      <c r="D92" s="319"/>
      <c r="E92" s="331"/>
      <c r="F92" s="319"/>
      <c r="G92" s="319"/>
      <c r="H92" s="319"/>
      <c r="I92" s="319"/>
      <c r="J92" s="319"/>
      <c r="K92" s="319"/>
      <c r="L92" s="319"/>
      <c r="M92" s="413"/>
      <c r="N92" s="319"/>
      <c r="O92" s="319"/>
      <c r="P92" s="319"/>
      <c r="Q92" s="319"/>
      <c r="R92" s="319"/>
      <c r="S92" s="319"/>
      <c r="T92" s="319"/>
      <c r="U92" s="319"/>
      <c r="V92" s="319"/>
      <c r="W92" s="319"/>
      <c r="X92" s="319"/>
      <c r="Y92" s="319"/>
      <c r="Z92" s="299"/>
      <c r="AA92" s="299"/>
      <c r="AB92" s="299"/>
      <c r="AC92" s="299"/>
      <c r="AD92" s="299"/>
      <c r="AE92" s="299"/>
      <c r="AF92" s="299"/>
    </row>
    <row r="93" spans="1:32" x14ac:dyDescent="0.35">
      <c r="A93" s="338"/>
      <c r="B93" s="319"/>
      <c r="C93" s="319"/>
      <c r="D93" s="319"/>
      <c r="E93" s="331"/>
      <c r="F93" s="319"/>
      <c r="G93" s="319"/>
      <c r="H93" s="319"/>
      <c r="I93" s="319"/>
      <c r="J93" s="319"/>
      <c r="K93" s="319"/>
      <c r="L93" s="319"/>
      <c r="M93" s="413"/>
      <c r="N93" s="319"/>
      <c r="O93" s="319"/>
      <c r="P93" s="319"/>
      <c r="Q93" s="319"/>
      <c r="R93" s="319"/>
      <c r="S93" s="319"/>
      <c r="T93" s="319"/>
      <c r="U93" s="319"/>
      <c r="V93" s="319"/>
      <c r="W93" s="319"/>
      <c r="X93" s="319"/>
      <c r="Y93" s="319"/>
      <c r="Z93" s="299"/>
      <c r="AA93" s="299"/>
      <c r="AB93" s="299"/>
      <c r="AC93" s="299"/>
      <c r="AD93" s="299"/>
      <c r="AE93" s="299"/>
      <c r="AF93" s="299"/>
    </row>
    <row r="94" spans="1:32" x14ac:dyDescent="0.35">
      <c r="A94" s="338"/>
      <c r="B94" s="319"/>
      <c r="C94" s="319"/>
      <c r="D94" s="319"/>
      <c r="E94" s="331"/>
      <c r="F94" s="319"/>
      <c r="G94" s="319"/>
      <c r="H94" s="319"/>
      <c r="I94" s="319"/>
      <c r="J94" s="319"/>
      <c r="K94" s="319"/>
      <c r="L94" s="319"/>
      <c r="M94" s="413"/>
      <c r="N94" s="319"/>
      <c r="O94" s="319"/>
      <c r="P94" s="319"/>
      <c r="Q94" s="319"/>
      <c r="R94" s="319"/>
      <c r="S94" s="319"/>
      <c r="T94" s="319"/>
      <c r="U94" s="319"/>
      <c r="V94" s="319"/>
      <c r="W94" s="319"/>
      <c r="X94" s="319"/>
      <c r="Y94" s="319"/>
      <c r="Z94" s="299"/>
      <c r="AA94" s="299"/>
      <c r="AB94" s="299"/>
      <c r="AC94" s="299"/>
      <c r="AD94" s="299"/>
      <c r="AE94" s="299"/>
      <c r="AF94" s="299"/>
    </row>
    <row r="95" spans="1:32" x14ac:dyDescent="0.35">
      <c r="A95" s="338"/>
      <c r="B95" s="319"/>
      <c r="C95" s="319"/>
      <c r="D95" s="319"/>
      <c r="E95" s="331"/>
      <c r="F95" s="319"/>
      <c r="G95" s="319"/>
      <c r="H95" s="319"/>
      <c r="I95" s="319"/>
      <c r="J95" s="319"/>
      <c r="K95" s="319"/>
      <c r="L95" s="319"/>
      <c r="M95" s="413"/>
      <c r="N95" s="319"/>
      <c r="O95" s="319"/>
      <c r="P95" s="319"/>
      <c r="Q95" s="319"/>
      <c r="R95" s="319"/>
      <c r="S95" s="319"/>
      <c r="T95" s="319"/>
      <c r="U95" s="319"/>
      <c r="V95" s="319"/>
      <c r="W95" s="319"/>
      <c r="X95" s="319"/>
      <c r="Y95" s="319"/>
      <c r="Z95" s="299"/>
      <c r="AA95" s="299"/>
      <c r="AB95" s="299"/>
      <c r="AC95" s="299"/>
      <c r="AD95" s="299"/>
      <c r="AE95" s="299"/>
      <c r="AF95" s="299"/>
    </row>
    <row r="96" spans="1:32" x14ac:dyDescent="0.35">
      <c r="A96" s="338"/>
      <c r="B96" s="319"/>
      <c r="C96" s="319"/>
      <c r="D96" s="319"/>
      <c r="E96" s="331"/>
      <c r="F96" s="319"/>
      <c r="G96" s="319"/>
      <c r="H96" s="319"/>
      <c r="I96" s="319"/>
      <c r="J96" s="319"/>
      <c r="K96" s="319"/>
      <c r="L96" s="319"/>
      <c r="M96" s="413"/>
      <c r="N96" s="319"/>
      <c r="O96" s="319"/>
      <c r="P96" s="319"/>
      <c r="Q96" s="319"/>
      <c r="R96" s="319"/>
      <c r="S96" s="319"/>
      <c r="T96" s="319"/>
      <c r="U96" s="319"/>
      <c r="V96" s="319"/>
      <c r="W96" s="319"/>
      <c r="X96" s="319"/>
      <c r="Y96" s="319"/>
      <c r="Z96" s="299"/>
      <c r="AA96" s="299"/>
      <c r="AB96" s="299"/>
      <c r="AC96" s="299"/>
      <c r="AD96" s="299"/>
      <c r="AE96" s="299"/>
      <c r="AF96" s="299"/>
    </row>
    <row r="97" spans="1:32" x14ac:dyDescent="0.35">
      <c r="A97" s="338"/>
      <c r="B97" s="319"/>
      <c r="C97" s="319"/>
      <c r="D97" s="319"/>
      <c r="E97" s="331"/>
      <c r="F97" s="319"/>
      <c r="G97" s="319"/>
      <c r="H97" s="319"/>
      <c r="I97" s="319"/>
      <c r="J97" s="319"/>
      <c r="K97" s="319"/>
      <c r="L97" s="319"/>
      <c r="M97" s="413"/>
      <c r="N97" s="319"/>
      <c r="O97" s="319"/>
      <c r="P97" s="319"/>
      <c r="Q97" s="319"/>
      <c r="R97" s="319"/>
      <c r="S97" s="319"/>
      <c r="T97" s="319"/>
      <c r="U97" s="319"/>
      <c r="V97" s="319"/>
      <c r="W97" s="319"/>
      <c r="X97" s="319"/>
      <c r="Y97" s="319"/>
      <c r="Z97" s="299"/>
      <c r="AA97" s="299"/>
      <c r="AB97" s="299"/>
      <c r="AC97" s="299"/>
      <c r="AD97" s="299"/>
      <c r="AE97" s="299"/>
      <c r="AF97" s="299"/>
    </row>
    <row r="98" spans="1:32" x14ac:dyDescent="0.35">
      <c r="A98" s="338"/>
      <c r="B98" s="319"/>
      <c r="C98" s="319"/>
      <c r="D98" s="319"/>
      <c r="E98" s="331"/>
      <c r="F98" s="319"/>
      <c r="G98" s="319"/>
      <c r="H98" s="319"/>
      <c r="I98" s="319"/>
      <c r="J98" s="319"/>
      <c r="K98" s="319"/>
      <c r="L98" s="319"/>
      <c r="M98" s="413"/>
      <c r="N98" s="319"/>
      <c r="O98" s="319"/>
      <c r="P98" s="319"/>
      <c r="Q98" s="319"/>
      <c r="R98" s="319"/>
      <c r="S98" s="319"/>
      <c r="T98" s="319"/>
      <c r="U98" s="319"/>
      <c r="V98" s="319"/>
      <c r="W98" s="319"/>
      <c r="X98" s="319"/>
      <c r="Y98" s="319"/>
      <c r="Z98" s="299"/>
      <c r="AA98" s="299"/>
      <c r="AB98" s="299"/>
      <c r="AC98" s="299"/>
      <c r="AD98" s="299"/>
      <c r="AE98" s="299"/>
      <c r="AF98" s="299"/>
    </row>
    <row r="99" spans="1:32" x14ac:dyDescent="0.35">
      <c r="A99" s="338"/>
      <c r="B99" s="319"/>
      <c r="C99" s="319"/>
      <c r="D99" s="319"/>
      <c r="E99" s="331"/>
      <c r="F99" s="319"/>
      <c r="G99" s="319"/>
      <c r="H99" s="319"/>
      <c r="I99" s="319"/>
      <c r="J99" s="319"/>
      <c r="K99" s="319"/>
      <c r="L99" s="319"/>
      <c r="M99" s="413"/>
      <c r="N99" s="319"/>
      <c r="O99" s="319"/>
      <c r="P99" s="319"/>
      <c r="Q99" s="319"/>
      <c r="R99" s="319"/>
      <c r="S99" s="319"/>
      <c r="T99" s="319"/>
      <c r="U99" s="319"/>
      <c r="V99" s="319"/>
      <c r="W99" s="319"/>
      <c r="X99" s="319"/>
      <c r="Y99" s="319"/>
      <c r="Z99" s="299"/>
      <c r="AA99" s="299"/>
      <c r="AB99" s="299"/>
      <c r="AC99" s="299"/>
      <c r="AD99" s="299"/>
      <c r="AE99" s="299"/>
      <c r="AF99" s="299"/>
    </row>
    <row r="100" spans="1:32" x14ac:dyDescent="0.35">
      <c r="A100" s="338"/>
      <c r="B100" s="319"/>
      <c r="C100" s="319"/>
      <c r="D100" s="319"/>
      <c r="E100" s="331"/>
      <c r="F100" s="319"/>
      <c r="G100" s="319"/>
      <c r="H100" s="319"/>
      <c r="I100" s="319"/>
      <c r="J100" s="319"/>
      <c r="K100" s="319"/>
      <c r="L100" s="319"/>
      <c r="M100" s="413"/>
      <c r="N100" s="319"/>
      <c r="O100" s="319"/>
      <c r="P100" s="319"/>
      <c r="Q100" s="319"/>
      <c r="R100" s="319"/>
      <c r="S100" s="319"/>
      <c r="T100" s="319"/>
      <c r="U100" s="319"/>
      <c r="V100" s="319"/>
      <c r="W100" s="319"/>
      <c r="X100" s="319"/>
      <c r="Y100" s="319"/>
      <c r="Z100" s="299"/>
      <c r="AA100" s="299"/>
      <c r="AB100" s="299"/>
      <c r="AC100" s="299"/>
      <c r="AD100" s="299"/>
      <c r="AE100" s="299"/>
      <c r="AF100" s="299"/>
    </row>
    <row r="101" spans="1:32" x14ac:dyDescent="0.35">
      <c r="A101" s="338"/>
      <c r="B101" s="319"/>
      <c r="C101" s="319"/>
      <c r="D101" s="319"/>
      <c r="E101" s="331"/>
      <c r="F101" s="319"/>
      <c r="G101" s="319"/>
      <c r="H101" s="319"/>
      <c r="I101" s="319"/>
      <c r="J101" s="319"/>
      <c r="K101" s="319"/>
      <c r="L101" s="319"/>
      <c r="M101" s="413"/>
      <c r="N101" s="319"/>
      <c r="O101" s="319"/>
      <c r="P101" s="319"/>
      <c r="Q101" s="319"/>
      <c r="R101" s="319"/>
      <c r="S101" s="319"/>
      <c r="T101" s="319"/>
      <c r="U101" s="319"/>
      <c r="V101" s="319"/>
      <c r="W101" s="319"/>
      <c r="X101" s="319"/>
      <c r="Y101" s="319"/>
      <c r="Z101" s="299"/>
      <c r="AA101" s="299"/>
      <c r="AB101" s="299"/>
      <c r="AC101" s="299"/>
      <c r="AD101" s="299"/>
      <c r="AE101" s="299"/>
      <c r="AF101" s="299"/>
    </row>
    <row r="102" spans="1:32" x14ac:dyDescent="0.35">
      <c r="A102" s="338"/>
      <c r="B102" s="319"/>
      <c r="C102" s="319"/>
      <c r="D102" s="319"/>
      <c r="E102" s="331"/>
      <c r="F102" s="319"/>
      <c r="G102" s="319"/>
      <c r="H102" s="319"/>
      <c r="I102" s="319"/>
      <c r="J102" s="319"/>
      <c r="K102" s="319"/>
      <c r="L102" s="319"/>
      <c r="M102" s="413"/>
      <c r="N102" s="319"/>
      <c r="O102" s="319"/>
      <c r="P102" s="319"/>
      <c r="Q102" s="319"/>
      <c r="R102" s="319"/>
      <c r="S102" s="319"/>
      <c r="T102" s="319"/>
      <c r="U102" s="319"/>
      <c r="V102" s="319"/>
      <c r="W102" s="319"/>
      <c r="X102" s="319"/>
      <c r="Y102" s="319"/>
      <c r="Z102" s="299"/>
      <c r="AA102" s="299"/>
      <c r="AB102" s="299"/>
      <c r="AC102" s="299"/>
      <c r="AD102" s="299"/>
      <c r="AE102" s="299"/>
      <c r="AF102" s="299"/>
    </row>
    <row r="103" spans="1:32" x14ac:dyDescent="0.35">
      <c r="A103" s="338"/>
      <c r="B103" s="319"/>
      <c r="C103" s="319"/>
      <c r="D103" s="319"/>
      <c r="E103" s="331"/>
      <c r="F103" s="319"/>
      <c r="G103" s="319"/>
      <c r="H103" s="319"/>
      <c r="I103" s="319"/>
      <c r="J103" s="319"/>
      <c r="K103" s="319"/>
      <c r="L103" s="319"/>
      <c r="M103" s="413"/>
      <c r="N103" s="319"/>
      <c r="O103" s="319"/>
      <c r="P103" s="319"/>
      <c r="Q103" s="319"/>
      <c r="R103" s="319"/>
      <c r="S103" s="319"/>
      <c r="T103" s="319"/>
      <c r="U103" s="319"/>
      <c r="V103" s="319"/>
      <c r="W103" s="319"/>
      <c r="X103" s="319"/>
      <c r="Y103" s="319"/>
      <c r="Z103" s="299"/>
      <c r="AA103" s="299"/>
      <c r="AB103" s="299"/>
      <c r="AC103" s="299"/>
      <c r="AD103" s="299"/>
      <c r="AE103" s="299"/>
      <c r="AF103" s="299"/>
    </row>
    <row r="104" spans="1:32" x14ac:dyDescent="0.35">
      <c r="A104" s="338"/>
      <c r="B104" s="319"/>
      <c r="C104" s="319"/>
      <c r="D104" s="319"/>
      <c r="E104" s="331"/>
      <c r="F104" s="319"/>
      <c r="G104" s="319"/>
      <c r="H104" s="319"/>
      <c r="I104" s="319"/>
      <c r="J104" s="319"/>
      <c r="K104" s="319"/>
      <c r="L104" s="319"/>
      <c r="M104" s="413"/>
      <c r="N104" s="319"/>
      <c r="O104" s="319"/>
      <c r="P104" s="319"/>
      <c r="Q104" s="319"/>
      <c r="R104" s="319"/>
      <c r="S104" s="319"/>
      <c r="T104" s="319"/>
      <c r="U104" s="319"/>
      <c r="V104" s="319"/>
      <c r="W104" s="319"/>
      <c r="X104" s="319"/>
      <c r="Y104" s="319"/>
      <c r="Z104" s="299"/>
      <c r="AA104" s="299"/>
      <c r="AB104" s="299"/>
      <c r="AC104" s="299"/>
      <c r="AD104" s="299"/>
      <c r="AE104" s="299"/>
      <c r="AF104" s="299"/>
    </row>
    <row r="105" spans="1:32" x14ac:dyDescent="0.35">
      <c r="A105" s="338"/>
      <c r="B105" s="319"/>
      <c r="C105" s="319"/>
      <c r="D105" s="319"/>
      <c r="E105" s="331"/>
      <c r="F105" s="319"/>
      <c r="G105" s="319"/>
      <c r="H105" s="319"/>
      <c r="I105" s="319"/>
      <c r="J105" s="319"/>
      <c r="K105" s="319"/>
      <c r="L105" s="319"/>
      <c r="M105" s="413"/>
      <c r="N105" s="319"/>
      <c r="O105" s="319"/>
      <c r="P105" s="319"/>
      <c r="Q105" s="319"/>
      <c r="R105" s="319"/>
      <c r="S105" s="319"/>
      <c r="T105" s="319"/>
      <c r="U105" s="319"/>
      <c r="V105" s="319"/>
      <c r="W105" s="319"/>
      <c r="X105" s="319"/>
      <c r="Y105" s="319"/>
      <c r="Z105" s="299"/>
      <c r="AA105" s="299"/>
      <c r="AB105" s="299"/>
      <c r="AC105" s="299"/>
      <c r="AD105" s="299"/>
      <c r="AE105" s="299"/>
      <c r="AF105" s="299"/>
    </row>
    <row r="106" spans="1:32" x14ac:dyDescent="0.35">
      <c r="A106" s="338"/>
      <c r="B106" s="319"/>
      <c r="C106" s="319"/>
      <c r="D106" s="319"/>
      <c r="E106" s="331"/>
      <c r="F106" s="319"/>
      <c r="G106" s="319"/>
      <c r="H106" s="319"/>
      <c r="I106" s="319"/>
      <c r="J106" s="319"/>
      <c r="K106" s="319"/>
      <c r="L106" s="319"/>
      <c r="M106" s="413"/>
      <c r="N106" s="319"/>
      <c r="O106" s="319"/>
      <c r="P106" s="319"/>
      <c r="Q106" s="319"/>
      <c r="R106" s="319"/>
      <c r="S106" s="319"/>
      <c r="T106" s="319"/>
      <c r="U106" s="319"/>
      <c r="V106" s="319"/>
      <c r="W106" s="319"/>
      <c r="X106" s="319"/>
      <c r="Y106" s="319"/>
      <c r="Z106" s="299"/>
      <c r="AA106" s="299"/>
      <c r="AB106" s="299"/>
      <c r="AC106" s="299"/>
      <c r="AD106" s="299"/>
      <c r="AE106" s="299"/>
      <c r="AF106" s="299"/>
    </row>
    <row r="107" spans="1:32" x14ac:dyDescent="0.35">
      <c r="A107" s="338"/>
      <c r="B107" s="319"/>
      <c r="C107" s="319"/>
      <c r="D107" s="319"/>
      <c r="E107" s="331"/>
      <c r="F107" s="319"/>
      <c r="G107" s="319"/>
      <c r="H107" s="319"/>
      <c r="I107" s="319"/>
      <c r="J107" s="319"/>
      <c r="K107" s="319"/>
      <c r="L107" s="319"/>
      <c r="M107" s="413"/>
      <c r="N107" s="319"/>
      <c r="O107" s="319"/>
      <c r="P107" s="319"/>
      <c r="Q107" s="319"/>
      <c r="R107" s="319"/>
      <c r="S107" s="319"/>
      <c r="T107" s="319"/>
      <c r="U107" s="319"/>
      <c r="V107" s="319"/>
      <c r="W107" s="319"/>
      <c r="X107" s="319"/>
      <c r="Y107" s="319"/>
      <c r="Z107" s="299"/>
      <c r="AA107" s="299"/>
      <c r="AB107" s="299"/>
      <c r="AC107" s="299"/>
      <c r="AD107" s="299"/>
      <c r="AE107" s="299"/>
      <c r="AF107" s="299"/>
    </row>
    <row r="108" spans="1:32" x14ac:dyDescent="0.35">
      <c r="A108" s="338"/>
      <c r="B108" s="319"/>
      <c r="C108" s="319"/>
      <c r="D108" s="319"/>
      <c r="E108" s="331"/>
      <c r="F108" s="319"/>
      <c r="G108" s="319"/>
      <c r="H108" s="319"/>
      <c r="I108" s="319"/>
      <c r="J108" s="319"/>
      <c r="K108" s="319"/>
      <c r="L108" s="319"/>
      <c r="M108" s="413"/>
      <c r="N108" s="319"/>
      <c r="O108" s="319"/>
      <c r="P108" s="319"/>
      <c r="Q108" s="319"/>
      <c r="R108" s="319"/>
      <c r="S108" s="319"/>
      <c r="T108" s="319"/>
      <c r="U108" s="319"/>
      <c r="V108" s="319"/>
      <c r="W108" s="319"/>
      <c r="X108" s="319"/>
      <c r="Y108" s="319"/>
      <c r="Z108" s="299"/>
      <c r="AA108" s="299"/>
      <c r="AB108" s="299"/>
      <c r="AC108" s="299"/>
      <c r="AD108" s="299"/>
      <c r="AE108" s="299"/>
      <c r="AF108" s="299"/>
    </row>
    <row r="109" spans="1:32" x14ac:dyDescent="0.35">
      <c r="A109" s="338"/>
      <c r="B109" s="319"/>
      <c r="C109" s="319"/>
      <c r="D109" s="319"/>
      <c r="E109" s="331"/>
      <c r="F109" s="319"/>
      <c r="G109" s="319"/>
      <c r="H109" s="319"/>
      <c r="I109" s="319"/>
      <c r="J109" s="319"/>
      <c r="K109" s="319"/>
      <c r="L109" s="319"/>
      <c r="M109" s="413"/>
      <c r="N109" s="319"/>
      <c r="O109" s="319"/>
      <c r="P109" s="319"/>
      <c r="Q109" s="319"/>
      <c r="R109" s="319"/>
      <c r="S109" s="319"/>
      <c r="T109" s="319"/>
      <c r="U109" s="319"/>
      <c r="V109" s="319"/>
      <c r="W109" s="319"/>
      <c r="X109" s="319"/>
      <c r="Y109" s="319"/>
      <c r="Z109" s="299"/>
      <c r="AA109" s="299"/>
      <c r="AB109" s="299"/>
      <c r="AC109" s="299"/>
      <c r="AD109" s="299"/>
      <c r="AE109" s="299"/>
      <c r="AF109" s="299"/>
    </row>
    <row r="110" spans="1:32" x14ac:dyDescent="0.35">
      <c r="A110" s="338"/>
      <c r="B110" s="319"/>
      <c r="C110" s="319"/>
      <c r="D110" s="319"/>
      <c r="E110" s="331"/>
      <c r="F110" s="319"/>
      <c r="G110" s="319"/>
      <c r="H110" s="319"/>
      <c r="I110" s="319"/>
      <c r="J110" s="319"/>
      <c r="K110" s="319"/>
      <c r="L110" s="319"/>
      <c r="M110" s="413"/>
      <c r="N110" s="319"/>
      <c r="O110" s="319"/>
      <c r="P110" s="319"/>
      <c r="Q110" s="319"/>
      <c r="R110" s="319"/>
      <c r="S110" s="319"/>
      <c r="T110" s="319"/>
      <c r="U110" s="319"/>
      <c r="V110" s="319"/>
      <c r="W110" s="319"/>
      <c r="X110" s="319"/>
      <c r="Y110" s="319"/>
      <c r="Z110" s="299"/>
      <c r="AA110" s="299"/>
      <c r="AB110" s="299"/>
      <c r="AC110" s="299"/>
      <c r="AD110" s="299"/>
      <c r="AE110" s="299"/>
      <c r="AF110" s="299"/>
    </row>
    <row r="111" spans="1:32" x14ac:dyDescent="0.35">
      <c r="A111" s="338"/>
      <c r="B111" s="319"/>
      <c r="C111" s="319"/>
      <c r="D111" s="319"/>
      <c r="E111" s="331"/>
      <c r="F111" s="319"/>
      <c r="G111" s="319"/>
      <c r="H111" s="319"/>
      <c r="I111" s="319"/>
      <c r="J111" s="319"/>
      <c r="K111" s="319"/>
      <c r="L111" s="319"/>
      <c r="M111" s="413"/>
      <c r="N111" s="319"/>
      <c r="O111" s="319"/>
      <c r="P111" s="319"/>
      <c r="Q111" s="319"/>
      <c r="R111" s="319"/>
      <c r="S111" s="319"/>
      <c r="T111" s="319"/>
      <c r="U111" s="319"/>
      <c r="V111" s="319"/>
      <c r="W111" s="319"/>
      <c r="X111" s="319"/>
      <c r="Y111" s="319"/>
      <c r="Z111" s="299"/>
      <c r="AA111" s="299"/>
      <c r="AB111" s="299"/>
      <c r="AC111" s="299"/>
      <c r="AD111" s="299"/>
      <c r="AE111" s="299"/>
      <c r="AF111" s="299"/>
    </row>
    <row r="112" spans="1:32" x14ac:dyDescent="0.35">
      <c r="A112" s="338"/>
      <c r="B112" s="319"/>
      <c r="C112" s="319"/>
      <c r="D112" s="319"/>
      <c r="E112" s="331"/>
      <c r="F112" s="319"/>
      <c r="G112" s="319"/>
      <c r="H112" s="319"/>
      <c r="I112" s="319"/>
      <c r="J112" s="319"/>
      <c r="K112" s="319"/>
      <c r="L112" s="319"/>
      <c r="M112" s="413"/>
      <c r="N112" s="319"/>
      <c r="O112" s="319"/>
      <c r="P112" s="319"/>
      <c r="Q112" s="319"/>
      <c r="R112" s="319"/>
      <c r="S112" s="319"/>
      <c r="T112" s="319"/>
      <c r="U112" s="319"/>
      <c r="V112" s="319"/>
      <c r="W112" s="319"/>
      <c r="X112" s="319"/>
      <c r="Y112" s="319"/>
      <c r="Z112" s="299"/>
      <c r="AA112" s="299"/>
      <c r="AB112" s="299"/>
      <c r="AC112" s="299"/>
      <c r="AD112" s="299"/>
      <c r="AE112" s="299"/>
      <c r="AF112" s="299"/>
    </row>
    <row r="113" spans="1:32" x14ac:dyDescent="0.35">
      <c r="A113" s="338"/>
      <c r="B113" s="319"/>
      <c r="C113" s="319"/>
      <c r="D113" s="319"/>
      <c r="E113" s="331"/>
      <c r="F113" s="319"/>
      <c r="G113" s="319"/>
      <c r="H113" s="319"/>
      <c r="I113" s="319"/>
      <c r="J113" s="319"/>
      <c r="K113" s="319"/>
      <c r="L113" s="319"/>
      <c r="M113" s="413"/>
      <c r="N113" s="319"/>
      <c r="O113" s="319"/>
      <c r="P113" s="319"/>
      <c r="Q113" s="319"/>
      <c r="R113" s="319"/>
      <c r="S113" s="319"/>
      <c r="T113" s="319"/>
      <c r="U113" s="319"/>
      <c r="V113" s="319"/>
      <c r="W113" s="319"/>
      <c r="X113" s="319"/>
      <c r="Y113" s="319"/>
      <c r="Z113" s="299"/>
      <c r="AA113" s="299"/>
      <c r="AB113" s="299"/>
      <c r="AC113" s="299"/>
      <c r="AD113" s="299"/>
      <c r="AE113" s="299"/>
      <c r="AF113" s="299"/>
    </row>
    <row r="114" spans="1:32" x14ac:dyDescent="0.35">
      <c r="A114" s="338"/>
      <c r="B114" s="319"/>
      <c r="C114" s="319"/>
      <c r="D114" s="319"/>
      <c r="E114" s="331"/>
      <c r="F114" s="319"/>
      <c r="G114" s="319"/>
      <c r="H114" s="319"/>
      <c r="I114" s="319"/>
      <c r="J114" s="319"/>
      <c r="K114" s="319"/>
      <c r="L114" s="319"/>
      <c r="M114" s="413"/>
      <c r="N114" s="319"/>
      <c r="O114" s="319"/>
      <c r="P114" s="319"/>
      <c r="Q114" s="319"/>
      <c r="R114" s="319"/>
      <c r="S114" s="319"/>
      <c r="T114" s="319"/>
      <c r="U114" s="319"/>
      <c r="V114" s="319"/>
      <c r="W114" s="319"/>
      <c r="X114" s="319"/>
      <c r="Y114" s="319"/>
      <c r="Z114" s="299"/>
      <c r="AA114" s="299"/>
      <c r="AB114" s="299"/>
      <c r="AC114" s="299"/>
      <c r="AD114" s="299"/>
      <c r="AE114" s="299"/>
      <c r="AF114" s="299"/>
    </row>
    <row r="115" spans="1:32" x14ac:dyDescent="0.35">
      <c r="A115" s="338"/>
      <c r="B115" s="319"/>
      <c r="C115" s="319"/>
      <c r="D115" s="319"/>
      <c r="E115" s="331"/>
      <c r="F115" s="319"/>
      <c r="G115" s="319"/>
      <c r="H115" s="319"/>
      <c r="I115" s="319"/>
      <c r="J115" s="319"/>
      <c r="K115" s="319"/>
      <c r="L115" s="319"/>
      <c r="M115" s="413"/>
      <c r="N115" s="319"/>
      <c r="O115" s="319"/>
      <c r="P115" s="319"/>
      <c r="Q115" s="319"/>
      <c r="R115" s="319"/>
      <c r="S115" s="319"/>
      <c r="T115" s="319"/>
      <c r="U115" s="319"/>
      <c r="V115" s="319"/>
      <c r="W115" s="319"/>
      <c r="X115" s="319"/>
      <c r="Y115" s="319"/>
      <c r="Z115" s="299"/>
      <c r="AA115" s="299"/>
      <c r="AB115" s="299"/>
      <c r="AC115" s="299"/>
      <c r="AD115" s="299"/>
      <c r="AE115" s="299"/>
      <c r="AF115" s="299"/>
    </row>
    <row r="116" spans="1:32" x14ac:dyDescent="0.35">
      <c r="A116" s="338"/>
      <c r="B116" s="319"/>
      <c r="C116" s="319"/>
      <c r="D116" s="319"/>
      <c r="E116" s="331"/>
      <c r="F116" s="319"/>
      <c r="G116" s="319"/>
      <c r="H116" s="319"/>
      <c r="I116" s="319"/>
      <c r="J116" s="319"/>
      <c r="K116" s="319"/>
      <c r="L116" s="319"/>
      <c r="M116" s="413"/>
      <c r="N116" s="319"/>
      <c r="O116" s="319"/>
      <c r="P116" s="319"/>
      <c r="Q116" s="319"/>
      <c r="R116" s="319"/>
      <c r="S116" s="319"/>
      <c r="T116" s="319"/>
      <c r="U116" s="319"/>
      <c r="V116" s="319"/>
      <c r="W116" s="319"/>
      <c r="X116" s="319"/>
      <c r="Y116" s="319"/>
      <c r="Z116" s="299"/>
      <c r="AA116" s="299"/>
      <c r="AB116" s="299"/>
      <c r="AC116" s="299"/>
      <c r="AD116" s="299"/>
      <c r="AE116" s="299"/>
      <c r="AF116" s="299"/>
    </row>
    <row r="117" spans="1:32" x14ac:dyDescent="0.35">
      <c r="A117" s="338"/>
      <c r="B117" s="319"/>
      <c r="C117" s="319"/>
      <c r="D117" s="319"/>
      <c r="E117" s="331"/>
      <c r="F117" s="319"/>
      <c r="G117" s="319"/>
      <c r="H117" s="319"/>
      <c r="I117" s="319"/>
      <c r="J117" s="319"/>
      <c r="K117" s="319"/>
      <c r="L117" s="319"/>
      <c r="M117" s="413"/>
      <c r="N117" s="319"/>
      <c r="O117" s="319"/>
      <c r="P117" s="319"/>
      <c r="Q117" s="319"/>
      <c r="R117" s="319"/>
      <c r="S117" s="319"/>
      <c r="T117" s="319"/>
      <c r="U117" s="319"/>
      <c r="V117" s="319"/>
      <c r="W117" s="319"/>
      <c r="X117" s="319"/>
      <c r="Y117" s="319"/>
      <c r="Z117" s="299"/>
      <c r="AA117" s="299"/>
      <c r="AB117" s="299"/>
      <c r="AC117" s="299"/>
      <c r="AD117" s="299"/>
      <c r="AE117" s="299"/>
      <c r="AF117" s="299"/>
    </row>
    <row r="118" spans="1:32" x14ac:dyDescent="0.35">
      <c r="A118" s="338"/>
      <c r="B118" s="319"/>
      <c r="C118" s="319"/>
      <c r="D118" s="319"/>
      <c r="E118" s="331"/>
      <c r="F118" s="319"/>
      <c r="G118" s="319"/>
      <c r="H118" s="319"/>
      <c r="I118" s="319"/>
      <c r="J118" s="319"/>
      <c r="K118" s="319"/>
      <c r="L118" s="319"/>
      <c r="M118" s="413"/>
      <c r="N118" s="319"/>
      <c r="O118" s="319"/>
      <c r="P118" s="319"/>
      <c r="Q118" s="319"/>
      <c r="R118" s="319"/>
      <c r="S118" s="319"/>
      <c r="T118" s="319"/>
      <c r="U118" s="319"/>
      <c r="V118" s="319"/>
      <c r="W118" s="319"/>
      <c r="X118" s="319"/>
      <c r="Y118" s="319"/>
      <c r="Z118" s="299"/>
      <c r="AA118" s="299"/>
      <c r="AB118" s="299"/>
      <c r="AC118" s="299"/>
      <c r="AD118" s="299"/>
      <c r="AE118" s="299"/>
      <c r="AF118" s="299"/>
    </row>
    <row r="119" spans="1:32" x14ac:dyDescent="0.35">
      <c r="A119" s="338"/>
      <c r="B119" s="319"/>
      <c r="C119" s="319"/>
      <c r="D119" s="319"/>
      <c r="E119" s="331"/>
      <c r="F119" s="319"/>
      <c r="G119" s="319"/>
      <c r="H119" s="319"/>
      <c r="I119" s="319"/>
      <c r="J119" s="319"/>
      <c r="K119" s="319"/>
      <c r="L119" s="319"/>
      <c r="M119" s="413"/>
      <c r="N119" s="319"/>
      <c r="O119" s="319"/>
      <c r="P119" s="319"/>
      <c r="Q119" s="319"/>
      <c r="R119" s="319"/>
      <c r="S119" s="319"/>
      <c r="T119" s="319"/>
      <c r="U119" s="319"/>
      <c r="V119" s="319"/>
      <c r="W119" s="319"/>
      <c r="X119" s="319"/>
      <c r="Y119" s="319"/>
      <c r="Z119" s="299"/>
      <c r="AA119" s="299"/>
      <c r="AB119" s="299"/>
      <c r="AC119" s="299"/>
      <c r="AD119" s="299"/>
      <c r="AE119" s="299"/>
      <c r="AF119" s="299"/>
    </row>
    <row r="120" spans="1:32" x14ac:dyDescent="0.35">
      <c r="A120" s="338"/>
      <c r="B120" s="319"/>
      <c r="C120" s="319"/>
      <c r="D120" s="319"/>
      <c r="E120" s="331"/>
      <c r="F120" s="319"/>
      <c r="G120" s="319"/>
      <c r="H120" s="319"/>
      <c r="I120" s="319"/>
      <c r="J120" s="319"/>
      <c r="K120" s="319"/>
      <c r="L120" s="319"/>
      <c r="M120" s="413"/>
      <c r="N120" s="319"/>
      <c r="O120" s="319"/>
      <c r="P120" s="319"/>
      <c r="Q120" s="319"/>
      <c r="R120" s="319"/>
      <c r="S120" s="319"/>
      <c r="T120" s="319"/>
      <c r="U120" s="319"/>
      <c r="V120" s="319"/>
      <c r="W120" s="319"/>
      <c r="X120" s="319"/>
      <c r="Y120" s="319"/>
      <c r="Z120" s="299"/>
      <c r="AA120" s="299"/>
      <c r="AB120" s="299"/>
      <c r="AC120" s="299"/>
      <c r="AD120" s="299"/>
      <c r="AE120" s="299"/>
      <c r="AF120" s="299"/>
    </row>
    <row r="121" spans="1:32" x14ac:dyDescent="0.35">
      <c r="A121" s="338"/>
      <c r="B121" s="319"/>
      <c r="C121" s="319"/>
      <c r="D121" s="319"/>
      <c r="E121" s="331"/>
      <c r="F121" s="319"/>
      <c r="G121" s="319"/>
      <c r="H121" s="319"/>
      <c r="I121" s="319"/>
      <c r="J121" s="319"/>
      <c r="K121" s="319"/>
      <c r="L121" s="319"/>
      <c r="M121" s="413"/>
      <c r="N121" s="319"/>
      <c r="O121" s="319"/>
      <c r="P121" s="319"/>
      <c r="Q121" s="319"/>
      <c r="R121" s="319"/>
      <c r="S121" s="319"/>
      <c r="T121" s="319"/>
      <c r="U121" s="319"/>
      <c r="V121" s="319"/>
      <c r="W121" s="319"/>
      <c r="X121" s="319"/>
      <c r="Y121" s="319"/>
      <c r="Z121" s="299"/>
      <c r="AA121" s="299"/>
      <c r="AB121" s="299"/>
      <c r="AC121" s="299"/>
      <c r="AD121" s="299"/>
      <c r="AE121" s="299"/>
      <c r="AF121" s="299"/>
    </row>
    <row r="122" spans="1:32" x14ac:dyDescent="0.35">
      <c r="A122" s="338"/>
      <c r="B122" s="319"/>
      <c r="C122" s="319"/>
      <c r="D122" s="319"/>
      <c r="E122" s="331"/>
      <c r="F122" s="319"/>
      <c r="G122" s="319"/>
      <c r="H122" s="319"/>
      <c r="I122" s="319"/>
      <c r="J122" s="319"/>
      <c r="K122" s="319"/>
      <c r="L122" s="319"/>
      <c r="M122" s="413"/>
      <c r="N122" s="319"/>
      <c r="O122" s="319"/>
      <c r="P122" s="319"/>
      <c r="Q122" s="319"/>
      <c r="R122" s="319"/>
      <c r="S122" s="319"/>
      <c r="T122" s="319"/>
      <c r="U122" s="319"/>
      <c r="V122" s="319"/>
      <c r="W122" s="319"/>
      <c r="X122" s="319"/>
      <c r="Y122" s="319"/>
      <c r="Z122" s="299"/>
      <c r="AA122" s="299"/>
      <c r="AB122" s="299"/>
      <c r="AC122" s="299"/>
      <c r="AD122" s="299"/>
      <c r="AE122" s="299"/>
      <c r="AF122" s="299"/>
    </row>
    <row r="123" spans="1:32" x14ac:dyDescent="0.35">
      <c r="A123" s="339"/>
      <c r="B123" s="299"/>
      <c r="C123" s="299"/>
      <c r="D123" s="299"/>
      <c r="E123" s="344"/>
      <c r="F123" s="299"/>
      <c r="G123" s="299"/>
      <c r="H123" s="299"/>
      <c r="I123" s="299"/>
      <c r="J123" s="299"/>
      <c r="K123" s="299"/>
      <c r="L123" s="299"/>
      <c r="M123" s="414"/>
      <c r="N123" s="299"/>
      <c r="O123" s="537"/>
      <c r="P123" s="537"/>
      <c r="Q123" s="537"/>
      <c r="R123" s="537"/>
      <c r="S123" s="299"/>
      <c r="T123" s="299"/>
      <c r="U123" s="299"/>
      <c r="V123" s="299"/>
      <c r="W123" s="299"/>
      <c r="X123" s="299"/>
      <c r="Y123" s="299"/>
      <c r="Z123" s="299"/>
      <c r="AA123" s="299"/>
      <c r="AB123" s="299"/>
      <c r="AC123" s="299"/>
      <c r="AD123" s="299"/>
      <c r="AE123" s="299"/>
      <c r="AF123" s="299"/>
    </row>
    <row r="124" spans="1:32" x14ac:dyDescent="0.35">
      <c r="A124" s="339"/>
      <c r="B124" s="299"/>
      <c r="C124" s="299"/>
      <c r="D124" s="299"/>
      <c r="E124" s="344"/>
      <c r="F124" s="299"/>
      <c r="G124" s="299"/>
      <c r="H124" s="299"/>
      <c r="I124" s="299"/>
      <c r="J124" s="299"/>
      <c r="K124" s="299"/>
      <c r="L124" s="299"/>
      <c r="M124" s="414"/>
      <c r="N124" s="299"/>
      <c r="O124" s="537"/>
      <c r="P124" s="537"/>
      <c r="Q124" s="537"/>
      <c r="R124" s="537"/>
      <c r="S124" s="299"/>
      <c r="T124" s="299"/>
      <c r="U124" s="299"/>
      <c r="V124" s="299"/>
      <c r="W124" s="299"/>
      <c r="X124" s="299"/>
      <c r="Y124" s="299"/>
      <c r="Z124" s="299"/>
      <c r="AA124" s="299"/>
      <c r="AB124" s="299"/>
      <c r="AC124" s="299"/>
      <c r="AD124" s="299"/>
      <c r="AE124" s="299"/>
      <c r="AF124" s="299"/>
    </row>
    <row r="125" spans="1:32" x14ac:dyDescent="0.35">
      <c r="A125" s="339"/>
      <c r="B125" s="299"/>
      <c r="C125" s="299"/>
      <c r="D125" s="299"/>
      <c r="E125" s="344"/>
      <c r="F125" s="299"/>
      <c r="G125" s="299"/>
      <c r="H125" s="299"/>
      <c r="I125" s="299"/>
      <c r="J125" s="299"/>
      <c r="K125" s="299"/>
      <c r="L125" s="299"/>
      <c r="M125" s="414"/>
      <c r="N125" s="299"/>
      <c r="O125" s="537"/>
      <c r="P125" s="537"/>
      <c r="Q125" s="537"/>
      <c r="R125" s="537"/>
      <c r="S125" s="299"/>
      <c r="T125" s="299"/>
      <c r="U125" s="299"/>
      <c r="V125" s="299"/>
      <c r="W125" s="299"/>
      <c r="X125" s="299"/>
      <c r="Y125" s="299"/>
      <c r="Z125" s="299"/>
      <c r="AA125" s="299"/>
      <c r="AB125" s="299"/>
      <c r="AC125" s="299"/>
      <c r="AD125" s="299"/>
      <c r="AE125" s="299"/>
      <c r="AF125" s="299"/>
    </row>
    <row r="126" spans="1:32" x14ac:dyDescent="0.35">
      <c r="A126" s="339"/>
      <c r="B126" s="299"/>
      <c r="C126" s="299"/>
      <c r="D126" s="299"/>
      <c r="E126" s="344"/>
      <c r="F126" s="299"/>
      <c r="G126" s="299"/>
      <c r="H126" s="299"/>
      <c r="I126" s="299"/>
      <c r="J126" s="299"/>
      <c r="K126" s="299"/>
      <c r="L126" s="299"/>
      <c r="M126" s="414"/>
      <c r="N126" s="299"/>
      <c r="O126" s="537"/>
      <c r="P126" s="537"/>
      <c r="Q126" s="537"/>
      <c r="R126" s="537"/>
      <c r="S126" s="299"/>
      <c r="T126" s="299"/>
      <c r="U126" s="299"/>
      <c r="V126" s="299"/>
      <c r="W126" s="299"/>
      <c r="X126" s="299"/>
      <c r="Y126" s="299"/>
      <c r="Z126" s="299"/>
      <c r="AA126" s="299"/>
      <c r="AB126" s="299"/>
      <c r="AC126" s="299"/>
      <c r="AD126" s="299"/>
      <c r="AE126" s="299"/>
      <c r="AF126" s="299"/>
    </row>
    <row r="127" spans="1:32" x14ac:dyDescent="0.35">
      <c r="A127" s="339"/>
      <c r="B127" s="299"/>
      <c r="C127" s="299"/>
      <c r="D127" s="299"/>
      <c r="E127" s="344"/>
      <c r="F127" s="299"/>
      <c r="G127" s="299"/>
      <c r="H127" s="299"/>
      <c r="I127" s="299"/>
      <c r="J127" s="299"/>
      <c r="K127" s="299"/>
      <c r="L127" s="299"/>
      <c r="M127" s="414"/>
      <c r="N127" s="299"/>
      <c r="O127" s="537"/>
      <c r="P127" s="537"/>
      <c r="Q127" s="537"/>
      <c r="R127" s="537"/>
      <c r="S127" s="299"/>
      <c r="T127" s="299"/>
      <c r="U127" s="299"/>
      <c r="V127" s="299"/>
      <c r="W127" s="299"/>
      <c r="X127" s="299"/>
      <c r="Y127" s="299"/>
      <c r="Z127" s="299"/>
      <c r="AA127" s="299"/>
      <c r="AB127" s="299"/>
      <c r="AC127" s="299"/>
      <c r="AD127" s="299"/>
      <c r="AE127" s="299"/>
      <c r="AF127" s="299"/>
    </row>
    <row r="128" spans="1:32" x14ac:dyDescent="0.35">
      <c r="A128" s="339"/>
      <c r="B128" s="299"/>
      <c r="C128" s="299"/>
      <c r="D128" s="299"/>
      <c r="E128" s="344"/>
      <c r="F128" s="299"/>
      <c r="G128" s="299"/>
      <c r="H128" s="299"/>
      <c r="I128" s="299"/>
      <c r="J128" s="299"/>
      <c r="K128" s="299"/>
      <c r="L128" s="299"/>
      <c r="M128" s="414"/>
      <c r="N128" s="299"/>
      <c r="O128" s="537"/>
      <c r="P128" s="537"/>
      <c r="Q128" s="537"/>
      <c r="R128" s="537"/>
      <c r="S128" s="299"/>
      <c r="T128" s="299"/>
      <c r="U128" s="299"/>
      <c r="V128" s="299"/>
      <c r="W128" s="299"/>
      <c r="X128" s="299"/>
      <c r="Y128" s="299"/>
      <c r="Z128" s="299"/>
      <c r="AA128" s="299"/>
      <c r="AB128" s="299"/>
      <c r="AC128" s="299"/>
      <c r="AD128" s="299"/>
      <c r="AE128" s="299"/>
      <c r="AF128" s="299"/>
    </row>
    <row r="129" spans="1:32" x14ac:dyDescent="0.35">
      <c r="A129" s="339"/>
      <c r="B129" s="299"/>
      <c r="C129" s="299"/>
      <c r="D129" s="299"/>
      <c r="E129" s="344"/>
      <c r="F129" s="299"/>
      <c r="G129" s="299"/>
      <c r="H129" s="299"/>
      <c r="I129" s="299"/>
      <c r="J129" s="299"/>
      <c r="K129" s="299"/>
      <c r="L129" s="299"/>
      <c r="M129" s="414"/>
      <c r="N129" s="299"/>
      <c r="O129" s="537"/>
      <c r="P129" s="537"/>
      <c r="Q129" s="537"/>
      <c r="R129" s="537"/>
      <c r="S129" s="299"/>
      <c r="T129" s="299"/>
      <c r="U129" s="299"/>
      <c r="V129" s="299"/>
      <c r="W129" s="299"/>
      <c r="X129" s="299"/>
      <c r="Y129" s="299"/>
      <c r="Z129" s="299"/>
      <c r="AA129" s="299"/>
      <c r="AB129" s="299"/>
      <c r="AC129" s="299"/>
      <c r="AD129" s="299"/>
      <c r="AE129" s="299"/>
      <c r="AF129" s="299"/>
    </row>
    <row r="130" spans="1:32" x14ac:dyDescent="0.35">
      <c r="A130" s="339"/>
      <c r="B130" s="299"/>
      <c r="C130" s="299"/>
      <c r="D130" s="299"/>
      <c r="E130" s="344"/>
      <c r="F130" s="299"/>
      <c r="G130" s="299"/>
      <c r="H130" s="299"/>
      <c r="I130" s="299"/>
      <c r="J130" s="299"/>
      <c r="K130" s="299"/>
      <c r="L130" s="299"/>
      <c r="M130" s="414"/>
      <c r="N130" s="299"/>
      <c r="O130" s="537"/>
      <c r="P130" s="537"/>
      <c r="Q130" s="537"/>
      <c r="R130" s="537"/>
      <c r="S130" s="299"/>
      <c r="T130" s="299"/>
      <c r="U130" s="299"/>
      <c r="V130" s="299"/>
      <c r="W130" s="299"/>
      <c r="X130" s="299"/>
      <c r="Y130" s="299"/>
      <c r="Z130" s="299"/>
      <c r="AA130" s="299"/>
      <c r="AB130" s="299"/>
      <c r="AC130" s="299"/>
      <c r="AD130" s="299"/>
      <c r="AE130" s="299"/>
      <c r="AF130" s="299"/>
    </row>
    <row r="131" spans="1:32" x14ac:dyDescent="0.35">
      <c r="A131" s="339"/>
      <c r="B131" s="299"/>
      <c r="C131" s="299"/>
      <c r="D131" s="299"/>
      <c r="E131" s="344"/>
      <c r="F131" s="299"/>
      <c r="G131" s="299"/>
      <c r="H131" s="299"/>
      <c r="I131" s="299"/>
      <c r="J131" s="299"/>
      <c r="K131" s="299"/>
      <c r="L131" s="299"/>
      <c r="M131" s="414"/>
      <c r="N131" s="299"/>
      <c r="O131" s="537"/>
      <c r="P131" s="537"/>
      <c r="Q131" s="537"/>
      <c r="R131" s="537"/>
      <c r="S131" s="299"/>
      <c r="T131" s="299"/>
      <c r="U131" s="299"/>
      <c r="V131" s="299"/>
      <c r="W131" s="299"/>
      <c r="X131" s="299"/>
      <c r="Y131" s="299"/>
      <c r="Z131" s="299"/>
      <c r="AA131" s="299"/>
      <c r="AB131" s="299"/>
      <c r="AC131" s="299"/>
      <c r="AD131" s="299"/>
      <c r="AE131" s="299"/>
      <c r="AF131" s="299"/>
    </row>
    <row r="132" spans="1:32" x14ac:dyDescent="0.35">
      <c r="A132" s="339"/>
      <c r="B132" s="299"/>
      <c r="C132" s="299"/>
      <c r="D132" s="299"/>
      <c r="E132" s="344"/>
      <c r="F132" s="299"/>
      <c r="G132" s="299"/>
      <c r="H132" s="299"/>
      <c r="I132" s="299"/>
      <c r="J132" s="299"/>
      <c r="K132" s="299"/>
      <c r="L132" s="299"/>
      <c r="M132" s="414"/>
      <c r="N132" s="299"/>
      <c r="O132" s="537"/>
      <c r="P132" s="537"/>
      <c r="Q132" s="537"/>
      <c r="R132" s="537"/>
      <c r="S132" s="299"/>
      <c r="T132" s="299"/>
      <c r="U132" s="299"/>
      <c r="V132" s="299"/>
      <c r="W132" s="299"/>
      <c r="X132" s="299"/>
      <c r="Y132" s="299"/>
      <c r="Z132" s="299"/>
      <c r="AA132" s="299"/>
      <c r="AB132" s="299"/>
      <c r="AC132" s="299"/>
      <c r="AD132" s="299"/>
      <c r="AE132" s="299"/>
      <c r="AF132" s="299"/>
    </row>
    <row r="133" spans="1:32" x14ac:dyDescent="0.35">
      <c r="A133" s="339"/>
      <c r="B133" s="299"/>
      <c r="C133" s="299"/>
      <c r="D133" s="299"/>
      <c r="E133" s="344"/>
      <c r="F133" s="299"/>
      <c r="G133" s="299"/>
      <c r="H133" s="299"/>
      <c r="I133" s="299"/>
      <c r="J133" s="299"/>
      <c r="K133" s="299"/>
      <c r="L133" s="299"/>
      <c r="M133" s="414"/>
      <c r="N133" s="299"/>
      <c r="O133" s="537"/>
      <c r="P133" s="537"/>
      <c r="Q133" s="537"/>
      <c r="R133" s="537"/>
      <c r="S133" s="299"/>
      <c r="T133" s="299"/>
      <c r="U133" s="299"/>
      <c r="V133" s="299"/>
      <c r="W133" s="299"/>
      <c r="X133" s="299"/>
      <c r="Y133" s="299"/>
      <c r="Z133" s="299"/>
      <c r="AA133" s="299"/>
      <c r="AB133" s="299"/>
      <c r="AC133" s="299"/>
      <c r="AD133" s="299"/>
      <c r="AE133" s="299"/>
      <c r="AF133" s="299"/>
    </row>
    <row r="134" spans="1:32" x14ac:dyDescent="0.35">
      <c r="A134" s="339"/>
      <c r="B134" s="299"/>
      <c r="C134" s="299"/>
      <c r="D134" s="299"/>
      <c r="E134" s="344"/>
      <c r="F134" s="299"/>
      <c r="G134" s="299"/>
      <c r="H134" s="299"/>
      <c r="I134" s="299"/>
      <c r="J134" s="299"/>
      <c r="K134" s="299"/>
      <c r="L134" s="299"/>
      <c r="M134" s="414"/>
      <c r="N134" s="299"/>
      <c r="O134" s="537"/>
      <c r="P134" s="537"/>
      <c r="Q134" s="537"/>
      <c r="R134" s="537"/>
      <c r="S134" s="299"/>
      <c r="T134" s="299"/>
      <c r="U134" s="299"/>
      <c r="V134" s="299"/>
      <c r="W134" s="299"/>
      <c r="X134" s="299"/>
      <c r="Y134" s="299"/>
      <c r="Z134" s="299"/>
      <c r="AA134" s="299"/>
      <c r="AB134" s="299"/>
      <c r="AC134" s="299"/>
      <c r="AD134" s="299"/>
      <c r="AE134" s="299"/>
      <c r="AF134" s="299"/>
    </row>
    <row r="135" spans="1:32" x14ac:dyDescent="0.35">
      <c r="A135" s="339"/>
      <c r="B135" s="299"/>
      <c r="C135" s="299"/>
      <c r="D135" s="299"/>
      <c r="E135" s="344"/>
      <c r="F135" s="299"/>
      <c r="G135" s="299"/>
      <c r="H135" s="299"/>
      <c r="I135" s="299"/>
      <c r="J135" s="299"/>
      <c r="K135" s="299"/>
      <c r="L135" s="299"/>
      <c r="M135" s="414"/>
      <c r="N135" s="299"/>
      <c r="O135" s="537"/>
      <c r="P135" s="537"/>
      <c r="Q135" s="537"/>
      <c r="R135" s="537"/>
      <c r="S135" s="299"/>
      <c r="T135" s="299"/>
      <c r="U135" s="299"/>
      <c r="V135" s="299"/>
      <c r="W135" s="299"/>
      <c r="X135" s="299"/>
      <c r="Y135" s="299"/>
      <c r="Z135" s="299"/>
      <c r="AA135" s="299"/>
      <c r="AB135" s="299"/>
      <c r="AC135" s="299"/>
      <c r="AD135" s="299"/>
      <c r="AE135" s="299"/>
      <c r="AF135" s="299"/>
    </row>
    <row r="136" spans="1:32" x14ac:dyDescent="0.35">
      <c r="A136" s="339"/>
      <c r="B136" s="299"/>
      <c r="C136" s="299"/>
      <c r="D136" s="299"/>
      <c r="E136" s="344"/>
      <c r="F136" s="299"/>
      <c r="G136" s="299"/>
      <c r="H136" s="299"/>
      <c r="I136" s="299"/>
      <c r="J136" s="299"/>
      <c r="K136" s="299"/>
      <c r="L136" s="299"/>
      <c r="M136" s="414"/>
      <c r="N136" s="299"/>
      <c r="O136" s="537"/>
      <c r="P136" s="537"/>
      <c r="Q136" s="537"/>
      <c r="R136" s="537"/>
      <c r="S136" s="299"/>
      <c r="T136" s="299"/>
      <c r="U136" s="299"/>
      <c r="V136" s="299"/>
      <c r="W136" s="299"/>
      <c r="X136" s="299"/>
      <c r="Y136" s="299"/>
      <c r="Z136" s="299"/>
      <c r="AA136" s="299"/>
      <c r="AB136" s="299"/>
      <c r="AC136" s="299"/>
      <c r="AD136" s="299"/>
      <c r="AE136" s="299"/>
      <c r="AF136" s="299"/>
    </row>
    <row r="137" spans="1:32" x14ac:dyDescent="0.35">
      <c r="A137" s="339"/>
      <c r="B137" s="299"/>
      <c r="C137" s="299"/>
      <c r="D137" s="299"/>
      <c r="E137" s="344"/>
      <c r="F137" s="299"/>
      <c r="G137" s="299"/>
      <c r="H137" s="299"/>
      <c r="I137" s="299"/>
      <c r="J137" s="299"/>
      <c r="K137" s="299"/>
      <c r="L137" s="299"/>
      <c r="M137" s="414"/>
      <c r="N137" s="299"/>
      <c r="O137" s="537"/>
      <c r="P137" s="537"/>
      <c r="Q137" s="537"/>
      <c r="R137" s="537"/>
      <c r="S137" s="299"/>
      <c r="T137" s="299"/>
      <c r="U137" s="299"/>
      <c r="V137" s="299"/>
      <c r="W137" s="299"/>
      <c r="X137" s="299"/>
      <c r="Y137" s="299"/>
      <c r="Z137" s="299"/>
      <c r="AA137" s="299"/>
      <c r="AB137" s="299"/>
      <c r="AC137" s="299"/>
      <c r="AD137" s="299"/>
      <c r="AE137" s="299"/>
      <c r="AF137" s="299"/>
    </row>
    <row r="138" spans="1:32" x14ac:dyDescent="0.35">
      <c r="A138" s="339"/>
      <c r="B138" s="299"/>
      <c r="C138" s="299"/>
      <c r="D138" s="299"/>
      <c r="E138" s="344"/>
      <c r="F138" s="299"/>
      <c r="G138" s="299"/>
      <c r="H138" s="299"/>
      <c r="I138" s="299"/>
      <c r="J138" s="299"/>
      <c r="K138" s="299"/>
      <c r="L138" s="299"/>
      <c r="M138" s="414"/>
      <c r="N138" s="299"/>
      <c r="O138" s="537"/>
      <c r="P138" s="537"/>
      <c r="Q138" s="537"/>
      <c r="R138" s="537"/>
      <c r="S138" s="299"/>
      <c r="T138" s="299"/>
      <c r="U138" s="299"/>
      <c r="V138" s="299"/>
      <c r="W138" s="299"/>
      <c r="X138" s="299"/>
      <c r="Y138" s="299"/>
      <c r="Z138" s="299"/>
      <c r="AA138" s="299"/>
      <c r="AB138" s="299"/>
      <c r="AC138" s="299"/>
      <c r="AD138" s="299"/>
      <c r="AE138" s="299"/>
      <c r="AF138" s="299"/>
    </row>
    <row r="139" spans="1:32" x14ac:dyDescent="0.35">
      <c r="A139" s="339"/>
      <c r="B139" s="299"/>
      <c r="C139" s="299"/>
      <c r="D139" s="299"/>
      <c r="E139" s="344"/>
      <c r="F139" s="299"/>
      <c r="G139" s="299"/>
      <c r="H139" s="299"/>
      <c r="I139" s="299"/>
      <c r="J139" s="299"/>
      <c r="K139" s="299"/>
      <c r="L139" s="299"/>
      <c r="M139" s="414"/>
      <c r="N139" s="299"/>
      <c r="O139" s="537"/>
      <c r="P139" s="537"/>
      <c r="Q139" s="537"/>
      <c r="R139" s="537"/>
      <c r="S139" s="299"/>
      <c r="T139" s="299"/>
      <c r="U139" s="299"/>
      <c r="V139" s="299"/>
      <c r="W139" s="299"/>
      <c r="X139" s="299"/>
      <c r="Y139" s="299"/>
      <c r="Z139" s="299"/>
      <c r="AA139" s="299"/>
      <c r="AB139" s="299"/>
      <c r="AC139" s="299"/>
      <c r="AD139" s="299"/>
      <c r="AE139" s="299"/>
      <c r="AF139" s="299"/>
    </row>
    <row r="140" spans="1:32" x14ac:dyDescent="0.35">
      <c r="A140" s="339"/>
      <c r="B140" s="299"/>
      <c r="C140" s="299"/>
      <c r="D140" s="299"/>
      <c r="E140" s="344"/>
      <c r="F140" s="299"/>
      <c r="G140" s="299"/>
      <c r="H140" s="299"/>
      <c r="I140" s="299"/>
      <c r="J140" s="299"/>
      <c r="K140" s="299"/>
      <c r="L140" s="299"/>
      <c r="M140" s="414"/>
      <c r="N140" s="299"/>
      <c r="O140" s="537"/>
      <c r="P140" s="537"/>
      <c r="Q140" s="537"/>
      <c r="R140" s="537"/>
      <c r="S140" s="299"/>
      <c r="T140" s="299"/>
      <c r="U140" s="299"/>
      <c r="V140" s="299"/>
      <c r="W140" s="299"/>
      <c r="X140" s="299"/>
      <c r="Y140" s="299"/>
      <c r="Z140" s="299"/>
      <c r="AA140" s="299"/>
      <c r="AB140" s="299"/>
      <c r="AC140" s="299"/>
      <c r="AD140" s="299"/>
      <c r="AE140" s="299"/>
      <c r="AF140" s="299"/>
    </row>
    <row r="141" spans="1:32" x14ac:dyDescent="0.35">
      <c r="A141" s="339"/>
      <c r="B141" s="299"/>
      <c r="C141" s="299"/>
      <c r="D141" s="299"/>
      <c r="E141" s="344"/>
      <c r="F141" s="299"/>
      <c r="G141" s="299"/>
      <c r="H141" s="299"/>
      <c r="I141" s="299"/>
      <c r="J141" s="299"/>
      <c r="K141" s="299"/>
      <c r="L141" s="299"/>
      <c r="M141" s="414"/>
      <c r="N141" s="299"/>
      <c r="O141" s="537"/>
      <c r="P141" s="537"/>
      <c r="Q141" s="537"/>
      <c r="R141" s="537"/>
      <c r="S141" s="299"/>
      <c r="T141" s="299"/>
      <c r="U141" s="299"/>
      <c r="V141" s="299"/>
      <c r="W141" s="299"/>
      <c r="X141" s="299"/>
      <c r="Y141" s="299"/>
      <c r="Z141" s="299"/>
      <c r="AA141" s="299"/>
      <c r="AB141" s="299"/>
      <c r="AC141" s="299"/>
      <c r="AD141" s="299"/>
      <c r="AE141" s="299"/>
      <c r="AF141" s="299"/>
    </row>
    <row r="142" spans="1:32" x14ac:dyDescent="0.35">
      <c r="A142" s="339"/>
      <c r="B142" s="299"/>
      <c r="C142" s="299"/>
      <c r="D142" s="299"/>
      <c r="E142" s="344"/>
      <c r="F142" s="299"/>
      <c r="G142" s="299"/>
      <c r="H142" s="299"/>
      <c r="I142" s="299"/>
      <c r="J142" s="299"/>
      <c r="K142" s="299"/>
      <c r="L142" s="299"/>
      <c r="M142" s="414"/>
      <c r="N142" s="299"/>
      <c r="O142" s="537"/>
      <c r="P142" s="537"/>
      <c r="Q142" s="537"/>
      <c r="R142" s="537"/>
      <c r="S142" s="299"/>
      <c r="T142" s="299"/>
      <c r="U142" s="299"/>
      <c r="V142" s="299"/>
      <c r="W142" s="299"/>
      <c r="X142" s="299"/>
      <c r="Y142" s="299"/>
      <c r="Z142" s="299"/>
      <c r="AA142" s="299"/>
      <c r="AB142" s="299"/>
      <c r="AC142" s="299"/>
      <c r="AD142" s="299"/>
      <c r="AE142" s="299"/>
      <c r="AF142" s="299"/>
    </row>
    <row r="143" spans="1:32" x14ac:dyDescent="0.35">
      <c r="A143" s="339"/>
      <c r="B143" s="299"/>
      <c r="C143" s="299"/>
      <c r="D143" s="299"/>
      <c r="E143" s="344"/>
      <c r="F143" s="299"/>
      <c r="G143" s="299"/>
      <c r="H143" s="299"/>
      <c r="I143" s="299"/>
      <c r="J143" s="299"/>
      <c r="K143" s="299"/>
      <c r="L143" s="299"/>
      <c r="M143" s="414"/>
      <c r="N143" s="299"/>
      <c r="O143" s="537"/>
      <c r="P143" s="537"/>
      <c r="Q143" s="537"/>
      <c r="R143" s="537"/>
      <c r="S143" s="299"/>
      <c r="T143" s="299"/>
      <c r="U143" s="299"/>
      <c r="V143" s="299"/>
      <c r="W143" s="299"/>
      <c r="X143" s="299"/>
      <c r="Y143" s="299"/>
      <c r="Z143" s="299"/>
      <c r="AA143" s="299"/>
      <c r="AB143" s="299"/>
      <c r="AC143" s="299"/>
      <c r="AD143" s="299"/>
      <c r="AE143" s="299"/>
      <c r="AF143" s="299"/>
    </row>
    <row r="144" spans="1:32" x14ac:dyDescent="0.35">
      <c r="A144" s="339"/>
      <c r="B144" s="299"/>
      <c r="C144" s="299"/>
      <c r="D144" s="299"/>
      <c r="E144" s="344"/>
      <c r="F144" s="299"/>
      <c r="G144" s="299"/>
      <c r="H144" s="299"/>
      <c r="I144" s="299"/>
      <c r="J144" s="299"/>
      <c r="K144" s="299"/>
      <c r="L144" s="299"/>
      <c r="M144" s="414"/>
      <c r="N144" s="299"/>
      <c r="O144" s="537"/>
      <c r="P144" s="537"/>
      <c r="Q144" s="537"/>
      <c r="R144" s="537"/>
      <c r="S144" s="299"/>
      <c r="T144" s="299"/>
      <c r="U144" s="299"/>
      <c r="V144" s="299"/>
      <c r="W144" s="299"/>
      <c r="X144" s="299"/>
      <c r="Y144" s="299"/>
      <c r="Z144" s="299"/>
      <c r="AA144" s="299"/>
      <c r="AB144" s="299"/>
      <c r="AC144" s="299"/>
      <c r="AD144" s="299"/>
      <c r="AE144" s="299"/>
      <c r="AF144" s="299"/>
    </row>
    <row r="145" spans="1:32" x14ac:dyDescent="0.35">
      <c r="A145" s="339"/>
      <c r="B145" s="299"/>
      <c r="C145" s="299"/>
      <c r="D145" s="299"/>
      <c r="E145" s="344"/>
      <c r="F145" s="299"/>
      <c r="G145" s="299"/>
      <c r="H145" s="299"/>
      <c r="I145" s="299"/>
      <c r="J145" s="299"/>
      <c r="K145" s="299"/>
      <c r="L145" s="299"/>
      <c r="M145" s="414"/>
      <c r="N145" s="299"/>
      <c r="O145" s="537"/>
      <c r="P145" s="537"/>
      <c r="Q145" s="537"/>
      <c r="R145" s="537"/>
      <c r="S145" s="299"/>
      <c r="T145" s="299"/>
      <c r="U145" s="299"/>
      <c r="V145" s="299"/>
      <c r="W145" s="299"/>
      <c r="X145" s="299"/>
      <c r="Y145" s="299"/>
      <c r="Z145" s="299"/>
      <c r="AA145" s="299"/>
      <c r="AB145" s="299"/>
      <c r="AC145" s="299"/>
      <c r="AD145" s="299"/>
      <c r="AE145" s="299"/>
      <c r="AF145" s="299"/>
    </row>
    <row r="146" spans="1:32" x14ac:dyDescent="0.35">
      <c r="A146" s="339"/>
      <c r="B146" s="299"/>
      <c r="C146" s="299"/>
      <c r="D146" s="299"/>
      <c r="E146" s="344"/>
      <c r="F146" s="299"/>
      <c r="G146" s="299"/>
      <c r="H146" s="299"/>
      <c r="I146" s="299"/>
      <c r="J146" s="299"/>
      <c r="K146" s="299"/>
      <c r="L146" s="299"/>
      <c r="M146" s="414"/>
      <c r="N146" s="299"/>
      <c r="O146" s="537"/>
      <c r="P146" s="537"/>
      <c r="Q146" s="537"/>
      <c r="R146" s="537"/>
      <c r="S146" s="299"/>
      <c r="T146" s="299"/>
      <c r="U146" s="299"/>
      <c r="V146" s="299"/>
      <c r="W146" s="299"/>
      <c r="X146" s="299"/>
      <c r="Y146" s="299"/>
      <c r="Z146" s="299"/>
      <c r="AA146" s="299"/>
      <c r="AB146" s="299"/>
      <c r="AC146" s="299"/>
      <c r="AD146" s="299"/>
      <c r="AE146" s="299"/>
      <c r="AF146" s="299"/>
    </row>
    <row r="147" spans="1:32" x14ac:dyDescent="0.35">
      <c r="A147" s="339"/>
      <c r="B147" s="299"/>
      <c r="C147" s="299"/>
      <c r="D147" s="299"/>
      <c r="E147" s="344"/>
      <c r="F147" s="299"/>
      <c r="G147" s="299"/>
      <c r="H147" s="299"/>
      <c r="I147" s="299"/>
      <c r="J147" s="299"/>
      <c r="K147" s="299"/>
      <c r="L147" s="299"/>
      <c r="M147" s="414"/>
      <c r="N147" s="299"/>
      <c r="O147" s="537"/>
      <c r="P147" s="537"/>
      <c r="Q147" s="537"/>
      <c r="R147" s="537"/>
      <c r="S147" s="299"/>
      <c r="T147" s="299"/>
      <c r="U147" s="299"/>
      <c r="V147" s="299"/>
      <c r="W147" s="299"/>
      <c r="X147" s="299"/>
      <c r="Y147" s="299"/>
      <c r="Z147" s="299"/>
      <c r="AA147" s="299"/>
      <c r="AB147" s="299"/>
      <c r="AC147" s="299"/>
      <c r="AD147" s="299"/>
      <c r="AE147" s="299"/>
      <c r="AF147" s="299"/>
    </row>
    <row r="148" spans="1:32" x14ac:dyDescent="0.35">
      <c r="A148" s="339"/>
      <c r="B148" s="299"/>
      <c r="C148" s="299"/>
      <c r="D148" s="299"/>
      <c r="E148" s="344"/>
      <c r="F148" s="299"/>
      <c r="G148" s="299"/>
      <c r="H148" s="299"/>
      <c r="I148" s="299"/>
      <c r="J148" s="299"/>
      <c r="K148" s="299"/>
      <c r="L148" s="299"/>
      <c r="M148" s="414"/>
      <c r="N148" s="299"/>
      <c r="O148" s="537"/>
      <c r="P148" s="537"/>
      <c r="Q148" s="537"/>
      <c r="R148" s="537"/>
      <c r="S148" s="299"/>
      <c r="T148" s="299"/>
      <c r="U148" s="299"/>
      <c r="V148" s="299"/>
      <c r="W148" s="299"/>
      <c r="X148" s="299"/>
      <c r="Y148" s="299"/>
      <c r="Z148" s="299"/>
      <c r="AA148" s="299"/>
      <c r="AB148" s="299"/>
      <c r="AC148" s="299"/>
      <c r="AD148" s="299"/>
      <c r="AE148" s="299"/>
      <c r="AF148" s="299"/>
    </row>
    <row r="149" spans="1:32" x14ac:dyDescent="0.35">
      <c r="A149" s="339"/>
      <c r="B149" s="299"/>
      <c r="C149" s="299"/>
      <c r="D149" s="299"/>
      <c r="E149" s="344"/>
      <c r="F149" s="299"/>
      <c r="G149" s="299"/>
      <c r="H149" s="299"/>
      <c r="I149" s="299"/>
      <c r="J149" s="299"/>
      <c r="K149" s="299"/>
      <c r="L149" s="299"/>
      <c r="M149" s="414"/>
      <c r="N149" s="299"/>
      <c r="O149" s="537"/>
      <c r="P149" s="537"/>
      <c r="Q149" s="537"/>
      <c r="R149" s="537"/>
      <c r="S149" s="299"/>
      <c r="T149" s="299"/>
      <c r="U149" s="299"/>
      <c r="V149" s="299"/>
      <c r="W149" s="299"/>
      <c r="X149" s="299"/>
      <c r="Y149" s="299"/>
      <c r="Z149" s="299"/>
      <c r="AA149" s="299"/>
      <c r="AB149" s="299"/>
      <c r="AC149" s="299"/>
      <c r="AD149" s="299"/>
      <c r="AE149" s="299"/>
      <c r="AF149" s="299"/>
    </row>
    <row r="150" spans="1:32" x14ac:dyDescent="0.35">
      <c r="A150" s="339"/>
      <c r="B150" s="299"/>
      <c r="C150" s="299"/>
      <c r="D150" s="299"/>
      <c r="E150" s="344"/>
      <c r="F150" s="299"/>
      <c r="G150" s="299"/>
      <c r="H150" s="299"/>
      <c r="I150" s="299"/>
      <c r="J150" s="299"/>
      <c r="K150" s="299"/>
      <c r="L150" s="299"/>
      <c r="M150" s="414"/>
      <c r="N150" s="299"/>
      <c r="O150" s="537"/>
      <c r="P150" s="537"/>
      <c r="Q150" s="537"/>
      <c r="R150" s="537"/>
      <c r="S150" s="299"/>
      <c r="T150" s="299"/>
      <c r="U150" s="299"/>
      <c r="V150" s="299"/>
      <c r="W150" s="299"/>
      <c r="X150" s="299"/>
      <c r="Y150" s="299"/>
      <c r="Z150" s="299"/>
      <c r="AA150" s="299"/>
      <c r="AB150" s="299"/>
      <c r="AC150" s="299"/>
      <c r="AD150" s="299"/>
      <c r="AE150" s="299"/>
      <c r="AF150" s="299"/>
    </row>
    <row r="151" spans="1:32" x14ac:dyDescent="0.35">
      <c r="A151" s="339"/>
      <c r="B151" s="299"/>
      <c r="C151" s="299"/>
      <c r="D151" s="299"/>
      <c r="E151" s="344"/>
      <c r="F151" s="299"/>
      <c r="G151" s="299"/>
      <c r="H151" s="299"/>
      <c r="I151" s="299"/>
      <c r="J151" s="299"/>
      <c r="K151" s="299"/>
      <c r="L151" s="299"/>
      <c r="M151" s="414"/>
      <c r="N151" s="299"/>
      <c r="O151" s="537"/>
      <c r="P151" s="537"/>
      <c r="Q151" s="537"/>
      <c r="R151" s="537"/>
      <c r="S151" s="299"/>
      <c r="T151" s="299"/>
      <c r="U151" s="299"/>
      <c r="V151" s="299"/>
      <c r="W151" s="299"/>
      <c r="X151" s="299"/>
      <c r="Y151" s="299"/>
      <c r="Z151" s="299"/>
      <c r="AA151" s="299"/>
      <c r="AB151" s="299"/>
      <c r="AC151" s="299"/>
      <c r="AD151" s="299"/>
      <c r="AE151" s="299"/>
      <c r="AF151" s="299"/>
    </row>
    <row r="152" spans="1:32" x14ac:dyDescent="0.35">
      <c r="A152" s="339"/>
      <c r="B152" s="299"/>
      <c r="C152" s="299"/>
      <c r="D152" s="299"/>
      <c r="E152" s="344"/>
      <c r="F152" s="299"/>
      <c r="G152" s="299"/>
      <c r="H152" s="299"/>
      <c r="I152" s="299"/>
      <c r="J152" s="299"/>
      <c r="K152" s="299"/>
      <c r="L152" s="299"/>
      <c r="M152" s="414"/>
      <c r="N152" s="299"/>
      <c r="O152" s="537"/>
      <c r="P152" s="537"/>
      <c r="Q152" s="537"/>
      <c r="R152" s="537"/>
      <c r="S152" s="299"/>
      <c r="T152" s="299"/>
      <c r="U152" s="299"/>
      <c r="V152" s="299"/>
      <c r="W152" s="299"/>
      <c r="X152" s="299"/>
      <c r="Y152" s="299"/>
      <c r="Z152" s="299"/>
      <c r="AA152" s="299"/>
      <c r="AB152" s="299"/>
      <c r="AC152" s="299"/>
      <c r="AD152" s="299"/>
      <c r="AE152" s="299"/>
      <c r="AF152" s="299"/>
    </row>
    <row r="153" spans="1:32" x14ac:dyDescent="0.35">
      <c r="A153" s="339"/>
      <c r="B153" s="299"/>
      <c r="C153" s="299"/>
      <c r="D153" s="299"/>
      <c r="E153" s="344"/>
      <c r="F153" s="299"/>
      <c r="G153" s="299"/>
      <c r="H153" s="299"/>
      <c r="I153" s="299"/>
      <c r="J153" s="299"/>
      <c r="K153" s="299"/>
      <c r="L153" s="299"/>
      <c r="M153" s="414"/>
      <c r="N153" s="299"/>
      <c r="O153" s="537"/>
      <c r="P153" s="537"/>
      <c r="Q153" s="537"/>
      <c r="R153" s="537"/>
      <c r="S153" s="299"/>
      <c r="T153" s="299"/>
      <c r="U153" s="299"/>
      <c r="V153" s="299"/>
      <c r="W153" s="299"/>
      <c r="X153" s="299"/>
      <c r="Y153" s="299"/>
      <c r="Z153" s="299"/>
      <c r="AA153" s="299"/>
      <c r="AB153" s="299"/>
      <c r="AC153" s="299"/>
      <c r="AD153" s="299"/>
      <c r="AE153" s="299"/>
      <c r="AF153" s="299"/>
    </row>
    <row r="154" spans="1:32" x14ac:dyDescent="0.35">
      <c r="A154" s="339"/>
      <c r="B154" s="299"/>
      <c r="C154" s="299"/>
      <c r="D154" s="299"/>
      <c r="E154" s="344"/>
      <c r="F154" s="299"/>
      <c r="G154" s="299"/>
      <c r="H154" s="299"/>
      <c r="I154" s="299"/>
      <c r="J154" s="299"/>
      <c r="K154" s="299"/>
      <c r="L154" s="299"/>
      <c r="M154" s="414"/>
      <c r="N154" s="299"/>
      <c r="O154" s="537"/>
      <c r="P154" s="537"/>
      <c r="Q154" s="537"/>
      <c r="R154" s="537"/>
      <c r="S154" s="299"/>
      <c r="T154" s="299"/>
      <c r="U154" s="299"/>
      <c r="V154" s="299"/>
      <c r="W154" s="299"/>
      <c r="X154" s="299"/>
      <c r="Y154" s="299"/>
      <c r="Z154" s="299"/>
      <c r="AA154" s="299"/>
      <c r="AB154" s="299"/>
      <c r="AC154" s="299"/>
      <c r="AD154" s="299"/>
      <c r="AE154" s="299"/>
      <c r="AF154" s="299"/>
    </row>
    <row r="155" spans="1:32" x14ac:dyDescent="0.35">
      <c r="A155" s="339"/>
      <c r="B155" s="299"/>
      <c r="C155" s="299"/>
      <c r="D155" s="299"/>
      <c r="E155" s="344"/>
      <c r="F155" s="299"/>
      <c r="G155" s="299"/>
      <c r="H155" s="299"/>
      <c r="I155" s="299"/>
      <c r="J155" s="299"/>
      <c r="K155" s="299"/>
      <c r="L155" s="299"/>
      <c r="M155" s="414"/>
      <c r="N155" s="299"/>
      <c r="O155" s="537"/>
      <c r="P155" s="537"/>
      <c r="Q155" s="537"/>
      <c r="R155" s="537"/>
      <c r="S155" s="299"/>
      <c r="T155" s="299"/>
      <c r="U155" s="299"/>
      <c r="V155" s="299"/>
      <c r="W155" s="299"/>
      <c r="X155" s="299"/>
      <c r="Y155" s="299"/>
      <c r="Z155" s="299"/>
      <c r="AA155" s="299"/>
      <c r="AB155" s="299"/>
      <c r="AC155" s="299"/>
      <c r="AD155" s="299"/>
      <c r="AE155" s="299"/>
      <c r="AF155" s="299"/>
    </row>
    <row r="156" spans="1:32" x14ac:dyDescent="0.35">
      <c r="A156" s="339"/>
      <c r="B156" s="299"/>
      <c r="C156" s="299"/>
      <c r="D156" s="299"/>
      <c r="E156" s="344"/>
      <c r="F156" s="299"/>
      <c r="G156" s="299"/>
      <c r="H156" s="299"/>
      <c r="I156" s="299"/>
      <c r="J156" s="299"/>
      <c r="K156" s="299"/>
      <c r="L156" s="299"/>
      <c r="M156" s="414"/>
      <c r="N156" s="299"/>
      <c r="O156" s="537"/>
      <c r="P156" s="537"/>
      <c r="Q156" s="537"/>
      <c r="R156" s="537"/>
      <c r="S156" s="299"/>
      <c r="T156" s="299"/>
      <c r="U156" s="299"/>
      <c r="V156" s="299"/>
      <c r="W156" s="299"/>
      <c r="X156" s="299"/>
      <c r="Y156" s="299"/>
      <c r="Z156" s="299"/>
      <c r="AA156" s="299"/>
      <c r="AB156" s="299"/>
      <c r="AC156" s="299"/>
      <c r="AD156" s="299"/>
      <c r="AE156" s="299"/>
      <c r="AF156" s="299"/>
    </row>
    <row r="157" spans="1:32" x14ac:dyDescent="0.35">
      <c r="A157" s="339"/>
      <c r="B157" s="299"/>
      <c r="C157" s="299"/>
      <c r="D157" s="299"/>
      <c r="E157" s="344"/>
      <c r="F157" s="299"/>
      <c r="G157" s="299"/>
      <c r="H157" s="299"/>
      <c r="I157" s="299"/>
      <c r="J157" s="299"/>
      <c r="K157" s="299"/>
      <c r="L157" s="299"/>
      <c r="M157" s="414"/>
      <c r="N157" s="299"/>
      <c r="O157" s="537"/>
      <c r="P157" s="537"/>
      <c r="Q157" s="537"/>
      <c r="R157" s="537"/>
      <c r="S157" s="299"/>
      <c r="T157" s="299"/>
      <c r="U157" s="299"/>
      <c r="V157" s="299"/>
      <c r="W157" s="299"/>
      <c r="X157" s="299"/>
      <c r="Y157" s="299"/>
      <c r="Z157" s="299"/>
      <c r="AA157" s="299"/>
      <c r="AB157" s="299"/>
      <c r="AC157" s="299"/>
      <c r="AD157" s="299"/>
      <c r="AE157" s="299"/>
      <c r="AF157" s="299"/>
    </row>
    <row r="158" spans="1:32" x14ac:dyDescent="0.35">
      <c r="A158" s="339"/>
      <c r="B158" s="299"/>
      <c r="C158" s="299"/>
      <c r="D158" s="299"/>
      <c r="E158" s="344"/>
      <c r="F158" s="299"/>
      <c r="G158" s="299"/>
      <c r="H158" s="299"/>
      <c r="I158" s="299"/>
      <c r="J158" s="299"/>
      <c r="K158" s="299"/>
      <c r="L158" s="299"/>
      <c r="M158" s="414"/>
      <c r="N158" s="299"/>
      <c r="O158" s="537"/>
      <c r="P158" s="537"/>
      <c r="Q158" s="537"/>
      <c r="R158" s="537"/>
      <c r="S158" s="299"/>
      <c r="T158" s="299"/>
      <c r="U158" s="299"/>
      <c r="V158" s="299"/>
      <c r="W158" s="299"/>
      <c r="X158" s="299"/>
      <c r="Y158" s="299"/>
      <c r="Z158" s="299"/>
      <c r="AA158" s="299"/>
      <c r="AB158" s="299"/>
      <c r="AC158" s="299"/>
      <c r="AD158" s="299"/>
      <c r="AE158" s="299"/>
      <c r="AF158" s="299"/>
    </row>
    <row r="159" spans="1:32" x14ac:dyDescent="0.35">
      <c r="A159" s="339"/>
      <c r="B159" s="299"/>
      <c r="C159" s="299"/>
      <c r="D159" s="299"/>
      <c r="E159" s="344"/>
      <c r="F159" s="299"/>
      <c r="G159" s="299"/>
      <c r="H159" s="299"/>
      <c r="I159" s="299"/>
      <c r="J159" s="299"/>
      <c r="K159" s="299"/>
      <c r="L159" s="299"/>
      <c r="M159" s="414"/>
      <c r="N159" s="299"/>
      <c r="O159" s="537"/>
      <c r="P159" s="537"/>
      <c r="Q159" s="537"/>
      <c r="R159" s="537"/>
      <c r="S159" s="299"/>
      <c r="T159" s="299"/>
      <c r="U159" s="299"/>
      <c r="V159" s="299"/>
      <c r="W159" s="299"/>
      <c r="X159" s="299"/>
      <c r="Y159" s="299"/>
      <c r="Z159" s="299"/>
      <c r="AA159" s="299"/>
      <c r="AB159" s="299"/>
      <c r="AC159" s="299"/>
      <c r="AD159" s="299"/>
      <c r="AE159" s="299"/>
      <c r="AF159" s="299"/>
    </row>
    <row r="160" spans="1:32" x14ac:dyDescent="0.35">
      <c r="A160" s="339"/>
      <c r="B160" s="299"/>
      <c r="C160" s="299"/>
      <c r="D160" s="299"/>
      <c r="E160" s="344"/>
      <c r="F160" s="299"/>
      <c r="G160" s="299"/>
      <c r="H160" s="299"/>
      <c r="I160" s="299"/>
      <c r="J160" s="299"/>
      <c r="K160" s="299"/>
      <c r="L160" s="299"/>
      <c r="M160" s="414"/>
      <c r="N160" s="299"/>
      <c r="O160" s="537"/>
      <c r="P160" s="537"/>
      <c r="Q160" s="537"/>
      <c r="R160" s="537"/>
      <c r="S160" s="299"/>
      <c r="T160" s="299"/>
      <c r="U160" s="299"/>
      <c r="V160" s="299"/>
      <c r="W160" s="299"/>
      <c r="X160" s="299"/>
      <c r="Y160" s="299"/>
      <c r="Z160" s="299"/>
      <c r="AA160" s="299"/>
      <c r="AB160" s="299"/>
      <c r="AC160" s="299"/>
      <c r="AD160" s="299"/>
      <c r="AE160" s="299"/>
      <c r="AF160" s="299"/>
    </row>
    <row r="161" spans="1:32" x14ac:dyDescent="0.35">
      <c r="A161" s="339"/>
      <c r="B161" s="299"/>
      <c r="C161" s="299"/>
      <c r="D161" s="299"/>
      <c r="E161" s="344"/>
      <c r="F161" s="299"/>
      <c r="G161" s="299"/>
      <c r="H161" s="299"/>
      <c r="I161" s="299"/>
      <c r="J161" s="299"/>
      <c r="K161" s="299"/>
      <c r="L161" s="299"/>
      <c r="M161" s="414"/>
      <c r="N161" s="299"/>
      <c r="O161" s="537"/>
      <c r="P161" s="537"/>
      <c r="Q161" s="537"/>
      <c r="R161" s="537"/>
      <c r="S161" s="299"/>
      <c r="T161" s="299"/>
      <c r="U161" s="299"/>
      <c r="V161" s="299"/>
      <c r="W161" s="299"/>
      <c r="X161" s="299"/>
      <c r="Y161" s="299"/>
      <c r="Z161" s="299"/>
      <c r="AA161" s="299"/>
      <c r="AB161" s="299"/>
      <c r="AC161" s="299"/>
      <c r="AD161" s="299"/>
      <c r="AE161" s="299"/>
      <c r="AF161" s="299"/>
    </row>
    <row r="162" spans="1:32" x14ac:dyDescent="0.35">
      <c r="A162" s="339"/>
      <c r="B162" s="299"/>
      <c r="C162" s="299"/>
      <c r="D162" s="299"/>
      <c r="E162" s="344"/>
      <c r="F162" s="299"/>
      <c r="G162" s="299"/>
      <c r="H162" s="299"/>
      <c r="I162" s="299"/>
      <c r="J162" s="299"/>
      <c r="K162" s="299"/>
      <c r="L162" s="299"/>
      <c r="M162" s="414"/>
      <c r="N162" s="299"/>
      <c r="O162" s="537"/>
      <c r="P162" s="537"/>
      <c r="Q162" s="537"/>
      <c r="R162" s="537"/>
      <c r="S162" s="299"/>
      <c r="T162" s="299"/>
      <c r="U162" s="299"/>
      <c r="V162" s="299"/>
      <c r="W162" s="299"/>
      <c r="X162" s="299"/>
      <c r="Y162" s="299"/>
      <c r="Z162" s="299"/>
      <c r="AA162" s="299"/>
      <c r="AB162" s="299"/>
      <c r="AC162" s="299"/>
      <c r="AD162" s="299"/>
      <c r="AE162" s="299"/>
      <c r="AF162" s="299"/>
    </row>
    <row r="163" spans="1:32" x14ac:dyDescent="0.35">
      <c r="A163" s="339"/>
      <c r="B163" s="299"/>
      <c r="C163" s="299"/>
      <c r="D163" s="299"/>
      <c r="E163" s="344"/>
      <c r="F163" s="299"/>
      <c r="G163" s="299"/>
      <c r="H163" s="299"/>
      <c r="I163" s="299"/>
      <c r="J163" s="299"/>
      <c r="K163" s="299"/>
      <c r="L163" s="299"/>
      <c r="M163" s="414"/>
      <c r="N163" s="299"/>
      <c r="O163" s="537"/>
      <c r="P163" s="537"/>
      <c r="Q163" s="537"/>
      <c r="R163" s="537"/>
      <c r="S163" s="299"/>
      <c r="T163" s="299"/>
      <c r="U163" s="299"/>
      <c r="V163" s="299"/>
      <c r="W163" s="299"/>
      <c r="X163" s="299"/>
      <c r="Y163" s="299"/>
      <c r="Z163" s="299"/>
      <c r="AA163" s="299"/>
      <c r="AB163" s="299"/>
      <c r="AC163" s="299"/>
      <c r="AD163" s="299"/>
      <c r="AE163" s="299"/>
      <c r="AF163" s="299"/>
    </row>
    <row r="164" spans="1:32" x14ac:dyDescent="0.35">
      <c r="A164" s="339"/>
      <c r="B164" s="299"/>
      <c r="C164" s="299"/>
      <c r="D164" s="299"/>
      <c r="E164" s="344"/>
      <c r="F164" s="299"/>
      <c r="G164" s="299"/>
      <c r="H164" s="299"/>
      <c r="I164" s="299"/>
      <c r="J164" s="299"/>
      <c r="K164" s="299"/>
      <c r="L164" s="299"/>
      <c r="M164" s="414"/>
      <c r="N164" s="299"/>
      <c r="O164" s="537"/>
      <c r="P164" s="537"/>
      <c r="Q164" s="537"/>
      <c r="R164" s="537"/>
      <c r="S164" s="299"/>
      <c r="T164" s="299"/>
      <c r="U164" s="299"/>
      <c r="V164" s="299"/>
      <c r="W164" s="299"/>
      <c r="X164" s="299"/>
      <c r="Y164" s="299"/>
      <c r="Z164" s="299"/>
      <c r="AA164" s="299"/>
      <c r="AB164" s="299"/>
      <c r="AC164" s="299"/>
      <c r="AD164" s="299"/>
      <c r="AE164" s="299"/>
      <c r="AF164" s="299"/>
    </row>
    <row r="165" spans="1:32" x14ac:dyDescent="0.35">
      <c r="A165" s="339"/>
      <c r="B165" s="299"/>
      <c r="C165" s="299"/>
      <c r="D165" s="299"/>
      <c r="E165" s="344"/>
      <c r="F165" s="299"/>
      <c r="G165" s="299"/>
      <c r="H165" s="299"/>
      <c r="I165" s="299"/>
      <c r="J165" s="299"/>
      <c r="K165" s="299"/>
      <c r="L165" s="299"/>
      <c r="M165" s="414"/>
      <c r="N165" s="299"/>
      <c r="O165" s="537"/>
      <c r="P165" s="537"/>
      <c r="Q165" s="537"/>
      <c r="R165" s="537"/>
      <c r="S165" s="299"/>
      <c r="T165" s="299"/>
      <c r="U165" s="299"/>
      <c r="V165" s="299"/>
      <c r="W165" s="299"/>
      <c r="X165" s="299"/>
      <c r="Y165" s="299"/>
      <c r="Z165" s="299"/>
      <c r="AA165" s="299"/>
      <c r="AB165" s="299"/>
      <c r="AC165" s="299"/>
      <c r="AD165" s="299"/>
      <c r="AE165" s="299"/>
      <c r="AF165" s="299"/>
    </row>
    <row r="166" spans="1:32" x14ac:dyDescent="0.35">
      <c r="A166" s="339"/>
      <c r="B166" s="299"/>
      <c r="C166" s="299"/>
      <c r="D166" s="299"/>
      <c r="E166" s="344"/>
      <c r="F166" s="299"/>
      <c r="G166" s="299"/>
      <c r="H166" s="299"/>
      <c r="I166" s="299"/>
      <c r="J166" s="299"/>
      <c r="K166" s="299"/>
      <c r="L166" s="299"/>
      <c r="M166" s="414"/>
      <c r="N166" s="299"/>
      <c r="O166" s="537"/>
      <c r="P166" s="537"/>
      <c r="Q166" s="537"/>
      <c r="R166" s="537"/>
      <c r="S166" s="299"/>
      <c r="T166" s="299"/>
      <c r="U166" s="299"/>
      <c r="V166" s="299"/>
      <c r="W166" s="299"/>
      <c r="X166" s="299"/>
      <c r="Y166" s="299"/>
      <c r="Z166" s="299"/>
      <c r="AA166" s="299"/>
      <c r="AB166" s="299"/>
      <c r="AC166" s="299"/>
      <c r="AD166" s="299"/>
      <c r="AE166" s="299"/>
      <c r="AF166" s="299"/>
    </row>
    <row r="167" spans="1:32" x14ac:dyDescent="0.35">
      <c r="A167" s="339"/>
      <c r="B167" s="299"/>
      <c r="C167" s="299"/>
      <c r="D167" s="299"/>
      <c r="E167" s="344"/>
      <c r="F167" s="299"/>
      <c r="G167" s="299"/>
      <c r="H167" s="299"/>
      <c r="I167" s="299"/>
      <c r="J167" s="299"/>
      <c r="K167" s="299"/>
      <c r="L167" s="299"/>
      <c r="M167" s="414"/>
      <c r="N167" s="299"/>
      <c r="O167" s="537"/>
      <c r="P167" s="537"/>
      <c r="Q167" s="537"/>
      <c r="R167" s="537"/>
      <c r="S167" s="299"/>
      <c r="T167" s="299"/>
      <c r="U167" s="299"/>
      <c r="V167" s="299"/>
      <c r="W167" s="299"/>
      <c r="X167" s="299"/>
      <c r="Y167" s="299"/>
      <c r="Z167" s="299"/>
      <c r="AA167" s="299"/>
      <c r="AB167" s="299"/>
      <c r="AC167" s="299"/>
      <c r="AD167" s="299"/>
      <c r="AE167" s="299"/>
      <c r="AF167" s="299"/>
    </row>
    <row r="168" spans="1:32" x14ac:dyDescent="0.35">
      <c r="A168" s="339"/>
      <c r="B168" s="299"/>
      <c r="C168" s="299"/>
      <c r="D168" s="299"/>
      <c r="E168" s="344"/>
      <c r="F168" s="299"/>
      <c r="G168" s="299"/>
      <c r="H168" s="299"/>
      <c r="I168" s="299"/>
      <c r="J168" s="299"/>
      <c r="K168" s="299"/>
      <c r="L168" s="299"/>
      <c r="M168" s="414"/>
      <c r="N168" s="299"/>
      <c r="O168" s="537"/>
      <c r="P168" s="537"/>
      <c r="Q168" s="537"/>
      <c r="R168" s="537"/>
      <c r="S168" s="299"/>
      <c r="T168" s="299"/>
      <c r="U168" s="299"/>
      <c r="V168" s="299"/>
      <c r="W168" s="299"/>
      <c r="X168" s="299"/>
      <c r="Y168" s="299"/>
      <c r="Z168" s="299"/>
      <c r="AA168" s="299"/>
      <c r="AB168" s="299"/>
      <c r="AC168" s="299"/>
      <c r="AD168" s="299"/>
      <c r="AE168" s="299"/>
      <c r="AF168" s="299"/>
    </row>
    <row r="169" spans="1:32" x14ac:dyDescent="0.35">
      <c r="A169" s="339"/>
      <c r="B169" s="299"/>
      <c r="C169" s="299"/>
      <c r="D169" s="299"/>
      <c r="E169" s="344"/>
      <c r="F169" s="299"/>
      <c r="G169" s="299"/>
      <c r="H169" s="299"/>
      <c r="I169" s="299"/>
      <c r="J169" s="299"/>
      <c r="K169" s="299"/>
      <c r="L169" s="299"/>
      <c r="M169" s="414"/>
      <c r="N169" s="299"/>
      <c r="O169" s="537"/>
      <c r="P169" s="537"/>
      <c r="Q169" s="537"/>
      <c r="R169" s="537"/>
      <c r="S169" s="299"/>
      <c r="T169" s="299"/>
      <c r="U169" s="299"/>
      <c r="V169" s="299"/>
      <c r="W169" s="299"/>
      <c r="X169" s="299"/>
      <c r="Y169" s="299"/>
      <c r="Z169" s="299"/>
      <c r="AA169" s="299"/>
      <c r="AB169" s="299"/>
      <c r="AC169" s="299"/>
      <c r="AD169" s="299"/>
      <c r="AE169" s="299"/>
      <c r="AF169" s="299"/>
    </row>
    <row r="170" spans="1:32" x14ac:dyDescent="0.35">
      <c r="A170" s="339"/>
      <c r="B170" s="299"/>
      <c r="C170" s="299"/>
      <c r="D170" s="299"/>
      <c r="E170" s="344"/>
      <c r="F170" s="299"/>
      <c r="G170" s="299"/>
      <c r="H170" s="299"/>
      <c r="I170" s="299"/>
      <c r="J170" s="299"/>
      <c r="K170" s="299"/>
      <c r="L170" s="299"/>
      <c r="M170" s="414"/>
      <c r="N170" s="299"/>
      <c r="O170" s="537"/>
      <c r="P170" s="537"/>
      <c r="Q170" s="537"/>
      <c r="R170" s="537"/>
      <c r="S170" s="299"/>
      <c r="T170" s="299"/>
      <c r="U170" s="299"/>
      <c r="V170" s="299"/>
      <c r="W170" s="299"/>
      <c r="X170" s="299"/>
      <c r="Y170" s="299"/>
      <c r="Z170" s="299"/>
      <c r="AA170" s="299"/>
      <c r="AB170" s="299"/>
      <c r="AC170" s="299"/>
      <c r="AD170" s="299"/>
      <c r="AE170" s="299"/>
      <c r="AF170" s="299"/>
    </row>
    <row r="171" spans="1:32" x14ac:dyDescent="0.35">
      <c r="A171" s="339"/>
      <c r="B171" s="299"/>
      <c r="C171" s="299"/>
      <c r="D171" s="299"/>
      <c r="E171" s="344"/>
      <c r="F171" s="299"/>
      <c r="G171" s="299"/>
      <c r="H171" s="299"/>
      <c r="I171" s="299"/>
      <c r="J171" s="299"/>
      <c r="K171" s="299"/>
      <c r="L171" s="299"/>
      <c r="M171" s="414"/>
      <c r="N171" s="299"/>
      <c r="O171" s="537"/>
      <c r="P171" s="537"/>
      <c r="Q171" s="537"/>
      <c r="R171" s="537"/>
      <c r="S171" s="299"/>
      <c r="T171" s="299"/>
      <c r="U171" s="299"/>
      <c r="V171" s="299"/>
      <c r="W171" s="299"/>
      <c r="X171" s="299"/>
      <c r="Y171" s="299"/>
      <c r="Z171" s="299"/>
      <c r="AA171" s="299"/>
      <c r="AB171" s="299"/>
      <c r="AC171" s="299"/>
      <c r="AD171" s="299"/>
      <c r="AE171" s="299"/>
      <c r="AF171" s="299"/>
    </row>
    <row r="172" spans="1:32" x14ac:dyDescent="0.35">
      <c r="A172" s="339"/>
      <c r="B172" s="299"/>
      <c r="C172" s="299"/>
      <c r="D172" s="299"/>
      <c r="E172" s="344"/>
      <c r="F172" s="299"/>
      <c r="G172" s="299"/>
      <c r="H172" s="299"/>
      <c r="I172" s="299"/>
      <c r="J172" s="299"/>
      <c r="K172" s="299"/>
      <c r="L172" s="299"/>
      <c r="M172" s="414"/>
      <c r="N172" s="299"/>
      <c r="O172" s="537"/>
      <c r="P172" s="537"/>
      <c r="Q172" s="537"/>
      <c r="R172" s="537"/>
      <c r="S172" s="299"/>
      <c r="T172" s="299"/>
      <c r="U172" s="299"/>
      <c r="V172" s="299"/>
      <c r="W172" s="299"/>
      <c r="X172" s="299"/>
      <c r="Y172" s="299"/>
      <c r="Z172" s="299"/>
      <c r="AA172" s="299"/>
      <c r="AB172" s="299"/>
      <c r="AC172" s="299"/>
      <c r="AD172" s="299"/>
      <c r="AE172" s="299"/>
      <c r="AF172" s="299"/>
    </row>
    <row r="173" spans="1:32" x14ac:dyDescent="0.35">
      <c r="A173" s="339"/>
      <c r="B173" s="299"/>
      <c r="C173" s="299"/>
      <c r="D173" s="299"/>
      <c r="E173" s="344"/>
      <c r="F173" s="299"/>
      <c r="G173" s="299"/>
      <c r="H173" s="299"/>
      <c r="I173" s="299"/>
      <c r="J173" s="299"/>
      <c r="K173" s="299"/>
      <c r="L173" s="299"/>
      <c r="M173" s="414"/>
      <c r="N173" s="299"/>
      <c r="O173" s="537"/>
      <c r="P173" s="537"/>
      <c r="Q173" s="537"/>
      <c r="R173" s="537"/>
      <c r="S173" s="299"/>
      <c r="T173" s="299"/>
      <c r="U173" s="299"/>
      <c r="V173" s="299"/>
      <c r="W173" s="299"/>
      <c r="X173" s="299"/>
      <c r="Y173" s="299"/>
      <c r="Z173" s="299"/>
      <c r="AA173" s="299"/>
      <c r="AB173" s="299"/>
      <c r="AC173" s="299"/>
      <c r="AD173" s="299"/>
      <c r="AE173" s="299"/>
      <c r="AF173" s="299"/>
    </row>
    <row r="174" spans="1:32" x14ac:dyDescent="0.35">
      <c r="A174" s="339"/>
      <c r="B174" s="299"/>
      <c r="C174" s="299"/>
      <c r="D174" s="299"/>
      <c r="E174" s="344"/>
      <c r="F174" s="299"/>
      <c r="G174" s="299"/>
      <c r="H174" s="299"/>
      <c r="I174" s="299"/>
      <c r="J174" s="299"/>
      <c r="K174" s="299"/>
      <c r="L174" s="299"/>
      <c r="M174" s="414"/>
      <c r="N174" s="299"/>
      <c r="O174" s="537"/>
      <c r="P174" s="537"/>
      <c r="Q174" s="537"/>
      <c r="R174" s="537"/>
      <c r="S174" s="299"/>
      <c r="T174" s="299"/>
      <c r="U174" s="299"/>
      <c r="V174" s="299"/>
      <c r="W174" s="299"/>
      <c r="X174" s="299"/>
      <c r="Y174" s="299"/>
      <c r="Z174" s="299"/>
      <c r="AA174" s="299"/>
      <c r="AB174" s="299"/>
      <c r="AC174" s="299"/>
      <c r="AD174" s="299"/>
      <c r="AE174" s="299"/>
      <c r="AF174" s="299"/>
    </row>
    <row r="175" spans="1:32" x14ac:dyDescent="0.35">
      <c r="A175" s="339"/>
      <c r="B175" s="299"/>
      <c r="C175" s="299"/>
      <c r="D175" s="299"/>
      <c r="E175" s="344"/>
      <c r="F175" s="299"/>
      <c r="G175" s="299"/>
      <c r="H175" s="299"/>
      <c r="I175" s="299"/>
      <c r="J175" s="299"/>
      <c r="K175" s="299"/>
      <c r="L175" s="299"/>
      <c r="M175" s="414"/>
      <c r="N175" s="299"/>
      <c r="O175" s="537"/>
      <c r="P175" s="537"/>
      <c r="Q175" s="537"/>
      <c r="R175" s="537"/>
      <c r="S175" s="299"/>
      <c r="T175" s="299"/>
      <c r="U175" s="299"/>
      <c r="V175" s="299"/>
      <c r="W175" s="299"/>
      <c r="X175" s="299"/>
      <c r="Y175" s="299"/>
      <c r="Z175" s="299"/>
      <c r="AA175" s="299"/>
      <c r="AB175" s="299"/>
      <c r="AC175" s="299"/>
      <c r="AD175" s="299"/>
      <c r="AE175" s="299"/>
      <c r="AF175" s="299"/>
    </row>
    <row r="176" spans="1:32" x14ac:dyDescent="0.35">
      <c r="A176" s="339"/>
      <c r="B176" s="299"/>
      <c r="C176" s="299"/>
      <c r="D176" s="299"/>
      <c r="E176" s="344"/>
      <c r="F176" s="299"/>
      <c r="G176" s="299"/>
      <c r="H176" s="299"/>
      <c r="I176" s="299"/>
      <c r="J176" s="299"/>
      <c r="K176" s="299"/>
      <c r="L176" s="299"/>
      <c r="M176" s="414"/>
      <c r="N176" s="299"/>
      <c r="O176" s="537"/>
      <c r="P176" s="537"/>
      <c r="Q176" s="537"/>
      <c r="R176" s="537"/>
      <c r="S176" s="299"/>
      <c r="T176" s="299"/>
      <c r="U176" s="299"/>
      <c r="V176" s="299"/>
      <c r="W176" s="299"/>
      <c r="X176" s="299"/>
      <c r="Y176" s="299"/>
      <c r="Z176" s="299"/>
      <c r="AA176" s="299"/>
      <c r="AB176" s="299"/>
      <c r="AC176" s="299"/>
      <c r="AD176" s="299"/>
      <c r="AE176" s="299"/>
      <c r="AF176" s="299"/>
    </row>
    <row r="177" spans="1:32" x14ac:dyDescent="0.35">
      <c r="A177" s="339"/>
      <c r="B177" s="299"/>
      <c r="C177" s="299"/>
      <c r="D177" s="299"/>
      <c r="E177" s="344"/>
      <c r="F177" s="299"/>
      <c r="G177" s="299"/>
      <c r="H177" s="299"/>
      <c r="I177" s="299"/>
      <c r="J177" s="299"/>
      <c r="K177" s="299"/>
      <c r="L177" s="299"/>
      <c r="M177" s="414"/>
      <c r="N177" s="299"/>
      <c r="O177" s="537"/>
      <c r="P177" s="537"/>
      <c r="Q177" s="537"/>
      <c r="R177" s="537"/>
      <c r="S177" s="299"/>
      <c r="T177" s="299"/>
      <c r="U177" s="299"/>
      <c r="V177" s="299"/>
      <c r="W177" s="299"/>
      <c r="X177" s="299"/>
      <c r="Y177" s="299"/>
      <c r="Z177" s="299"/>
      <c r="AA177" s="299"/>
      <c r="AB177" s="299"/>
      <c r="AC177" s="299"/>
      <c r="AD177" s="299"/>
      <c r="AE177" s="299"/>
      <c r="AF177" s="299"/>
    </row>
    <row r="178" spans="1:32" x14ac:dyDescent="0.35">
      <c r="A178" s="339"/>
      <c r="B178" s="299"/>
      <c r="C178" s="299"/>
      <c r="D178" s="299"/>
      <c r="E178" s="344"/>
      <c r="F178" s="299"/>
      <c r="G178" s="299"/>
      <c r="H178" s="299"/>
      <c r="I178" s="299"/>
      <c r="J178" s="299"/>
      <c r="K178" s="299"/>
      <c r="L178" s="299"/>
      <c r="M178" s="414"/>
      <c r="N178" s="299"/>
      <c r="O178" s="537"/>
      <c r="P178" s="537"/>
      <c r="Q178" s="537"/>
      <c r="R178" s="537"/>
      <c r="S178" s="299"/>
      <c r="T178" s="299"/>
      <c r="U178" s="299"/>
      <c r="V178" s="299"/>
      <c r="W178" s="299"/>
      <c r="X178" s="299"/>
      <c r="Y178" s="299"/>
      <c r="Z178" s="299"/>
      <c r="AA178" s="299"/>
      <c r="AB178" s="299"/>
      <c r="AC178" s="299"/>
      <c r="AD178" s="299"/>
      <c r="AE178" s="299"/>
      <c r="AF178" s="299"/>
    </row>
    <row r="179" spans="1:32" x14ac:dyDescent="0.35">
      <c r="A179" s="339"/>
      <c r="B179" s="299"/>
      <c r="C179" s="299"/>
      <c r="D179" s="299"/>
      <c r="E179" s="344"/>
      <c r="F179" s="299"/>
      <c r="G179" s="299"/>
      <c r="H179" s="299"/>
      <c r="I179" s="299"/>
      <c r="J179" s="299"/>
      <c r="K179" s="299"/>
      <c r="L179" s="299"/>
      <c r="M179" s="414"/>
      <c r="N179" s="299"/>
      <c r="O179" s="537"/>
      <c r="P179" s="537"/>
      <c r="Q179" s="537"/>
      <c r="R179" s="537"/>
      <c r="S179" s="299"/>
      <c r="T179" s="299"/>
      <c r="U179" s="299"/>
      <c r="V179" s="299"/>
      <c r="W179" s="299"/>
      <c r="X179" s="299"/>
      <c r="Y179" s="299"/>
      <c r="Z179" s="299"/>
      <c r="AA179" s="299"/>
      <c r="AB179" s="299"/>
      <c r="AC179" s="299"/>
      <c r="AD179" s="299"/>
      <c r="AE179" s="299"/>
      <c r="AF179" s="299"/>
    </row>
    <row r="180" spans="1:32" x14ac:dyDescent="0.35">
      <c r="A180" s="339"/>
      <c r="B180" s="299"/>
      <c r="C180" s="299"/>
      <c r="D180" s="299"/>
      <c r="E180" s="344"/>
      <c r="F180" s="299"/>
      <c r="G180" s="299"/>
      <c r="H180" s="299"/>
      <c r="I180" s="299"/>
      <c r="J180" s="299"/>
      <c r="K180" s="299"/>
      <c r="L180" s="299"/>
      <c r="M180" s="414"/>
      <c r="N180" s="299"/>
      <c r="O180" s="537"/>
      <c r="P180" s="537"/>
      <c r="Q180" s="537"/>
      <c r="R180" s="537"/>
      <c r="S180" s="299"/>
      <c r="T180" s="299"/>
      <c r="U180" s="299"/>
      <c r="V180" s="299"/>
      <c r="W180" s="299"/>
      <c r="X180" s="299"/>
      <c r="Y180" s="299"/>
      <c r="Z180" s="299"/>
      <c r="AA180" s="299"/>
      <c r="AB180" s="299"/>
      <c r="AC180" s="299"/>
      <c r="AD180" s="299"/>
      <c r="AE180" s="299"/>
      <c r="AF180" s="299"/>
    </row>
    <row r="181" spans="1:32" x14ac:dyDescent="0.35">
      <c r="A181" s="339"/>
      <c r="B181" s="299"/>
      <c r="C181" s="299"/>
      <c r="D181" s="299"/>
      <c r="E181" s="344"/>
      <c r="F181" s="299"/>
      <c r="G181" s="299"/>
      <c r="H181" s="299"/>
      <c r="I181" s="299"/>
      <c r="J181" s="299"/>
      <c r="K181" s="299"/>
      <c r="L181" s="299"/>
      <c r="M181" s="414"/>
      <c r="N181" s="299"/>
      <c r="O181" s="537"/>
      <c r="P181" s="537"/>
      <c r="Q181" s="537"/>
      <c r="R181" s="537"/>
      <c r="S181" s="299"/>
      <c r="T181" s="299"/>
      <c r="U181" s="299"/>
      <c r="V181" s="299"/>
      <c r="W181" s="299"/>
      <c r="X181" s="299"/>
      <c r="Y181" s="299"/>
      <c r="Z181" s="299"/>
      <c r="AA181" s="299"/>
      <c r="AB181" s="299"/>
      <c r="AC181" s="299"/>
      <c r="AD181" s="299"/>
      <c r="AE181" s="299"/>
      <c r="AF181" s="299"/>
    </row>
    <row r="182" spans="1:32" x14ac:dyDescent="0.35">
      <c r="A182" s="339"/>
      <c r="B182" s="299"/>
      <c r="C182" s="299"/>
      <c r="D182" s="299"/>
      <c r="E182" s="344"/>
      <c r="F182" s="299"/>
      <c r="G182" s="299"/>
      <c r="H182" s="299"/>
      <c r="I182" s="299"/>
      <c r="J182" s="299"/>
      <c r="K182" s="299"/>
      <c r="L182" s="299"/>
      <c r="M182" s="414"/>
      <c r="N182" s="299"/>
      <c r="O182" s="537"/>
      <c r="P182" s="537"/>
      <c r="Q182" s="537"/>
      <c r="R182" s="537"/>
      <c r="S182" s="299"/>
      <c r="T182" s="299"/>
      <c r="U182" s="299"/>
      <c r="V182" s="299"/>
      <c r="W182" s="299"/>
      <c r="X182" s="299"/>
      <c r="Y182" s="299"/>
      <c r="Z182" s="299"/>
      <c r="AA182" s="299"/>
      <c r="AB182" s="299"/>
      <c r="AC182" s="299"/>
      <c r="AD182" s="299"/>
      <c r="AE182" s="299"/>
      <c r="AF182" s="299"/>
    </row>
    <row r="183" spans="1:32" x14ac:dyDescent="0.35">
      <c r="A183" s="339"/>
      <c r="B183" s="299"/>
      <c r="C183" s="299"/>
      <c r="D183" s="299"/>
      <c r="E183" s="344"/>
      <c r="F183" s="299"/>
      <c r="G183" s="299"/>
      <c r="H183" s="299"/>
      <c r="I183" s="299"/>
      <c r="J183" s="299"/>
      <c r="K183" s="299"/>
      <c r="L183" s="299"/>
      <c r="M183" s="414"/>
      <c r="N183" s="299"/>
      <c r="O183" s="537"/>
      <c r="P183" s="537"/>
      <c r="Q183" s="537"/>
      <c r="R183" s="537"/>
      <c r="S183" s="299"/>
      <c r="T183" s="299"/>
      <c r="U183" s="299"/>
      <c r="V183" s="299"/>
      <c r="W183" s="299"/>
      <c r="X183" s="299"/>
      <c r="Y183" s="299"/>
      <c r="Z183" s="299"/>
      <c r="AA183" s="299"/>
      <c r="AB183" s="299"/>
      <c r="AC183" s="299"/>
      <c r="AD183" s="299"/>
      <c r="AE183" s="299"/>
      <c r="AF183" s="299"/>
    </row>
    <row r="184" spans="1:32" x14ac:dyDescent="0.35">
      <c r="A184" s="339"/>
      <c r="B184" s="299"/>
      <c r="C184" s="299"/>
      <c r="D184" s="299"/>
      <c r="E184" s="344"/>
      <c r="F184" s="299"/>
      <c r="G184" s="299"/>
      <c r="H184" s="299"/>
      <c r="I184" s="299"/>
      <c r="J184" s="299"/>
      <c r="K184" s="299"/>
      <c r="L184" s="299"/>
      <c r="M184" s="414"/>
      <c r="N184" s="299"/>
      <c r="O184" s="537"/>
      <c r="P184" s="537"/>
      <c r="Q184" s="537"/>
      <c r="R184" s="537"/>
      <c r="S184" s="299"/>
      <c r="T184" s="299"/>
      <c r="U184" s="299"/>
      <c r="V184" s="299"/>
      <c r="W184" s="299"/>
      <c r="X184" s="299"/>
      <c r="Y184" s="299"/>
      <c r="Z184" s="299"/>
      <c r="AA184" s="299"/>
      <c r="AB184" s="299"/>
      <c r="AC184" s="299"/>
      <c r="AD184" s="299"/>
      <c r="AE184" s="299"/>
      <c r="AF184" s="299"/>
    </row>
    <row r="185" spans="1:32" x14ac:dyDescent="0.35">
      <c r="A185" s="339"/>
      <c r="B185" s="299"/>
      <c r="C185" s="299"/>
      <c r="D185" s="299"/>
      <c r="E185" s="344"/>
      <c r="F185" s="299"/>
      <c r="G185" s="299"/>
      <c r="H185" s="299"/>
      <c r="I185" s="299"/>
      <c r="J185" s="299"/>
      <c r="K185" s="299"/>
      <c r="L185" s="299"/>
      <c r="M185" s="414"/>
      <c r="N185" s="299"/>
      <c r="O185" s="537"/>
      <c r="P185" s="537"/>
      <c r="Q185" s="537"/>
      <c r="R185" s="537"/>
      <c r="S185" s="299"/>
      <c r="T185" s="299"/>
      <c r="U185" s="299"/>
      <c r="V185" s="299"/>
      <c r="W185" s="299"/>
      <c r="X185" s="299"/>
      <c r="Y185" s="299"/>
      <c r="Z185" s="299"/>
      <c r="AA185" s="299"/>
      <c r="AB185" s="299"/>
      <c r="AC185" s="299"/>
      <c r="AD185" s="299"/>
      <c r="AE185" s="299"/>
      <c r="AF185" s="299"/>
    </row>
    <row r="186" spans="1:32" x14ac:dyDescent="0.35">
      <c r="A186" s="339"/>
      <c r="B186" s="299"/>
      <c r="C186" s="299"/>
      <c r="D186" s="299"/>
      <c r="E186" s="344"/>
      <c r="F186" s="299"/>
      <c r="G186" s="299"/>
      <c r="H186" s="299"/>
      <c r="I186" s="299"/>
      <c r="J186" s="299"/>
      <c r="K186" s="299"/>
      <c r="L186" s="299"/>
      <c r="M186" s="414"/>
      <c r="N186" s="299"/>
      <c r="O186" s="537"/>
      <c r="P186" s="537"/>
      <c r="Q186" s="537"/>
      <c r="R186" s="537"/>
      <c r="S186" s="299"/>
      <c r="T186" s="299"/>
      <c r="U186" s="299"/>
      <c r="V186" s="299"/>
      <c r="W186" s="299"/>
      <c r="X186" s="299"/>
      <c r="Y186" s="299"/>
      <c r="Z186" s="299"/>
      <c r="AA186" s="299"/>
      <c r="AB186" s="299"/>
      <c r="AC186" s="299"/>
      <c r="AD186" s="299"/>
      <c r="AE186" s="299"/>
      <c r="AF186" s="299"/>
    </row>
    <row r="187" spans="1:32" x14ac:dyDescent="0.35">
      <c r="A187" s="339"/>
      <c r="B187" s="299"/>
      <c r="C187" s="299"/>
      <c r="D187" s="299"/>
      <c r="E187" s="344"/>
      <c r="F187" s="299"/>
      <c r="G187" s="299"/>
      <c r="H187" s="299"/>
      <c r="I187" s="299"/>
      <c r="J187" s="299"/>
      <c r="K187" s="299"/>
      <c r="L187" s="299"/>
      <c r="M187" s="414"/>
      <c r="N187" s="299"/>
      <c r="O187" s="537"/>
      <c r="P187" s="537"/>
      <c r="Q187" s="537"/>
      <c r="R187" s="537"/>
      <c r="S187" s="299"/>
      <c r="T187" s="299"/>
      <c r="U187" s="299"/>
      <c r="V187" s="299"/>
      <c r="W187" s="299"/>
      <c r="X187" s="299"/>
      <c r="Y187" s="299"/>
      <c r="Z187" s="299"/>
      <c r="AA187" s="299"/>
      <c r="AB187" s="299"/>
      <c r="AC187" s="299"/>
      <c r="AD187" s="299"/>
      <c r="AE187" s="299"/>
      <c r="AF187" s="299"/>
    </row>
    <row r="188" spans="1:32" x14ac:dyDescent="0.35">
      <c r="A188" s="339"/>
      <c r="B188" s="299"/>
      <c r="C188" s="299"/>
      <c r="D188" s="299"/>
      <c r="E188" s="344"/>
      <c r="F188" s="299"/>
      <c r="G188" s="299"/>
      <c r="H188" s="299"/>
      <c r="I188" s="299"/>
      <c r="J188" s="299"/>
      <c r="K188" s="299"/>
      <c r="L188" s="299"/>
      <c r="M188" s="414"/>
      <c r="N188" s="299"/>
      <c r="O188" s="537"/>
      <c r="P188" s="537"/>
      <c r="Q188" s="537"/>
      <c r="R188" s="537"/>
      <c r="S188" s="299"/>
      <c r="T188" s="299"/>
      <c r="U188" s="299"/>
      <c r="V188" s="299"/>
      <c r="W188" s="299"/>
      <c r="X188" s="299"/>
      <c r="Y188" s="299"/>
      <c r="Z188" s="299"/>
      <c r="AA188" s="299"/>
      <c r="AB188" s="299"/>
      <c r="AC188" s="299"/>
      <c r="AD188" s="299"/>
      <c r="AE188" s="299"/>
      <c r="AF188" s="299"/>
    </row>
    <row r="189" spans="1:32" x14ac:dyDescent="0.35">
      <c r="A189" s="339"/>
      <c r="B189" s="299"/>
      <c r="C189" s="299"/>
      <c r="D189" s="299"/>
      <c r="E189" s="344"/>
      <c r="F189" s="299"/>
      <c r="G189" s="299"/>
      <c r="H189" s="299"/>
      <c r="I189" s="299"/>
      <c r="J189" s="299"/>
      <c r="K189" s="299"/>
      <c r="L189" s="299"/>
      <c r="M189" s="414"/>
      <c r="N189" s="299"/>
      <c r="O189" s="537"/>
      <c r="P189" s="537"/>
      <c r="Q189" s="537"/>
      <c r="R189" s="537"/>
      <c r="S189" s="299"/>
      <c r="T189" s="299"/>
      <c r="U189" s="299"/>
      <c r="V189" s="299"/>
      <c r="W189" s="299"/>
      <c r="X189" s="299"/>
      <c r="Y189" s="299"/>
      <c r="Z189" s="299"/>
      <c r="AA189" s="299"/>
      <c r="AB189" s="299"/>
      <c r="AC189" s="299"/>
      <c r="AD189" s="299"/>
      <c r="AE189" s="299"/>
      <c r="AF189" s="299"/>
    </row>
    <row r="190" spans="1:32" x14ac:dyDescent="0.35">
      <c r="A190" s="339"/>
      <c r="B190" s="299"/>
      <c r="C190" s="299"/>
      <c r="D190" s="299"/>
      <c r="E190" s="344"/>
      <c r="F190" s="299"/>
      <c r="G190" s="299"/>
      <c r="H190" s="299"/>
      <c r="I190" s="299"/>
      <c r="J190" s="299"/>
      <c r="K190" s="299"/>
      <c r="L190" s="299"/>
      <c r="M190" s="414"/>
      <c r="N190" s="299"/>
      <c r="O190" s="537"/>
      <c r="P190" s="537"/>
      <c r="Q190" s="537"/>
      <c r="R190" s="537"/>
      <c r="S190" s="299"/>
      <c r="T190" s="299"/>
      <c r="U190" s="299"/>
      <c r="V190" s="299"/>
      <c r="W190" s="299"/>
      <c r="X190" s="299"/>
      <c r="Y190" s="299"/>
      <c r="Z190" s="299"/>
      <c r="AA190" s="299"/>
      <c r="AB190" s="299"/>
      <c r="AC190" s="299"/>
      <c r="AD190" s="299"/>
      <c r="AE190" s="299"/>
      <c r="AF190" s="299"/>
    </row>
    <row r="191" spans="1:32" x14ac:dyDescent="0.35">
      <c r="A191" s="339"/>
      <c r="B191" s="299"/>
      <c r="C191" s="299"/>
      <c r="D191" s="299"/>
      <c r="E191" s="344"/>
      <c r="F191" s="299"/>
      <c r="G191" s="299"/>
      <c r="H191" s="299"/>
      <c r="I191" s="299"/>
      <c r="J191" s="299"/>
      <c r="K191" s="299"/>
      <c r="L191" s="299"/>
      <c r="M191" s="414"/>
      <c r="N191" s="299"/>
      <c r="O191" s="537"/>
      <c r="P191" s="537"/>
      <c r="Q191" s="537"/>
      <c r="R191" s="537"/>
      <c r="S191" s="299"/>
      <c r="T191" s="299"/>
      <c r="U191" s="299"/>
      <c r="V191" s="299"/>
      <c r="W191" s="299"/>
      <c r="X191" s="299"/>
      <c r="Y191" s="299"/>
      <c r="Z191" s="299"/>
      <c r="AA191" s="299"/>
      <c r="AB191" s="299"/>
      <c r="AC191" s="299"/>
      <c r="AD191" s="299"/>
      <c r="AE191" s="299"/>
      <c r="AF191" s="299"/>
    </row>
    <row r="192" spans="1:32" x14ac:dyDescent="0.35">
      <c r="A192" s="339"/>
      <c r="B192" s="299"/>
      <c r="C192" s="299"/>
      <c r="D192" s="299"/>
      <c r="E192" s="344"/>
      <c r="F192" s="299"/>
      <c r="G192" s="299"/>
      <c r="H192" s="299"/>
      <c r="I192" s="299"/>
      <c r="J192" s="299"/>
      <c r="K192" s="299"/>
      <c r="L192" s="299"/>
      <c r="M192" s="414"/>
      <c r="N192" s="299"/>
      <c r="O192" s="537"/>
      <c r="P192" s="537"/>
      <c r="Q192" s="537"/>
      <c r="R192" s="537"/>
      <c r="S192" s="299"/>
      <c r="T192" s="299"/>
      <c r="U192" s="299"/>
      <c r="V192" s="299"/>
      <c r="W192" s="299"/>
      <c r="X192" s="299"/>
      <c r="Y192" s="299"/>
      <c r="Z192" s="299"/>
      <c r="AA192" s="299"/>
      <c r="AB192" s="299"/>
      <c r="AC192" s="299"/>
      <c r="AD192" s="299"/>
      <c r="AE192" s="299"/>
      <c r="AF192" s="299"/>
    </row>
    <row r="193" spans="1:32" x14ac:dyDescent="0.35">
      <c r="A193" s="339"/>
      <c r="B193" s="299"/>
      <c r="C193" s="299"/>
      <c r="D193" s="299"/>
      <c r="E193" s="344"/>
      <c r="F193" s="299"/>
      <c r="G193" s="299"/>
      <c r="H193" s="299"/>
      <c r="I193" s="299"/>
      <c r="J193" s="299"/>
      <c r="K193" s="299"/>
      <c r="L193" s="299"/>
      <c r="M193" s="414"/>
      <c r="N193" s="299"/>
      <c r="O193" s="537"/>
      <c r="P193" s="537"/>
      <c r="Q193" s="537"/>
      <c r="R193" s="537"/>
      <c r="S193" s="299"/>
      <c r="T193" s="299"/>
      <c r="U193" s="299"/>
      <c r="V193" s="299"/>
      <c r="W193" s="299"/>
      <c r="X193" s="299"/>
      <c r="Y193" s="299"/>
      <c r="Z193" s="299"/>
      <c r="AA193" s="299"/>
      <c r="AB193" s="299"/>
      <c r="AC193" s="299"/>
      <c r="AD193" s="299"/>
      <c r="AE193" s="299"/>
      <c r="AF193" s="299"/>
    </row>
    <row r="194" spans="1:32" x14ac:dyDescent="0.35">
      <c r="A194" s="339"/>
      <c r="B194" s="299"/>
      <c r="C194" s="299"/>
      <c r="D194" s="299"/>
      <c r="E194" s="344"/>
      <c r="F194" s="299"/>
      <c r="G194" s="299"/>
      <c r="H194" s="299"/>
      <c r="I194" s="299"/>
      <c r="J194" s="299"/>
      <c r="K194" s="299"/>
      <c r="L194" s="299"/>
      <c r="M194" s="414"/>
      <c r="N194" s="299"/>
      <c r="O194" s="537"/>
      <c r="P194" s="537"/>
      <c r="Q194" s="537"/>
      <c r="R194" s="537"/>
      <c r="S194" s="299"/>
      <c r="T194" s="299"/>
      <c r="U194" s="299"/>
      <c r="V194" s="299"/>
      <c r="W194" s="299"/>
      <c r="X194" s="299"/>
      <c r="Y194" s="299"/>
      <c r="Z194" s="299"/>
      <c r="AA194" s="299"/>
      <c r="AB194" s="299"/>
      <c r="AC194" s="299"/>
      <c r="AD194" s="299"/>
      <c r="AE194" s="299"/>
      <c r="AF194" s="299"/>
    </row>
    <row r="195" spans="1:32" x14ac:dyDescent="0.35">
      <c r="A195" s="339"/>
      <c r="B195" s="299"/>
      <c r="C195" s="299"/>
      <c r="D195" s="299"/>
      <c r="E195" s="344"/>
      <c r="F195" s="299"/>
      <c r="G195" s="299"/>
      <c r="H195" s="299"/>
      <c r="I195" s="299"/>
      <c r="J195" s="299"/>
      <c r="K195" s="299"/>
      <c r="L195" s="299"/>
      <c r="M195" s="414"/>
      <c r="N195" s="299"/>
      <c r="O195" s="537"/>
      <c r="P195" s="537"/>
      <c r="Q195" s="537"/>
      <c r="R195" s="537"/>
      <c r="S195" s="299"/>
      <c r="T195" s="299"/>
      <c r="U195" s="299"/>
      <c r="V195" s="299"/>
      <c r="W195" s="299"/>
      <c r="X195" s="299"/>
      <c r="Y195" s="299"/>
      <c r="Z195" s="299"/>
      <c r="AA195" s="299"/>
      <c r="AB195" s="299"/>
      <c r="AC195" s="299"/>
      <c r="AD195" s="299"/>
      <c r="AE195" s="299"/>
      <c r="AF195" s="299"/>
    </row>
    <row r="196" spans="1:32" x14ac:dyDescent="0.35">
      <c r="A196" s="339"/>
      <c r="B196" s="299"/>
      <c r="C196" s="299"/>
      <c r="D196" s="299"/>
      <c r="E196" s="344"/>
      <c r="F196" s="299"/>
      <c r="G196" s="299"/>
      <c r="H196" s="299"/>
      <c r="I196" s="299"/>
      <c r="J196" s="299"/>
      <c r="K196" s="299"/>
      <c r="L196" s="299"/>
      <c r="M196" s="414"/>
      <c r="N196" s="299"/>
      <c r="O196" s="537"/>
      <c r="P196" s="537"/>
      <c r="Q196" s="537"/>
      <c r="R196" s="537"/>
      <c r="S196" s="299"/>
      <c r="T196" s="299"/>
      <c r="U196" s="299"/>
      <c r="V196" s="299"/>
      <c r="W196" s="299"/>
      <c r="X196" s="299"/>
      <c r="Y196" s="299"/>
      <c r="Z196" s="299"/>
      <c r="AA196" s="299"/>
      <c r="AB196" s="299"/>
      <c r="AC196" s="299"/>
      <c r="AD196" s="299"/>
      <c r="AE196" s="299"/>
      <c r="AF196" s="299"/>
    </row>
    <row r="197" spans="1:32" x14ac:dyDescent="0.35">
      <c r="A197" s="339"/>
      <c r="B197" s="299"/>
      <c r="C197" s="299"/>
      <c r="D197" s="299"/>
      <c r="E197" s="344"/>
      <c r="F197" s="299"/>
      <c r="G197" s="299"/>
      <c r="H197" s="299"/>
      <c r="I197" s="299"/>
      <c r="J197" s="299"/>
      <c r="K197" s="299"/>
      <c r="L197" s="299"/>
      <c r="M197" s="414"/>
      <c r="N197" s="299"/>
      <c r="O197" s="537"/>
      <c r="P197" s="537"/>
      <c r="Q197" s="537"/>
      <c r="R197" s="537"/>
      <c r="S197" s="299"/>
      <c r="T197" s="299"/>
      <c r="U197" s="299"/>
      <c r="V197" s="299"/>
      <c r="W197" s="299"/>
      <c r="X197" s="299"/>
      <c r="Y197" s="299"/>
      <c r="Z197" s="299"/>
      <c r="AA197" s="299"/>
      <c r="AB197" s="299"/>
      <c r="AC197" s="299"/>
      <c r="AD197" s="299"/>
      <c r="AE197" s="299"/>
      <c r="AF197" s="299"/>
    </row>
    <row r="198" spans="1:32" x14ac:dyDescent="0.35">
      <c r="A198" s="339"/>
      <c r="B198" s="299"/>
      <c r="C198" s="299"/>
      <c r="D198" s="299"/>
      <c r="E198" s="344"/>
      <c r="F198" s="299"/>
      <c r="G198" s="299"/>
      <c r="H198" s="299"/>
      <c r="I198" s="299"/>
      <c r="J198" s="299"/>
      <c r="K198" s="299"/>
      <c r="L198" s="299"/>
      <c r="M198" s="414"/>
      <c r="N198" s="299"/>
      <c r="O198" s="537"/>
      <c r="P198" s="537"/>
      <c r="Q198" s="537"/>
      <c r="R198" s="537"/>
      <c r="S198" s="299"/>
      <c r="T198" s="299"/>
      <c r="U198" s="299"/>
      <c r="V198" s="299"/>
      <c r="W198" s="299"/>
      <c r="X198" s="299"/>
      <c r="Y198" s="299"/>
      <c r="Z198" s="299"/>
      <c r="AA198" s="299"/>
      <c r="AB198" s="299"/>
      <c r="AC198" s="299"/>
      <c r="AD198" s="299"/>
      <c r="AE198" s="299"/>
      <c r="AF198" s="299"/>
    </row>
    <row r="199" spans="1:32" x14ac:dyDescent="0.35">
      <c r="A199" s="339"/>
      <c r="B199" s="299"/>
      <c r="C199" s="299"/>
      <c r="D199" s="299"/>
      <c r="E199" s="344"/>
      <c r="F199" s="299"/>
      <c r="G199" s="299"/>
      <c r="H199" s="299"/>
      <c r="I199" s="299"/>
      <c r="J199" s="299"/>
      <c r="K199" s="299"/>
      <c r="L199" s="299"/>
      <c r="M199" s="414"/>
      <c r="N199" s="299"/>
      <c r="O199" s="537"/>
      <c r="P199" s="537"/>
      <c r="Q199" s="537"/>
      <c r="R199" s="537"/>
      <c r="S199" s="299"/>
      <c r="T199" s="299"/>
      <c r="U199" s="299"/>
      <c r="V199" s="299"/>
      <c r="W199" s="299"/>
      <c r="X199" s="299"/>
      <c r="Y199" s="299"/>
      <c r="Z199" s="299"/>
      <c r="AA199" s="299"/>
      <c r="AB199" s="299"/>
      <c r="AC199" s="299"/>
      <c r="AD199" s="299"/>
      <c r="AE199" s="299"/>
      <c r="AF199" s="299"/>
    </row>
    <row r="200" spans="1:32" x14ac:dyDescent="0.35">
      <c r="A200" s="339"/>
      <c r="B200" s="299"/>
      <c r="C200" s="299"/>
      <c r="D200" s="299"/>
      <c r="E200" s="344"/>
      <c r="F200" s="299"/>
      <c r="G200" s="299"/>
      <c r="H200" s="299"/>
      <c r="I200" s="299"/>
      <c r="J200" s="299"/>
      <c r="K200" s="299"/>
      <c r="L200" s="299"/>
      <c r="M200" s="414"/>
      <c r="N200" s="299"/>
      <c r="O200" s="537"/>
      <c r="P200" s="537"/>
      <c r="Q200" s="537"/>
      <c r="R200" s="537"/>
      <c r="S200" s="299"/>
      <c r="T200" s="299"/>
      <c r="U200" s="299"/>
      <c r="V200" s="299"/>
      <c r="W200" s="299"/>
      <c r="X200" s="299"/>
      <c r="Y200" s="299"/>
      <c r="Z200" s="299"/>
      <c r="AA200" s="299"/>
      <c r="AB200" s="299"/>
      <c r="AC200" s="299"/>
      <c r="AD200" s="299"/>
      <c r="AE200" s="299"/>
      <c r="AF200" s="299"/>
    </row>
    <row r="201" spans="1:32" x14ac:dyDescent="0.35">
      <c r="A201" s="339"/>
      <c r="B201" s="299"/>
      <c r="C201" s="299"/>
      <c r="D201" s="299"/>
      <c r="E201" s="344"/>
      <c r="F201" s="299"/>
      <c r="G201" s="299"/>
      <c r="H201" s="299"/>
      <c r="I201" s="299"/>
      <c r="J201" s="299"/>
      <c r="K201" s="299"/>
      <c r="L201" s="299"/>
      <c r="M201" s="414"/>
      <c r="N201" s="299"/>
      <c r="O201" s="537"/>
      <c r="P201" s="537"/>
      <c r="Q201" s="537"/>
      <c r="R201" s="537"/>
      <c r="S201" s="299"/>
      <c r="T201" s="299"/>
      <c r="U201" s="299"/>
      <c r="V201" s="299"/>
      <c r="W201" s="299"/>
      <c r="X201" s="299"/>
      <c r="Y201" s="299"/>
      <c r="Z201" s="299"/>
      <c r="AA201" s="299"/>
      <c r="AB201" s="299"/>
      <c r="AC201" s="299"/>
      <c r="AD201" s="299"/>
      <c r="AE201" s="299"/>
      <c r="AF201" s="299"/>
    </row>
    <row r="202" spans="1:32" x14ac:dyDescent="0.35">
      <c r="A202" s="339"/>
      <c r="B202" s="299"/>
      <c r="C202" s="299"/>
      <c r="D202" s="299"/>
      <c r="E202" s="344"/>
      <c r="F202" s="299"/>
      <c r="G202" s="299"/>
      <c r="H202" s="299"/>
      <c r="I202" s="299"/>
      <c r="J202" s="299"/>
      <c r="K202" s="299"/>
      <c r="L202" s="299"/>
      <c r="M202" s="414"/>
      <c r="N202" s="299"/>
      <c r="O202" s="537"/>
      <c r="P202" s="537"/>
      <c r="Q202" s="537"/>
      <c r="R202" s="537"/>
      <c r="S202" s="299"/>
      <c r="T202" s="299"/>
      <c r="U202" s="299"/>
      <c r="V202" s="299"/>
      <c r="W202" s="299"/>
      <c r="X202" s="299"/>
      <c r="Y202" s="299"/>
      <c r="Z202" s="299"/>
      <c r="AA202" s="299"/>
      <c r="AB202" s="299"/>
      <c r="AC202" s="299"/>
      <c r="AD202" s="299"/>
      <c r="AE202" s="299"/>
      <c r="AF202" s="299"/>
    </row>
    <row r="203" spans="1:32" x14ac:dyDescent="0.35">
      <c r="A203" s="339"/>
      <c r="B203" s="299"/>
      <c r="C203" s="299"/>
      <c r="D203" s="299"/>
      <c r="E203" s="344"/>
      <c r="F203" s="299"/>
      <c r="G203" s="299"/>
      <c r="H203" s="299"/>
      <c r="I203" s="299"/>
      <c r="J203" s="299"/>
      <c r="K203" s="299"/>
      <c r="L203" s="299"/>
      <c r="M203" s="414"/>
      <c r="N203" s="299"/>
      <c r="O203" s="537"/>
      <c r="P203" s="537"/>
      <c r="Q203" s="537"/>
      <c r="R203" s="537"/>
      <c r="S203" s="299"/>
      <c r="T203" s="299"/>
      <c r="U203" s="299"/>
      <c r="V203" s="299"/>
      <c r="W203" s="299"/>
      <c r="X203" s="299"/>
      <c r="Y203" s="299"/>
      <c r="Z203" s="299"/>
      <c r="AA203" s="299"/>
      <c r="AB203" s="299"/>
      <c r="AC203" s="299"/>
      <c r="AD203" s="299"/>
      <c r="AE203" s="299"/>
      <c r="AF203" s="299"/>
    </row>
    <row r="204" spans="1:32" x14ac:dyDescent="0.35">
      <c r="A204" s="339"/>
      <c r="B204" s="299"/>
      <c r="C204" s="299"/>
      <c r="D204" s="299"/>
      <c r="E204" s="344"/>
      <c r="F204" s="299"/>
      <c r="G204" s="299"/>
      <c r="H204" s="299"/>
      <c r="I204" s="299"/>
      <c r="J204" s="299"/>
      <c r="K204" s="299"/>
      <c r="L204" s="299"/>
      <c r="M204" s="414"/>
      <c r="N204" s="299"/>
      <c r="O204" s="537"/>
      <c r="P204" s="537"/>
      <c r="Q204" s="537"/>
      <c r="R204" s="537"/>
      <c r="S204" s="299"/>
      <c r="T204" s="299"/>
      <c r="U204" s="299"/>
      <c r="V204" s="299"/>
      <c r="W204" s="299"/>
      <c r="X204" s="299"/>
      <c r="Y204" s="299"/>
      <c r="Z204" s="299"/>
      <c r="AA204" s="299"/>
      <c r="AB204" s="299"/>
      <c r="AC204" s="299"/>
      <c r="AD204" s="299"/>
      <c r="AE204" s="299"/>
      <c r="AF204" s="299"/>
    </row>
    <row r="205" spans="1:32" x14ac:dyDescent="0.35">
      <c r="A205" s="339"/>
      <c r="B205" s="299"/>
      <c r="C205" s="299"/>
      <c r="D205" s="299"/>
      <c r="E205" s="344"/>
      <c r="F205" s="299"/>
      <c r="G205" s="299"/>
      <c r="H205" s="299"/>
      <c r="I205" s="299"/>
      <c r="J205" s="299"/>
      <c r="K205" s="299"/>
      <c r="L205" s="299"/>
      <c r="M205" s="414"/>
      <c r="N205" s="299"/>
      <c r="O205" s="537"/>
      <c r="P205" s="537"/>
      <c r="Q205" s="537"/>
      <c r="R205" s="537"/>
      <c r="S205" s="299"/>
      <c r="T205" s="299"/>
      <c r="U205" s="299"/>
      <c r="V205" s="299"/>
      <c r="W205" s="299"/>
      <c r="X205" s="299"/>
      <c r="Y205" s="299"/>
      <c r="Z205" s="299"/>
      <c r="AA205" s="299"/>
      <c r="AB205" s="299"/>
      <c r="AC205" s="299"/>
      <c r="AD205" s="299"/>
      <c r="AE205" s="299"/>
      <c r="AF205" s="299"/>
    </row>
    <row r="206" spans="1:32" x14ac:dyDescent="0.35">
      <c r="A206" s="339"/>
      <c r="B206" s="299"/>
      <c r="C206" s="299"/>
      <c r="D206" s="299"/>
      <c r="E206" s="344"/>
      <c r="F206" s="299"/>
      <c r="G206" s="299"/>
      <c r="H206" s="299"/>
      <c r="I206" s="299"/>
      <c r="J206" s="299"/>
      <c r="K206" s="299"/>
      <c r="L206" s="299"/>
      <c r="M206" s="414"/>
      <c r="N206" s="299"/>
      <c r="O206" s="537"/>
      <c r="P206" s="537"/>
      <c r="Q206" s="537"/>
      <c r="R206" s="537"/>
      <c r="S206" s="299"/>
      <c r="T206" s="299"/>
      <c r="U206" s="299"/>
      <c r="V206" s="299"/>
      <c r="W206" s="299"/>
      <c r="X206" s="299"/>
      <c r="Y206" s="299"/>
      <c r="Z206" s="299"/>
      <c r="AA206" s="299"/>
      <c r="AB206" s="299"/>
      <c r="AC206" s="299"/>
      <c r="AD206" s="299"/>
      <c r="AE206" s="299"/>
      <c r="AF206" s="299"/>
    </row>
    <row r="207" spans="1:32" x14ac:dyDescent="0.35">
      <c r="A207" s="339"/>
      <c r="B207" s="299"/>
      <c r="C207" s="299"/>
      <c r="D207" s="299"/>
      <c r="E207" s="344"/>
      <c r="F207" s="299"/>
      <c r="G207" s="299"/>
      <c r="H207" s="299"/>
      <c r="I207" s="299"/>
      <c r="J207" s="299"/>
      <c r="K207" s="299"/>
      <c r="L207" s="299"/>
      <c r="M207" s="414"/>
      <c r="N207" s="299"/>
      <c r="O207" s="537"/>
      <c r="P207" s="537"/>
      <c r="Q207" s="537"/>
      <c r="R207" s="537"/>
      <c r="S207" s="299"/>
      <c r="T207" s="299"/>
      <c r="U207" s="299"/>
      <c r="V207" s="299"/>
      <c r="W207" s="299"/>
      <c r="X207" s="299"/>
      <c r="Y207" s="299"/>
      <c r="Z207" s="299"/>
      <c r="AA207" s="299"/>
      <c r="AB207" s="299"/>
      <c r="AC207" s="299"/>
      <c r="AD207" s="299"/>
      <c r="AE207" s="299"/>
      <c r="AF207" s="299"/>
    </row>
    <row r="208" spans="1:32" x14ac:dyDescent="0.35">
      <c r="A208" s="339"/>
      <c r="B208" s="299"/>
      <c r="C208" s="299"/>
      <c r="D208" s="299"/>
      <c r="E208" s="344"/>
      <c r="F208" s="299"/>
      <c r="G208" s="299"/>
      <c r="H208" s="299"/>
      <c r="I208" s="299"/>
      <c r="J208" s="299"/>
      <c r="K208" s="299"/>
      <c r="L208" s="299"/>
      <c r="M208" s="414"/>
      <c r="N208" s="299"/>
      <c r="O208" s="537"/>
      <c r="P208" s="537"/>
      <c r="Q208" s="537"/>
      <c r="R208" s="537"/>
      <c r="S208" s="299"/>
      <c r="T208" s="299"/>
      <c r="U208" s="299"/>
      <c r="V208" s="299"/>
      <c r="W208" s="299"/>
      <c r="X208" s="299"/>
      <c r="Y208" s="299"/>
      <c r="Z208" s="299"/>
      <c r="AA208" s="299"/>
      <c r="AB208" s="299"/>
      <c r="AC208" s="299"/>
      <c r="AD208" s="299"/>
      <c r="AE208" s="299"/>
      <c r="AF208" s="299"/>
    </row>
    <row r="209" spans="1:32" x14ac:dyDescent="0.35">
      <c r="A209" s="339"/>
      <c r="B209" s="299"/>
      <c r="C209" s="299"/>
      <c r="D209" s="299"/>
      <c r="E209" s="344"/>
      <c r="F209" s="299"/>
      <c r="G209" s="299"/>
      <c r="H209" s="299"/>
      <c r="I209" s="299"/>
      <c r="J209" s="299"/>
      <c r="K209" s="299"/>
      <c r="L209" s="299"/>
      <c r="M209" s="414"/>
      <c r="N209" s="299"/>
      <c r="O209" s="537"/>
      <c r="P209" s="537"/>
      <c r="Q209" s="537"/>
      <c r="R209" s="537"/>
      <c r="S209" s="299"/>
      <c r="T209" s="299"/>
      <c r="U209" s="299"/>
      <c r="V209" s="299"/>
      <c r="W209" s="299"/>
      <c r="X209" s="299"/>
      <c r="Y209" s="299"/>
      <c r="Z209" s="299"/>
      <c r="AA209" s="299"/>
      <c r="AB209" s="299"/>
      <c r="AC209" s="299"/>
      <c r="AD209" s="299"/>
      <c r="AE209" s="299"/>
      <c r="AF209" s="299"/>
    </row>
    <row r="210" spans="1:32" x14ac:dyDescent="0.35">
      <c r="A210" s="339"/>
      <c r="B210" s="299"/>
      <c r="C210" s="299"/>
      <c r="D210" s="299"/>
      <c r="E210" s="344"/>
      <c r="F210" s="299"/>
      <c r="G210" s="299"/>
      <c r="H210" s="299"/>
      <c r="I210" s="299"/>
      <c r="J210" s="299"/>
      <c r="K210" s="299"/>
      <c r="L210" s="299"/>
      <c r="M210" s="414"/>
      <c r="N210" s="299"/>
      <c r="O210" s="537"/>
      <c r="P210" s="537"/>
      <c r="Q210" s="537"/>
      <c r="R210" s="537"/>
      <c r="S210" s="299"/>
      <c r="T210" s="299"/>
      <c r="U210" s="299"/>
      <c r="V210" s="299"/>
      <c r="W210" s="299"/>
      <c r="X210" s="299"/>
      <c r="Y210" s="299"/>
      <c r="Z210" s="299"/>
      <c r="AA210" s="299"/>
      <c r="AB210" s="299"/>
      <c r="AC210" s="299"/>
      <c r="AD210" s="299"/>
      <c r="AE210" s="299"/>
      <c r="AF210" s="299"/>
    </row>
    <row r="211" spans="1:32" x14ac:dyDescent="0.35">
      <c r="A211" s="339"/>
      <c r="B211" s="299"/>
      <c r="C211" s="299"/>
      <c r="D211" s="299"/>
      <c r="E211" s="344"/>
      <c r="F211" s="299"/>
      <c r="G211" s="299"/>
      <c r="H211" s="299"/>
      <c r="I211" s="299"/>
      <c r="J211" s="299"/>
      <c r="K211" s="299"/>
      <c r="L211" s="299"/>
      <c r="M211" s="414"/>
      <c r="N211" s="299"/>
      <c r="O211" s="537"/>
      <c r="P211" s="537"/>
      <c r="Q211" s="537"/>
      <c r="R211" s="537"/>
      <c r="S211" s="299"/>
      <c r="T211" s="299"/>
      <c r="U211" s="299"/>
      <c r="V211" s="299"/>
      <c r="W211" s="299"/>
      <c r="X211" s="299"/>
      <c r="Y211" s="299"/>
      <c r="Z211" s="299"/>
      <c r="AA211" s="299"/>
      <c r="AB211" s="299"/>
      <c r="AC211" s="299"/>
      <c r="AD211" s="299"/>
      <c r="AE211" s="299"/>
      <c r="AF211" s="299"/>
    </row>
    <row r="212" spans="1:32" x14ac:dyDescent="0.35">
      <c r="A212" s="339"/>
      <c r="B212" s="299"/>
      <c r="C212" s="299"/>
      <c r="D212" s="299"/>
      <c r="E212" s="344"/>
      <c r="F212" s="299"/>
      <c r="G212" s="299"/>
      <c r="H212" s="299"/>
      <c r="I212" s="299"/>
      <c r="J212" s="299"/>
      <c r="K212" s="299"/>
      <c r="L212" s="299"/>
      <c r="M212" s="414"/>
      <c r="N212" s="299"/>
      <c r="O212" s="537"/>
      <c r="P212" s="537"/>
      <c r="Q212" s="537"/>
      <c r="R212" s="537"/>
      <c r="S212" s="299"/>
      <c r="T212" s="299"/>
      <c r="U212" s="299"/>
      <c r="V212" s="299"/>
      <c r="W212" s="299"/>
      <c r="X212" s="299"/>
      <c r="Y212" s="299"/>
      <c r="Z212" s="299"/>
      <c r="AA212" s="299"/>
      <c r="AB212" s="299"/>
      <c r="AC212" s="299"/>
      <c r="AD212" s="299"/>
      <c r="AE212" s="299"/>
      <c r="AF212" s="299"/>
    </row>
    <row r="213" spans="1:32" x14ac:dyDescent="0.35">
      <c r="A213" s="339"/>
      <c r="B213" s="299"/>
      <c r="C213" s="299"/>
      <c r="D213" s="299"/>
      <c r="E213" s="344"/>
      <c r="F213" s="299"/>
      <c r="G213" s="299"/>
      <c r="H213" s="299"/>
      <c r="I213" s="299"/>
      <c r="J213" s="299"/>
      <c r="K213" s="299"/>
      <c r="L213" s="299"/>
      <c r="M213" s="414"/>
      <c r="N213" s="299"/>
      <c r="O213" s="537"/>
      <c r="P213" s="537"/>
      <c r="Q213" s="537"/>
      <c r="R213" s="537"/>
      <c r="S213" s="299"/>
      <c r="T213" s="299"/>
      <c r="U213" s="299"/>
      <c r="V213" s="299"/>
      <c r="W213" s="299"/>
      <c r="X213" s="299"/>
      <c r="Y213" s="299"/>
      <c r="Z213" s="299"/>
      <c r="AA213" s="299"/>
      <c r="AB213" s="299"/>
      <c r="AC213" s="299"/>
      <c r="AD213" s="299"/>
      <c r="AE213" s="299"/>
      <c r="AF213" s="299"/>
    </row>
    <row r="214" spans="1:32" x14ac:dyDescent="0.35">
      <c r="A214" s="339"/>
      <c r="B214" s="299"/>
      <c r="C214" s="299"/>
      <c r="D214" s="299"/>
      <c r="E214" s="344"/>
      <c r="F214" s="299"/>
      <c r="G214" s="299"/>
      <c r="H214" s="299"/>
      <c r="I214" s="299"/>
      <c r="J214" s="299"/>
      <c r="K214" s="299"/>
      <c r="L214" s="299"/>
      <c r="M214" s="414"/>
      <c r="N214" s="299"/>
      <c r="O214" s="537"/>
      <c r="P214" s="537"/>
      <c r="Q214" s="537"/>
      <c r="R214" s="537"/>
      <c r="S214" s="299"/>
      <c r="T214" s="299"/>
      <c r="U214" s="299"/>
      <c r="V214" s="299"/>
      <c r="W214" s="299"/>
      <c r="X214" s="299"/>
      <c r="Y214" s="299"/>
      <c r="Z214" s="299"/>
      <c r="AA214" s="299"/>
      <c r="AB214" s="299"/>
      <c r="AC214" s="299"/>
      <c r="AD214" s="299"/>
      <c r="AE214" s="299"/>
      <c r="AF214" s="299"/>
    </row>
    <row r="215" spans="1:32" x14ac:dyDescent="0.35">
      <c r="A215" s="339"/>
      <c r="B215" s="299"/>
      <c r="C215" s="299"/>
      <c r="D215" s="299"/>
      <c r="E215" s="344"/>
      <c r="F215" s="299"/>
      <c r="G215" s="299"/>
      <c r="H215" s="299"/>
      <c r="I215" s="299"/>
      <c r="J215" s="299"/>
      <c r="K215" s="299"/>
      <c r="L215" s="299"/>
      <c r="M215" s="414"/>
      <c r="N215" s="299"/>
      <c r="O215" s="537"/>
      <c r="P215" s="537"/>
      <c r="Q215" s="537"/>
      <c r="R215" s="537"/>
      <c r="S215" s="299"/>
      <c r="T215" s="299"/>
      <c r="U215" s="299"/>
      <c r="V215" s="299"/>
      <c r="W215" s="299"/>
      <c r="X215" s="299"/>
      <c r="Y215" s="299"/>
      <c r="Z215" s="299"/>
      <c r="AA215" s="299"/>
      <c r="AB215" s="299"/>
      <c r="AC215" s="299"/>
      <c r="AD215" s="299"/>
      <c r="AE215" s="299"/>
      <c r="AF215" s="299"/>
    </row>
    <row r="216" spans="1:32" x14ac:dyDescent="0.35">
      <c r="A216" s="339"/>
      <c r="B216" s="299"/>
      <c r="C216" s="299"/>
      <c r="D216" s="299"/>
      <c r="E216" s="344"/>
      <c r="F216" s="299"/>
      <c r="G216" s="299"/>
      <c r="H216" s="299"/>
      <c r="I216" s="299"/>
      <c r="J216" s="299"/>
      <c r="K216" s="299"/>
      <c r="L216" s="299"/>
      <c r="M216" s="414"/>
      <c r="N216" s="299"/>
      <c r="O216" s="537"/>
      <c r="P216" s="537"/>
      <c r="Q216" s="537"/>
      <c r="R216" s="537"/>
      <c r="S216" s="299"/>
      <c r="T216" s="299"/>
      <c r="U216" s="299"/>
      <c r="V216" s="299"/>
      <c r="W216" s="299"/>
      <c r="X216" s="299"/>
      <c r="Y216" s="299"/>
      <c r="Z216" s="299"/>
      <c r="AA216" s="299"/>
      <c r="AB216" s="299"/>
      <c r="AC216" s="299"/>
      <c r="AD216" s="299"/>
      <c r="AE216" s="299"/>
      <c r="AF216" s="299"/>
    </row>
    <row r="217" spans="1:32" x14ac:dyDescent="0.35">
      <c r="A217" s="339"/>
      <c r="B217" s="299"/>
      <c r="C217" s="299"/>
      <c r="D217" s="299"/>
      <c r="E217" s="344"/>
      <c r="F217" s="299"/>
      <c r="G217" s="299"/>
      <c r="H217" s="299"/>
      <c r="I217" s="299"/>
      <c r="J217" s="299"/>
      <c r="K217" s="299"/>
      <c r="L217" s="299"/>
      <c r="M217" s="414"/>
      <c r="N217" s="299"/>
      <c r="O217" s="537"/>
      <c r="P217" s="537"/>
      <c r="Q217" s="537"/>
      <c r="R217" s="537"/>
      <c r="S217" s="299"/>
      <c r="T217" s="299"/>
      <c r="U217" s="299"/>
      <c r="V217" s="299"/>
      <c r="W217" s="299"/>
      <c r="X217" s="299"/>
      <c r="Y217" s="299"/>
      <c r="Z217" s="299"/>
      <c r="AA217" s="299"/>
      <c r="AB217" s="299"/>
      <c r="AC217" s="299"/>
      <c r="AD217" s="299"/>
      <c r="AE217" s="299"/>
      <c r="AF217" s="299"/>
    </row>
    <row r="218" spans="1:32" x14ac:dyDescent="0.35">
      <c r="A218" s="339"/>
      <c r="B218" s="299"/>
      <c r="C218" s="299"/>
      <c r="D218" s="299"/>
      <c r="E218" s="344"/>
      <c r="F218" s="299"/>
      <c r="G218" s="299"/>
      <c r="H218" s="299"/>
      <c r="I218" s="299"/>
      <c r="J218" s="299"/>
      <c r="K218" s="299"/>
      <c r="L218" s="299"/>
      <c r="M218" s="414"/>
      <c r="N218" s="299"/>
      <c r="O218" s="537"/>
      <c r="P218" s="537"/>
      <c r="Q218" s="537"/>
      <c r="R218" s="537"/>
      <c r="S218" s="299"/>
      <c r="T218" s="299"/>
      <c r="U218" s="299"/>
      <c r="V218" s="299"/>
      <c r="W218" s="299"/>
      <c r="X218" s="299"/>
      <c r="Y218" s="299"/>
      <c r="Z218" s="299"/>
      <c r="AA218" s="299"/>
      <c r="AB218" s="299"/>
      <c r="AC218" s="299"/>
      <c r="AD218" s="299"/>
      <c r="AE218" s="299"/>
      <c r="AF218" s="299"/>
    </row>
    <row r="219" spans="1:32" x14ac:dyDescent="0.35">
      <c r="A219" s="339"/>
      <c r="B219" s="299"/>
      <c r="C219" s="299"/>
      <c r="D219" s="299"/>
      <c r="E219" s="344"/>
      <c r="F219" s="299"/>
      <c r="G219" s="299"/>
      <c r="H219" s="299"/>
      <c r="I219" s="299"/>
      <c r="J219" s="299"/>
      <c r="K219" s="299"/>
      <c r="L219" s="299"/>
      <c r="M219" s="414"/>
      <c r="N219" s="299"/>
      <c r="O219" s="537"/>
      <c r="P219" s="537"/>
      <c r="Q219" s="537"/>
      <c r="R219" s="537"/>
      <c r="S219" s="299"/>
      <c r="T219" s="299"/>
      <c r="U219" s="299"/>
      <c r="V219" s="299"/>
      <c r="W219" s="299"/>
      <c r="X219" s="299"/>
      <c r="Y219" s="299"/>
      <c r="Z219" s="299"/>
      <c r="AA219" s="299"/>
      <c r="AB219" s="299"/>
      <c r="AC219" s="299"/>
      <c r="AD219" s="299"/>
      <c r="AE219" s="299"/>
      <c r="AF219" s="299"/>
    </row>
    <row r="220" spans="1:32" x14ac:dyDescent="0.35">
      <c r="A220" s="339"/>
      <c r="B220" s="299"/>
      <c r="C220" s="299"/>
      <c r="D220" s="299"/>
      <c r="E220" s="344"/>
      <c r="F220" s="299"/>
      <c r="G220" s="299"/>
      <c r="H220" s="299"/>
      <c r="I220" s="299"/>
      <c r="J220" s="299"/>
      <c r="K220" s="299"/>
      <c r="L220" s="299"/>
      <c r="M220" s="414"/>
      <c r="N220" s="299"/>
      <c r="O220" s="537"/>
      <c r="P220" s="537"/>
      <c r="Q220" s="537"/>
      <c r="R220" s="537"/>
      <c r="S220" s="299"/>
      <c r="T220" s="299"/>
      <c r="U220" s="299"/>
      <c r="V220" s="299"/>
      <c r="W220" s="299"/>
      <c r="X220" s="299"/>
      <c r="Y220" s="299"/>
      <c r="Z220" s="299"/>
      <c r="AA220" s="299"/>
      <c r="AB220" s="299"/>
      <c r="AC220" s="299"/>
      <c r="AD220" s="299"/>
      <c r="AE220" s="299"/>
      <c r="AF220" s="299"/>
    </row>
    <row r="221" spans="1:32" x14ac:dyDescent="0.35">
      <c r="A221" s="339"/>
      <c r="B221" s="299"/>
      <c r="C221" s="299"/>
      <c r="D221" s="299"/>
      <c r="E221" s="344"/>
      <c r="F221" s="299"/>
      <c r="G221" s="299"/>
      <c r="H221" s="299"/>
      <c r="I221" s="299"/>
      <c r="J221" s="299"/>
      <c r="K221" s="299"/>
      <c r="L221" s="299"/>
      <c r="M221" s="414"/>
      <c r="N221" s="299"/>
      <c r="O221" s="537"/>
      <c r="P221" s="537"/>
      <c r="Q221" s="537"/>
      <c r="R221" s="537"/>
      <c r="S221" s="299"/>
      <c r="T221" s="299"/>
      <c r="U221" s="299"/>
      <c r="V221" s="299"/>
      <c r="W221" s="299"/>
      <c r="X221" s="299"/>
      <c r="Y221" s="299"/>
      <c r="Z221" s="299"/>
      <c r="AA221" s="299"/>
      <c r="AB221" s="299"/>
      <c r="AC221" s="299"/>
      <c r="AD221" s="299"/>
      <c r="AE221" s="299"/>
      <c r="AF221" s="299"/>
    </row>
    <row r="222" spans="1:32" x14ac:dyDescent="0.35">
      <c r="A222" s="339"/>
      <c r="B222" s="299"/>
      <c r="C222" s="299"/>
      <c r="D222" s="299"/>
      <c r="E222" s="344"/>
      <c r="F222" s="299"/>
      <c r="G222" s="299"/>
      <c r="H222" s="299"/>
      <c r="I222" s="299"/>
      <c r="J222" s="299"/>
      <c r="K222" s="299"/>
      <c r="L222" s="299"/>
      <c r="M222" s="414"/>
      <c r="N222" s="299"/>
      <c r="O222" s="537"/>
      <c r="P222" s="537"/>
      <c r="Q222" s="537"/>
      <c r="R222" s="537"/>
      <c r="S222" s="299"/>
      <c r="T222" s="299"/>
      <c r="U222" s="299"/>
      <c r="V222" s="299"/>
      <c r="W222" s="299"/>
      <c r="X222" s="299"/>
      <c r="Y222" s="299"/>
      <c r="Z222" s="299"/>
      <c r="AA222" s="299"/>
      <c r="AB222" s="299"/>
      <c r="AC222" s="299"/>
      <c r="AD222" s="299"/>
      <c r="AE222" s="299"/>
      <c r="AF222" s="299"/>
    </row>
    <row r="223" spans="1:32" x14ac:dyDescent="0.35">
      <c r="A223" s="339"/>
      <c r="B223" s="299"/>
      <c r="C223" s="299"/>
      <c r="D223" s="299"/>
      <c r="E223" s="344"/>
      <c r="F223" s="299"/>
      <c r="G223" s="299"/>
      <c r="H223" s="299"/>
      <c r="I223" s="299"/>
      <c r="J223" s="299"/>
      <c r="K223" s="299"/>
      <c r="L223" s="299"/>
      <c r="M223" s="414"/>
      <c r="N223" s="299"/>
      <c r="O223" s="537"/>
      <c r="P223" s="537"/>
      <c r="Q223" s="537"/>
      <c r="R223" s="537"/>
      <c r="S223" s="299"/>
      <c r="T223" s="299"/>
      <c r="U223" s="299"/>
      <c r="V223" s="299"/>
      <c r="W223" s="299"/>
      <c r="X223" s="299"/>
      <c r="Y223" s="299"/>
      <c r="Z223" s="299"/>
      <c r="AA223" s="299"/>
      <c r="AB223" s="299"/>
      <c r="AC223" s="299"/>
      <c r="AD223" s="299"/>
      <c r="AE223" s="299"/>
      <c r="AF223" s="299"/>
    </row>
    <row r="224" spans="1:32" x14ac:dyDescent="0.35">
      <c r="A224" s="339"/>
      <c r="B224" s="299"/>
      <c r="C224" s="299"/>
      <c r="D224" s="299"/>
      <c r="E224" s="344"/>
      <c r="F224" s="299"/>
      <c r="G224" s="299"/>
      <c r="H224" s="299"/>
      <c r="I224" s="299"/>
      <c r="J224" s="299"/>
      <c r="K224" s="299"/>
      <c r="L224" s="299"/>
      <c r="M224" s="414"/>
      <c r="N224" s="299"/>
      <c r="O224" s="537"/>
      <c r="P224" s="537"/>
      <c r="Q224" s="537"/>
      <c r="R224" s="537"/>
      <c r="S224" s="299"/>
      <c r="T224" s="299"/>
      <c r="U224" s="299"/>
      <c r="V224" s="299"/>
      <c r="W224" s="299"/>
      <c r="X224" s="299"/>
      <c r="Y224" s="299"/>
      <c r="Z224" s="299"/>
      <c r="AA224" s="299"/>
      <c r="AB224" s="299"/>
      <c r="AC224" s="299"/>
      <c r="AD224" s="299"/>
      <c r="AE224" s="299"/>
      <c r="AF224" s="299"/>
    </row>
    <row r="225" spans="1:32" x14ac:dyDescent="0.35">
      <c r="A225" s="339"/>
      <c r="B225" s="299"/>
      <c r="C225" s="299"/>
      <c r="D225" s="299"/>
      <c r="E225" s="344"/>
      <c r="F225" s="299"/>
      <c r="G225" s="299"/>
      <c r="H225" s="299"/>
      <c r="I225" s="299"/>
      <c r="J225" s="299"/>
      <c r="K225" s="299"/>
      <c r="L225" s="299"/>
      <c r="M225" s="414"/>
      <c r="N225" s="299"/>
      <c r="O225" s="537"/>
      <c r="P225" s="537"/>
      <c r="Q225" s="537"/>
      <c r="R225" s="537"/>
      <c r="S225" s="299"/>
      <c r="T225" s="299"/>
      <c r="U225" s="299"/>
      <c r="V225" s="299"/>
      <c r="W225" s="299"/>
      <c r="X225" s="299"/>
      <c r="Y225" s="299"/>
      <c r="Z225" s="299"/>
      <c r="AA225" s="299"/>
      <c r="AB225" s="299"/>
      <c r="AC225" s="299"/>
      <c r="AD225" s="299"/>
      <c r="AE225" s="299"/>
      <c r="AF225" s="299"/>
    </row>
    <row r="226" spans="1:32" x14ac:dyDescent="0.35">
      <c r="A226" s="339"/>
      <c r="B226" s="299"/>
      <c r="C226" s="299"/>
      <c r="D226" s="299"/>
      <c r="E226" s="344"/>
      <c r="F226" s="299"/>
      <c r="G226" s="299"/>
      <c r="H226" s="299"/>
      <c r="I226" s="299"/>
      <c r="J226" s="299"/>
      <c r="K226" s="299"/>
      <c r="L226" s="299"/>
      <c r="M226" s="414"/>
      <c r="N226" s="299"/>
      <c r="O226" s="537"/>
      <c r="P226" s="537"/>
      <c r="Q226" s="537"/>
      <c r="R226" s="537"/>
      <c r="S226" s="299"/>
      <c r="T226" s="299"/>
      <c r="U226" s="299"/>
      <c r="V226" s="299"/>
      <c r="W226" s="299"/>
      <c r="X226" s="299"/>
      <c r="Y226" s="299"/>
      <c r="Z226" s="299"/>
      <c r="AA226" s="299"/>
      <c r="AB226" s="299"/>
      <c r="AC226" s="299"/>
      <c r="AD226" s="299"/>
      <c r="AE226" s="299"/>
      <c r="AF226" s="299"/>
    </row>
    <row r="227" spans="1:32" x14ac:dyDescent="0.35">
      <c r="A227" s="339"/>
      <c r="B227" s="299"/>
      <c r="C227" s="299"/>
      <c r="D227" s="299"/>
      <c r="E227" s="344"/>
      <c r="F227" s="299"/>
      <c r="G227" s="299"/>
      <c r="H227" s="299"/>
      <c r="I227" s="299"/>
      <c r="J227" s="299"/>
      <c r="K227" s="299"/>
      <c r="L227" s="299"/>
      <c r="M227" s="414"/>
      <c r="N227" s="299"/>
      <c r="O227" s="537"/>
      <c r="P227" s="537"/>
      <c r="Q227" s="537"/>
      <c r="R227" s="537"/>
      <c r="S227" s="299"/>
      <c r="T227" s="299"/>
      <c r="U227" s="299"/>
      <c r="V227" s="299"/>
      <c r="W227" s="299"/>
      <c r="X227" s="299"/>
      <c r="Y227" s="299"/>
      <c r="Z227" s="299"/>
      <c r="AA227" s="299"/>
      <c r="AB227" s="299"/>
      <c r="AC227" s="299"/>
      <c r="AD227" s="299"/>
      <c r="AE227" s="299"/>
      <c r="AF227" s="299"/>
    </row>
    <row r="228" spans="1:32" x14ac:dyDescent="0.35">
      <c r="A228" s="339"/>
      <c r="B228" s="299"/>
      <c r="C228" s="299"/>
      <c r="D228" s="299"/>
      <c r="E228" s="344"/>
      <c r="F228" s="299"/>
      <c r="G228" s="299"/>
      <c r="H228" s="299"/>
      <c r="I228" s="299"/>
      <c r="J228" s="299"/>
      <c r="K228" s="299"/>
      <c r="L228" s="299"/>
      <c r="M228" s="414"/>
      <c r="N228" s="299"/>
      <c r="O228" s="537"/>
      <c r="P228" s="537"/>
      <c r="Q228" s="537"/>
      <c r="R228" s="537"/>
      <c r="S228" s="299"/>
      <c r="T228" s="299"/>
      <c r="U228" s="299"/>
      <c r="V228" s="299"/>
      <c r="W228" s="299"/>
      <c r="X228" s="299"/>
      <c r="Y228" s="299"/>
      <c r="Z228" s="299"/>
      <c r="AA228" s="299"/>
      <c r="AB228" s="299"/>
      <c r="AC228" s="299"/>
      <c r="AD228" s="299"/>
      <c r="AE228" s="299"/>
      <c r="AF228" s="299"/>
    </row>
    <row r="229" spans="1:32" x14ac:dyDescent="0.35">
      <c r="A229" s="339"/>
      <c r="B229" s="299"/>
      <c r="C229" s="299"/>
      <c r="D229" s="299"/>
      <c r="E229" s="344"/>
      <c r="F229" s="299"/>
      <c r="G229" s="299"/>
      <c r="H229" s="299"/>
      <c r="I229" s="299"/>
      <c r="J229" s="299"/>
      <c r="K229" s="299"/>
      <c r="L229" s="299"/>
      <c r="M229" s="414"/>
      <c r="N229" s="299"/>
      <c r="O229" s="537"/>
      <c r="P229" s="537"/>
      <c r="Q229" s="537"/>
      <c r="R229" s="537"/>
      <c r="S229" s="299"/>
      <c r="T229" s="299"/>
      <c r="U229" s="299"/>
      <c r="V229" s="299"/>
      <c r="W229" s="299"/>
      <c r="X229" s="299"/>
      <c r="Y229" s="299"/>
      <c r="Z229" s="299"/>
      <c r="AA229" s="299"/>
      <c r="AB229" s="299"/>
      <c r="AC229" s="299"/>
      <c r="AD229" s="299"/>
      <c r="AE229" s="299"/>
      <c r="AF229" s="299"/>
    </row>
    <row r="230" spans="1:32" x14ac:dyDescent="0.35">
      <c r="A230" s="339"/>
      <c r="B230" s="299"/>
      <c r="C230" s="299"/>
      <c r="D230" s="299"/>
      <c r="E230" s="344"/>
      <c r="F230" s="299"/>
      <c r="G230" s="299"/>
      <c r="H230" s="299"/>
      <c r="I230" s="299"/>
      <c r="J230" s="299"/>
      <c r="K230" s="299"/>
      <c r="L230" s="299"/>
      <c r="M230" s="414"/>
      <c r="N230" s="299"/>
      <c r="O230" s="537"/>
      <c r="P230" s="537"/>
      <c r="Q230" s="537"/>
      <c r="R230" s="537"/>
      <c r="S230" s="299"/>
      <c r="T230" s="299"/>
      <c r="U230" s="299"/>
      <c r="V230" s="299"/>
      <c r="W230" s="299"/>
      <c r="X230" s="299"/>
      <c r="Y230" s="299"/>
      <c r="Z230" s="299"/>
      <c r="AA230" s="299"/>
      <c r="AB230" s="299"/>
      <c r="AC230" s="299"/>
      <c r="AD230" s="299"/>
      <c r="AE230" s="299"/>
      <c r="AF230" s="299"/>
    </row>
    <row r="231" spans="1:32" x14ac:dyDescent="0.35">
      <c r="A231" s="339"/>
      <c r="B231" s="299"/>
      <c r="C231" s="299"/>
      <c r="D231" s="299"/>
      <c r="E231" s="344"/>
      <c r="F231" s="299"/>
      <c r="G231" s="299"/>
      <c r="H231" s="299"/>
      <c r="I231" s="299"/>
      <c r="J231" s="299"/>
      <c r="K231" s="299"/>
      <c r="L231" s="299"/>
      <c r="M231" s="414"/>
      <c r="N231" s="299"/>
      <c r="O231" s="537"/>
      <c r="P231" s="537"/>
      <c r="Q231" s="537"/>
      <c r="R231" s="537"/>
      <c r="S231" s="299"/>
      <c r="T231" s="299"/>
      <c r="U231" s="299"/>
      <c r="V231" s="299"/>
      <c r="W231" s="299"/>
      <c r="X231" s="299"/>
      <c r="Y231" s="299"/>
      <c r="Z231" s="299"/>
      <c r="AA231" s="299"/>
      <c r="AB231" s="299"/>
      <c r="AC231" s="299"/>
      <c r="AD231" s="299"/>
      <c r="AE231" s="299"/>
      <c r="AF231" s="299"/>
    </row>
    <row r="232" spans="1:32" x14ac:dyDescent="0.35">
      <c r="A232" s="339"/>
      <c r="B232" s="299"/>
      <c r="C232" s="299"/>
      <c r="D232" s="299"/>
      <c r="E232" s="344"/>
      <c r="F232" s="299"/>
      <c r="G232" s="299"/>
      <c r="H232" s="299"/>
      <c r="I232" s="299"/>
      <c r="J232" s="299"/>
      <c r="K232" s="299"/>
      <c r="L232" s="299"/>
      <c r="M232" s="414"/>
      <c r="N232" s="299"/>
      <c r="O232" s="537"/>
      <c r="P232" s="537"/>
      <c r="Q232" s="537"/>
      <c r="R232" s="537"/>
      <c r="S232" s="299"/>
      <c r="T232" s="299"/>
      <c r="U232" s="299"/>
      <c r="V232" s="299"/>
      <c r="W232" s="299"/>
      <c r="X232" s="299"/>
      <c r="Y232" s="299"/>
      <c r="Z232" s="299"/>
      <c r="AA232" s="299"/>
      <c r="AB232" s="299"/>
      <c r="AC232" s="299"/>
      <c r="AD232" s="299"/>
      <c r="AE232" s="299"/>
      <c r="AF232" s="299"/>
    </row>
    <row r="233" spans="1:32" x14ac:dyDescent="0.35">
      <c r="A233" s="339"/>
      <c r="B233" s="299"/>
      <c r="C233" s="299"/>
      <c r="D233" s="299"/>
      <c r="E233" s="344"/>
      <c r="F233" s="299"/>
      <c r="G233" s="299"/>
      <c r="H233" s="299"/>
      <c r="I233" s="299"/>
      <c r="J233" s="299"/>
      <c r="K233" s="299"/>
      <c r="L233" s="299"/>
      <c r="M233" s="414"/>
      <c r="N233" s="299"/>
      <c r="O233" s="537"/>
      <c r="P233" s="537"/>
      <c r="Q233" s="537"/>
      <c r="R233" s="537"/>
      <c r="S233" s="299"/>
      <c r="T233" s="299"/>
      <c r="U233" s="299"/>
      <c r="V233" s="299"/>
      <c r="W233" s="299"/>
      <c r="X233" s="299"/>
      <c r="Y233" s="299"/>
      <c r="Z233" s="299"/>
      <c r="AA233" s="299"/>
      <c r="AB233" s="299"/>
      <c r="AC233" s="299"/>
      <c r="AD233" s="299"/>
      <c r="AE233" s="299"/>
      <c r="AF233" s="299"/>
    </row>
    <row r="234" spans="1:32" x14ac:dyDescent="0.35">
      <c r="A234" s="339"/>
      <c r="B234" s="299"/>
      <c r="C234" s="299"/>
      <c r="D234" s="299"/>
      <c r="E234" s="344"/>
      <c r="F234" s="299"/>
      <c r="G234" s="299"/>
      <c r="H234" s="299"/>
      <c r="I234" s="299"/>
      <c r="J234" s="299"/>
      <c r="K234" s="299"/>
      <c r="L234" s="299"/>
      <c r="M234" s="414"/>
      <c r="N234" s="299"/>
      <c r="O234" s="537"/>
      <c r="P234" s="537"/>
      <c r="Q234" s="537"/>
      <c r="R234" s="537"/>
      <c r="S234" s="299"/>
      <c r="T234" s="299"/>
      <c r="U234" s="299"/>
      <c r="V234" s="299"/>
      <c r="W234" s="299"/>
      <c r="X234" s="299"/>
      <c r="Y234" s="299"/>
      <c r="Z234" s="299"/>
      <c r="AA234" s="299"/>
      <c r="AB234" s="299"/>
      <c r="AC234" s="299"/>
      <c r="AD234" s="299"/>
      <c r="AE234" s="299"/>
      <c r="AF234" s="299"/>
    </row>
    <row r="235" spans="1:32" x14ac:dyDescent="0.35">
      <c r="A235" s="339"/>
      <c r="B235" s="299"/>
      <c r="C235" s="299"/>
      <c r="D235" s="299"/>
      <c r="E235" s="344"/>
      <c r="F235" s="299"/>
      <c r="G235" s="299"/>
      <c r="H235" s="299"/>
      <c r="I235" s="299"/>
      <c r="J235" s="299"/>
      <c r="K235" s="299"/>
      <c r="L235" s="299"/>
      <c r="M235" s="414"/>
      <c r="N235" s="299"/>
      <c r="O235" s="537"/>
      <c r="P235" s="537"/>
      <c r="Q235" s="537"/>
      <c r="R235" s="537"/>
      <c r="S235" s="299"/>
      <c r="T235" s="299"/>
      <c r="U235" s="299"/>
      <c r="V235" s="299"/>
      <c r="W235" s="299"/>
      <c r="X235" s="299"/>
      <c r="Y235" s="299"/>
      <c r="Z235" s="299"/>
      <c r="AA235" s="299"/>
      <c r="AB235" s="299"/>
      <c r="AC235" s="299"/>
      <c r="AD235" s="299"/>
      <c r="AE235" s="299"/>
      <c r="AF235" s="299"/>
    </row>
    <row r="236" spans="1:32" x14ac:dyDescent="0.35">
      <c r="A236" s="339"/>
      <c r="B236" s="299"/>
      <c r="C236" s="299"/>
      <c r="D236" s="299"/>
      <c r="E236" s="344"/>
      <c r="F236" s="299"/>
      <c r="G236" s="299"/>
      <c r="H236" s="299"/>
      <c r="I236" s="299"/>
      <c r="J236" s="299"/>
      <c r="K236" s="299"/>
      <c r="L236" s="299"/>
      <c r="M236" s="414"/>
      <c r="N236" s="299"/>
      <c r="O236" s="537"/>
      <c r="P236" s="537"/>
      <c r="Q236" s="537"/>
      <c r="R236" s="537"/>
      <c r="S236" s="299"/>
      <c r="T236" s="299"/>
      <c r="U236" s="299"/>
      <c r="V236" s="299"/>
      <c r="W236" s="299"/>
      <c r="X236" s="299"/>
      <c r="Y236" s="299"/>
      <c r="Z236" s="299"/>
      <c r="AA236" s="299"/>
      <c r="AB236" s="299"/>
      <c r="AC236" s="299"/>
      <c r="AD236" s="299"/>
      <c r="AE236" s="299"/>
      <c r="AF236" s="299"/>
    </row>
    <row r="237" spans="1:32" x14ac:dyDescent="0.35">
      <c r="A237" s="339"/>
      <c r="B237" s="299"/>
      <c r="C237" s="299"/>
      <c r="D237" s="299"/>
      <c r="E237" s="344"/>
      <c r="F237" s="299"/>
      <c r="G237" s="299"/>
      <c r="H237" s="299"/>
      <c r="I237" s="299"/>
      <c r="J237" s="299"/>
      <c r="K237" s="299"/>
      <c r="L237" s="299"/>
      <c r="M237" s="414"/>
      <c r="N237" s="299"/>
      <c r="O237" s="537"/>
      <c r="P237" s="537"/>
      <c r="Q237" s="537"/>
      <c r="R237" s="537"/>
      <c r="S237" s="299"/>
      <c r="T237" s="299"/>
      <c r="U237" s="299"/>
      <c r="V237" s="299"/>
      <c r="W237" s="299"/>
      <c r="X237" s="299"/>
      <c r="Y237" s="299"/>
      <c r="Z237" s="299"/>
      <c r="AA237" s="299"/>
      <c r="AB237" s="299"/>
      <c r="AC237" s="299"/>
      <c r="AD237" s="299"/>
      <c r="AE237" s="299"/>
      <c r="AF237" s="299"/>
    </row>
    <row r="238" spans="1:32" x14ac:dyDescent="0.35">
      <c r="A238" s="339"/>
      <c r="B238" s="299"/>
      <c r="C238" s="299"/>
      <c r="D238" s="299"/>
      <c r="E238" s="344"/>
      <c r="F238" s="299"/>
      <c r="G238" s="299"/>
      <c r="H238" s="299"/>
      <c r="I238" s="299"/>
      <c r="J238" s="299"/>
      <c r="K238" s="299"/>
      <c r="L238" s="299"/>
      <c r="M238" s="414"/>
      <c r="N238" s="299"/>
      <c r="O238" s="537"/>
      <c r="P238" s="537"/>
      <c r="Q238" s="537"/>
      <c r="R238" s="537"/>
      <c r="S238" s="299"/>
      <c r="T238" s="299"/>
      <c r="U238" s="299"/>
      <c r="V238" s="299"/>
      <c r="W238" s="299"/>
      <c r="X238" s="299"/>
      <c r="Y238" s="299"/>
      <c r="Z238" s="299"/>
      <c r="AA238" s="299"/>
      <c r="AB238" s="299"/>
      <c r="AC238" s="299"/>
      <c r="AD238" s="299"/>
      <c r="AE238" s="299"/>
      <c r="AF238" s="299"/>
    </row>
    <row r="239" spans="1:32" x14ac:dyDescent="0.35">
      <c r="A239" s="339"/>
      <c r="B239" s="299"/>
      <c r="C239" s="299"/>
      <c r="D239" s="299"/>
      <c r="E239" s="344"/>
      <c r="F239" s="299"/>
      <c r="G239" s="299"/>
      <c r="H239" s="299"/>
      <c r="I239" s="299"/>
      <c r="J239" s="299"/>
      <c r="K239" s="299"/>
      <c r="L239" s="299"/>
      <c r="M239" s="414"/>
      <c r="N239" s="299"/>
      <c r="O239" s="537"/>
      <c r="P239" s="537"/>
      <c r="Q239" s="537"/>
      <c r="R239" s="537"/>
      <c r="S239" s="299"/>
      <c r="T239" s="299"/>
      <c r="U239" s="299"/>
      <c r="V239" s="299"/>
      <c r="W239" s="299"/>
      <c r="X239" s="299"/>
      <c r="Y239" s="299"/>
      <c r="Z239" s="299"/>
      <c r="AA239" s="299"/>
      <c r="AB239" s="299"/>
      <c r="AC239" s="299"/>
      <c r="AD239" s="299"/>
      <c r="AE239" s="299"/>
      <c r="AF239" s="299"/>
    </row>
    <row r="240" spans="1:32" x14ac:dyDescent="0.35">
      <c r="A240" s="339"/>
      <c r="B240" s="299"/>
      <c r="C240" s="299"/>
      <c r="D240" s="299"/>
      <c r="E240" s="344"/>
      <c r="F240" s="299"/>
      <c r="G240" s="299"/>
      <c r="H240" s="299"/>
      <c r="I240" s="299"/>
      <c r="J240" s="299"/>
      <c r="K240" s="299"/>
      <c r="L240" s="299"/>
      <c r="M240" s="414"/>
      <c r="N240" s="299"/>
      <c r="O240" s="537"/>
      <c r="P240" s="537"/>
      <c r="Q240" s="537"/>
      <c r="R240" s="537"/>
      <c r="S240" s="299"/>
      <c r="T240" s="299"/>
      <c r="U240" s="299"/>
      <c r="V240" s="299"/>
      <c r="W240" s="299"/>
      <c r="X240" s="299"/>
      <c r="Y240" s="299"/>
      <c r="Z240" s="299"/>
      <c r="AA240" s="299"/>
      <c r="AB240" s="299"/>
      <c r="AC240" s="299"/>
      <c r="AD240" s="299"/>
      <c r="AE240" s="299"/>
      <c r="AF240" s="299"/>
    </row>
    <row r="241" spans="1:32" x14ac:dyDescent="0.35">
      <c r="A241" s="339"/>
      <c r="B241" s="299"/>
      <c r="C241" s="299"/>
      <c r="D241" s="299"/>
      <c r="E241" s="344"/>
      <c r="F241" s="299"/>
      <c r="G241" s="299"/>
      <c r="H241" s="299"/>
      <c r="I241" s="299"/>
      <c r="J241" s="299"/>
      <c r="K241" s="299"/>
      <c r="L241" s="299"/>
      <c r="M241" s="414"/>
      <c r="N241" s="299"/>
      <c r="O241" s="537"/>
      <c r="P241" s="537"/>
      <c r="Q241" s="537"/>
      <c r="R241" s="537"/>
      <c r="S241" s="299"/>
      <c r="T241" s="299"/>
      <c r="U241" s="299"/>
      <c r="V241" s="299"/>
      <c r="W241" s="299"/>
      <c r="X241" s="299"/>
      <c r="Y241" s="299"/>
      <c r="Z241" s="299"/>
      <c r="AA241" s="299"/>
      <c r="AB241" s="299"/>
      <c r="AC241" s="299"/>
      <c r="AD241" s="299"/>
      <c r="AE241" s="299"/>
      <c r="AF241" s="299"/>
    </row>
    <row r="242" spans="1:32" x14ac:dyDescent="0.35">
      <c r="A242" s="339"/>
      <c r="B242" s="299"/>
      <c r="C242" s="299"/>
      <c r="D242" s="299"/>
      <c r="E242" s="344"/>
      <c r="F242" s="299"/>
      <c r="G242" s="299"/>
      <c r="H242" s="299"/>
      <c r="I242" s="299"/>
      <c r="J242" s="299"/>
      <c r="K242" s="299"/>
      <c r="L242" s="299"/>
      <c r="M242" s="414"/>
      <c r="N242" s="299"/>
      <c r="O242" s="537"/>
      <c r="P242" s="537"/>
      <c r="Q242" s="537"/>
      <c r="R242" s="537"/>
      <c r="S242" s="299"/>
      <c r="T242" s="299"/>
      <c r="U242" s="299"/>
      <c r="V242" s="299"/>
      <c r="W242" s="299"/>
      <c r="X242" s="299"/>
      <c r="Y242" s="299"/>
      <c r="Z242" s="299"/>
      <c r="AA242" s="299"/>
      <c r="AB242" s="299"/>
      <c r="AC242" s="299"/>
      <c r="AD242" s="299"/>
      <c r="AE242" s="299"/>
      <c r="AF242" s="299"/>
    </row>
    <row r="243" spans="1:32" x14ac:dyDescent="0.35">
      <c r="A243" s="339"/>
      <c r="B243" s="299"/>
      <c r="C243" s="299"/>
      <c r="D243" s="299"/>
      <c r="E243" s="344"/>
      <c r="F243" s="299"/>
      <c r="G243" s="299"/>
      <c r="H243" s="299"/>
      <c r="I243" s="299"/>
      <c r="J243" s="299"/>
      <c r="K243" s="299"/>
      <c r="L243" s="299"/>
      <c r="M243" s="414"/>
      <c r="N243" s="299"/>
      <c r="O243" s="537"/>
      <c r="P243" s="537"/>
      <c r="Q243" s="537"/>
      <c r="R243" s="537"/>
      <c r="S243" s="299"/>
      <c r="T243" s="299"/>
      <c r="U243" s="299"/>
      <c r="V243" s="299"/>
      <c r="W243" s="299"/>
      <c r="X243" s="299"/>
      <c r="Y243" s="299"/>
      <c r="Z243" s="299"/>
      <c r="AA243" s="299"/>
      <c r="AB243" s="299"/>
      <c r="AC243" s="299"/>
      <c r="AD243" s="299"/>
      <c r="AE243" s="299"/>
      <c r="AF243" s="299"/>
    </row>
    <row r="244" spans="1:32" x14ac:dyDescent="0.35">
      <c r="A244" s="339"/>
      <c r="B244" s="299"/>
      <c r="C244" s="299"/>
      <c r="D244" s="299"/>
      <c r="E244" s="344"/>
      <c r="F244" s="299"/>
      <c r="G244" s="299"/>
      <c r="H244" s="299"/>
      <c r="I244" s="299"/>
      <c r="J244" s="299"/>
      <c r="K244" s="299"/>
      <c r="L244" s="299"/>
      <c r="M244" s="414"/>
      <c r="N244" s="299"/>
      <c r="O244" s="537"/>
      <c r="P244" s="537"/>
      <c r="Q244" s="537"/>
      <c r="R244" s="537"/>
      <c r="S244" s="299"/>
      <c r="T244" s="299"/>
      <c r="U244" s="299"/>
      <c r="V244" s="299"/>
      <c r="W244" s="299"/>
      <c r="X244" s="299"/>
      <c r="Y244" s="299"/>
      <c r="Z244" s="299"/>
      <c r="AA244" s="299"/>
      <c r="AB244" s="299"/>
      <c r="AC244" s="299"/>
      <c r="AD244" s="299"/>
      <c r="AE244" s="299"/>
      <c r="AF244" s="299"/>
    </row>
    <row r="245" spans="1:32" x14ac:dyDescent="0.35">
      <c r="A245" s="339"/>
      <c r="B245" s="299"/>
      <c r="C245" s="299"/>
      <c r="D245" s="299"/>
      <c r="E245" s="344"/>
      <c r="F245" s="299"/>
      <c r="G245" s="299"/>
      <c r="H245" s="299"/>
      <c r="I245" s="299"/>
      <c r="J245" s="299"/>
      <c r="K245" s="299"/>
      <c r="L245" s="299"/>
      <c r="M245" s="414"/>
      <c r="N245" s="299"/>
      <c r="O245" s="537"/>
      <c r="P245" s="537"/>
      <c r="Q245" s="537"/>
      <c r="R245" s="537"/>
      <c r="S245" s="299"/>
      <c r="T245" s="299"/>
      <c r="U245" s="299"/>
      <c r="V245" s="299"/>
      <c r="W245" s="299"/>
      <c r="X245" s="299"/>
      <c r="Y245" s="299"/>
      <c r="Z245" s="299"/>
      <c r="AA245" s="299"/>
      <c r="AB245" s="299"/>
      <c r="AC245" s="299"/>
      <c r="AD245" s="299"/>
      <c r="AE245" s="299"/>
      <c r="AF245" s="299"/>
    </row>
    <row r="246" spans="1:32" x14ac:dyDescent="0.35">
      <c r="A246" s="339"/>
      <c r="B246" s="299"/>
      <c r="C246" s="299"/>
      <c r="D246" s="299"/>
      <c r="E246" s="344"/>
      <c r="F246" s="299"/>
      <c r="G246" s="299"/>
      <c r="H246" s="299"/>
      <c r="I246" s="299"/>
      <c r="J246" s="299"/>
      <c r="K246" s="299"/>
      <c r="L246" s="299"/>
      <c r="M246" s="414"/>
      <c r="N246" s="299"/>
      <c r="O246" s="537"/>
      <c r="P246" s="537"/>
      <c r="Q246" s="537"/>
      <c r="R246" s="537"/>
      <c r="S246" s="299"/>
      <c r="T246" s="299"/>
      <c r="U246" s="299"/>
      <c r="V246" s="299"/>
      <c r="W246" s="299"/>
      <c r="X246" s="299"/>
      <c r="Y246" s="299"/>
      <c r="Z246" s="299"/>
      <c r="AA246" s="299"/>
      <c r="AB246" s="299"/>
      <c r="AC246" s="299"/>
      <c r="AD246" s="299"/>
      <c r="AE246" s="299"/>
      <c r="AF246" s="299"/>
    </row>
    <row r="247" spans="1:32" x14ac:dyDescent="0.35">
      <c r="A247" s="339"/>
      <c r="B247" s="299"/>
      <c r="C247" s="299"/>
      <c r="D247" s="299"/>
      <c r="E247" s="344"/>
      <c r="F247" s="299"/>
      <c r="G247" s="299"/>
      <c r="H247" s="299"/>
      <c r="I247" s="299"/>
      <c r="J247" s="299"/>
      <c r="K247" s="299"/>
      <c r="L247" s="299"/>
      <c r="M247" s="414"/>
      <c r="N247" s="299"/>
      <c r="O247" s="537"/>
      <c r="P247" s="537"/>
      <c r="Q247" s="537"/>
      <c r="R247" s="537"/>
      <c r="S247" s="299"/>
      <c r="T247" s="299"/>
      <c r="U247" s="299"/>
      <c r="V247" s="299"/>
      <c r="W247" s="299"/>
      <c r="X247" s="299"/>
      <c r="Y247" s="299"/>
      <c r="Z247" s="299"/>
      <c r="AA247" s="299"/>
      <c r="AB247" s="299"/>
      <c r="AC247" s="299"/>
      <c r="AD247" s="299"/>
      <c r="AE247" s="299"/>
      <c r="AF247" s="299"/>
    </row>
    <row r="248" spans="1:32" x14ac:dyDescent="0.35">
      <c r="A248" s="339"/>
      <c r="B248" s="299"/>
      <c r="C248" s="299"/>
      <c r="D248" s="299"/>
      <c r="E248" s="344"/>
      <c r="F248" s="299"/>
      <c r="G248" s="299"/>
      <c r="H248" s="299"/>
      <c r="I248" s="299"/>
      <c r="J248" s="299"/>
      <c r="K248" s="299"/>
      <c r="L248" s="299"/>
      <c r="M248" s="414"/>
      <c r="N248" s="299"/>
      <c r="O248" s="537"/>
      <c r="P248" s="537"/>
      <c r="Q248" s="537"/>
      <c r="R248" s="537"/>
      <c r="S248" s="299"/>
      <c r="T248" s="299"/>
      <c r="U248" s="299"/>
      <c r="V248" s="299"/>
      <c r="W248" s="299"/>
      <c r="X248" s="299"/>
      <c r="Y248" s="299"/>
      <c r="Z248" s="299"/>
      <c r="AA248" s="299"/>
      <c r="AB248" s="299"/>
      <c r="AC248" s="299"/>
      <c r="AD248" s="299"/>
      <c r="AE248" s="299"/>
      <c r="AF248" s="299"/>
    </row>
    <row r="249" spans="1:32" x14ac:dyDescent="0.35">
      <c r="A249" s="339"/>
      <c r="B249" s="299"/>
      <c r="C249" s="299"/>
      <c r="D249" s="299"/>
      <c r="E249" s="344"/>
      <c r="F249" s="299"/>
      <c r="G249" s="299"/>
      <c r="H249" s="299"/>
      <c r="I249" s="299"/>
      <c r="J249" s="299"/>
      <c r="K249" s="299"/>
      <c r="L249" s="299"/>
      <c r="M249" s="414"/>
      <c r="N249" s="299"/>
      <c r="O249" s="537"/>
      <c r="P249" s="537"/>
      <c r="Q249" s="537"/>
      <c r="R249" s="537"/>
      <c r="S249" s="299"/>
      <c r="T249" s="299"/>
      <c r="U249" s="299"/>
      <c r="V249" s="299"/>
      <c r="W249" s="299"/>
      <c r="X249" s="299"/>
      <c r="Y249" s="299"/>
      <c r="Z249" s="299"/>
      <c r="AA249" s="299"/>
      <c r="AB249" s="299"/>
      <c r="AC249" s="299"/>
      <c r="AD249" s="299"/>
      <c r="AE249" s="299"/>
      <c r="AF249" s="299"/>
    </row>
    <row r="250" spans="1:32" x14ac:dyDescent="0.35">
      <c r="A250" s="339"/>
      <c r="B250" s="299"/>
      <c r="C250" s="299"/>
      <c r="D250" s="299"/>
      <c r="E250" s="344"/>
      <c r="F250" s="299"/>
      <c r="G250" s="299"/>
      <c r="H250" s="299"/>
      <c r="I250" s="299"/>
      <c r="J250" s="299"/>
      <c r="K250" s="299"/>
      <c r="L250" s="299"/>
      <c r="M250" s="414"/>
      <c r="N250" s="299"/>
      <c r="O250" s="537"/>
      <c r="P250" s="537"/>
      <c r="Q250" s="537"/>
      <c r="R250" s="537"/>
      <c r="S250" s="299"/>
      <c r="T250" s="299"/>
      <c r="U250" s="299"/>
      <c r="V250" s="299"/>
      <c r="W250" s="299"/>
      <c r="X250" s="299"/>
      <c r="Y250" s="299"/>
      <c r="Z250" s="299"/>
      <c r="AA250" s="299"/>
      <c r="AB250" s="299"/>
      <c r="AC250" s="299"/>
      <c r="AD250" s="299"/>
      <c r="AE250" s="299"/>
      <c r="AF250" s="299"/>
    </row>
    <row r="251" spans="1:32" x14ac:dyDescent="0.35">
      <c r="A251" s="339"/>
      <c r="B251" s="299"/>
      <c r="C251" s="299"/>
      <c r="D251" s="299"/>
      <c r="E251" s="344"/>
      <c r="F251" s="299"/>
      <c r="G251" s="299"/>
      <c r="H251" s="299"/>
      <c r="I251" s="299"/>
      <c r="J251" s="299"/>
      <c r="K251" s="299"/>
      <c r="L251" s="299"/>
      <c r="M251" s="414"/>
      <c r="N251" s="299"/>
      <c r="O251" s="537"/>
      <c r="P251" s="537"/>
      <c r="Q251" s="537"/>
      <c r="R251" s="537"/>
      <c r="S251" s="299"/>
      <c r="T251" s="299"/>
      <c r="U251" s="299"/>
      <c r="V251" s="299"/>
      <c r="W251" s="299"/>
      <c r="X251" s="299"/>
      <c r="Y251" s="299"/>
      <c r="Z251" s="299"/>
      <c r="AA251" s="299"/>
      <c r="AB251" s="299"/>
      <c r="AC251" s="299"/>
      <c r="AD251" s="299"/>
      <c r="AE251" s="299"/>
      <c r="AF251" s="299"/>
    </row>
    <row r="252" spans="1:32" x14ac:dyDescent="0.35">
      <c r="A252" s="339"/>
      <c r="B252" s="299"/>
      <c r="C252" s="299"/>
      <c r="D252" s="299"/>
      <c r="E252" s="344"/>
      <c r="F252" s="299"/>
      <c r="G252" s="299"/>
      <c r="H252" s="299"/>
      <c r="I252" s="299"/>
      <c r="J252" s="299"/>
      <c r="K252" s="299"/>
      <c r="L252" s="299"/>
      <c r="M252" s="414"/>
      <c r="N252" s="299"/>
      <c r="O252" s="537"/>
      <c r="P252" s="537"/>
      <c r="Q252" s="537"/>
      <c r="R252" s="537"/>
      <c r="S252" s="299"/>
      <c r="T252" s="299"/>
      <c r="U252" s="299"/>
      <c r="V252" s="299"/>
      <c r="W252" s="299"/>
      <c r="X252" s="299"/>
      <c r="Y252" s="299"/>
      <c r="Z252" s="299"/>
      <c r="AA252" s="299"/>
      <c r="AB252" s="299"/>
      <c r="AC252" s="299"/>
      <c r="AD252" s="299"/>
      <c r="AE252" s="299"/>
      <c r="AF252" s="299"/>
    </row>
    <row r="253" spans="1:32" x14ac:dyDescent="0.35">
      <c r="A253" s="339"/>
      <c r="B253" s="299"/>
      <c r="C253" s="299"/>
      <c r="D253" s="299"/>
      <c r="E253" s="344"/>
      <c r="F253" s="299"/>
      <c r="G253" s="299"/>
      <c r="H253" s="299"/>
      <c r="I253" s="299"/>
      <c r="J253" s="299"/>
      <c r="K253" s="299"/>
      <c r="L253" s="299"/>
      <c r="M253" s="414"/>
      <c r="N253" s="299"/>
      <c r="O253" s="537"/>
      <c r="P253" s="537"/>
      <c r="Q253" s="537"/>
      <c r="R253" s="537"/>
      <c r="S253" s="299"/>
      <c r="T253" s="299"/>
      <c r="U253" s="299"/>
      <c r="V253" s="299"/>
      <c r="W253" s="299"/>
      <c r="X253" s="299"/>
      <c r="Y253" s="299"/>
      <c r="Z253" s="299"/>
      <c r="AA253" s="299"/>
      <c r="AB253" s="299"/>
      <c r="AC253" s="299"/>
      <c r="AD253" s="299"/>
      <c r="AE253" s="299"/>
      <c r="AF253" s="299"/>
    </row>
    <row r="254" spans="1:32" x14ac:dyDescent="0.35">
      <c r="A254" s="339"/>
      <c r="B254" s="299"/>
      <c r="C254" s="299"/>
      <c r="D254" s="299"/>
      <c r="E254" s="344"/>
      <c r="F254" s="299"/>
      <c r="G254" s="299"/>
      <c r="H254" s="299"/>
      <c r="I254" s="299"/>
      <c r="J254" s="299"/>
      <c r="K254" s="299"/>
      <c r="L254" s="299"/>
      <c r="M254" s="414"/>
      <c r="N254" s="299"/>
      <c r="O254" s="537"/>
      <c r="P254" s="537"/>
      <c r="Q254" s="537"/>
      <c r="R254" s="537"/>
      <c r="S254" s="299"/>
      <c r="T254" s="299"/>
      <c r="U254" s="299"/>
      <c r="V254" s="299"/>
      <c r="W254" s="299"/>
      <c r="X254" s="299"/>
      <c r="Y254" s="299"/>
      <c r="Z254" s="299"/>
      <c r="AA254" s="299"/>
      <c r="AB254" s="299"/>
      <c r="AC254" s="299"/>
      <c r="AD254" s="299"/>
      <c r="AE254" s="299"/>
      <c r="AF254" s="299"/>
    </row>
    <row r="255" spans="1:32" x14ac:dyDescent="0.35">
      <c r="A255" s="339"/>
      <c r="B255" s="299"/>
      <c r="C255" s="299"/>
      <c r="D255" s="299"/>
      <c r="E255" s="344"/>
      <c r="F255" s="299"/>
      <c r="G255" s="299"/>
      <c r="H255" s="299"/>
      <c r="I255" s="299"/>
      <c r="J255" s="299"/>
      <c r="K255" s="299"/>
      <c r="L255" s="299"/>
      <c r="M255" s="414"/>
      <c r="N255" s="299"/>
      <c r="O255" s="537"/>
      <c r="P255" s="537"/>
      <c r="Q255" s="537"/>
      <c r="R255" s="537"/>
      <c r="S255" s="299"/>
      <c r="T255" s="299"/>
      <c r="U255" s="299"/>
      <c r="V255" s="299"/>
      <c r="W255" s="299"/>
      <c r="X255" s="299"/>
      <c r="Y255" s="299"/>
      <c r="Z255" s="299"/>
      <c r="AA255" s="299"/>
      <c r="AB255" s="299"/>
      <c r="AC255" s="299"/>
      <c r="AD255" s="299"/>
      <c r="AE255" s="299"/>
      <c r="AF255" s="299"/>
    </row>
    <row r="256" spans="1:32" x14ac:dyDescent="0.35">
      <c r="A256" s="339"/>
      <c r="B256" s="299"/>
      <c r="C256" s="299"/>
      <c r="D256" s="299"/>
      <c r="E256" s="344"/>
      <c r="F256" s="299"/>
      <c r="G256" s="299"/>
      <c r="H256" s="299"/>
      <c r="I256" s="299"/>
      <c r="J256" s="299"/>
      <c r="K256" s="299"/>
      <c r="L256" s="299"/>
      <c r="M256" s="414"/>
      <c r="N256" s="299"/>
      <c r="O256" s="537"/>
      <c r="P256" s="537"/>
      <c r="Q256" s="537"/>
      <c r="R256" s="537"/>
      <c r="S256" s="299"/>
      <c r="T256" s="299"/>
      <c r="U256" s="299"/>
      <c r="V256" s="299"/>
      <c r="W256" s="299"/>
      <c r="X256" s="299"/>
      <c r="Y256" s="299"/>
      <c r="Z256" s="299"/>
      <c r="AA256" s="299"/>
      <c r="AB256" s="299"/>
      <c r="AC256" s="299"/>
      <c r="AD256" s="299"/>
      <c r="AE256" s="299"/>
      <c r="AF256" s="299"/>
    </row>
    <row r="257" spans="1:32" x14ac:dyDescent="0.35">
      <c r="A257" s="339"/>
      <c r="B257" s="299"/>
      <c r="C257" s="299"/>
      <c r="D257" s="299"/>
      <c r="E257" s="344"/>
      <c r="F257" s="299"/>
      <c r="G257" s="299"/>
      <c r="H257" s="299"/>
      <c r="I257" s="299"/>
      <c r="J257" s="299"/>
      <c r="K257" s="299"/>
      <c r="L257" s="299"/>
      <c r="M257" s="414"/>
      <c r="N257" s="299"/>
      <c r="O257" s="537"/>
      <c r="P257" s="537"/>
      <c r="Q257" s="537"/>
      <c r="R257" s="537"/>
      <c r="S257" s="299"/>
      <c r="T257" s="299"/>
      <c r="U257" s="299"/>
      <c r="V257" s="299"/>
      <c r="W257" s="299"/>
      <c r="X257" s="299"/>
      <c r="Y257" s="299"/>
      <c r="Z257" s="299"/>
      <c r="AA257" s="299"/>
      <c r="AB257" s="299"/>
      <c r="AC257" s="299"/>
      <c r="AD257" s="299"/>
      <c r="AE257" s="299"/>
      <c r="AF257" s="299"/>
    </row>
    <row r="258" spans="1:32" x14ac:dyDescent="0.35">
      <c r="A258" s="339"/>
      <c r="B258" s="299"/>
      <c r="C258" s="299"/>
      <c r="D258" s="299"/>
      <c r="E258" s="344"/>
      <c r="F258" s="299"/>
      <c r="G258" s="299"/>
      <c r="H258" s="299"/>
      <c r="I258" s="299"/>
      <c r="J258" s="299"/>
      <c r="K258" s="299"/>
      <c r="L258" s="299"/>
      <c r="M258" s="414"/>
      <c r="N258" s="299"/>
      <c r="O258" s="537"/>
      <c r="P258" s="537"/>
      <c r="Q258" s="537"/>
      <c r="R258" s="537"/>
      <c r="S258" s="299"/>
      <c r="T258" s="299"/>
      <c r="U258" s="299"/>
      <c r="V258" s="299"/>
      <c r="W258" s="299"/>
      <c r="X258" s="299"/>
      <c r="Y258" s="299"/>
      <c r="Z258" s="299"/>
      <c r="AA258" s="299"/>
      <c r="AB258" s="299"/>
      <c r="AC258" s="299"/>
      <c r="AD258" s="299"/>
      <c r="AE258" s="299"/>
      <c r="AF258" s="299"/>
    </row>
    <row r="259" spans="1:32" x14ac:dyDescent="0.35">
      <c r="A259" s="339"/>
      <c r="B259" s="299"/>
      <c r="C259" s="299"/>
      <c r="D259" s="299"/>
      <c r="E259" s="344"/>
      <c r="F259" s="299"/>
      <c r="G259" s="299"/>
      <c r="H259" s="299"/>
      <c r="I259" s="299"/>
      <c r="J259" s="299"/>
      <c r="K259" s="299"/>
      <c r="L259" s="299"/>
      <c r="M259" s="414"/>
      <c r="N259" s="299"/>
      <c r="O259" s="537"/>
      <c r="P259" s="537"/>
      <c r="Q259" s="537"/>
      <c r="R259" s="537"/>
      <c r="S259" s="299"/>
      <c r="T259" s="299"/>
      <c r="U259" s="299"/>
      <c r="V259" s="299"/>
      <c r="W259" s="299"/>
      <c r="X259" s="299"/>
      <c r="Y259" s="299"/>
      <c r="Z259" s="299"/>
      <c r="AA259" s="299"/>
      <c r="AB259" s="299"/>
      <c r="AC259" s="299"/>
      <c r="AD259" s="299"/>
      <c r="AE259" s="299"/>
      <c r="AF259" s="299"/>
    </row>
    <row r="260" spans="1:32" x14ac:dyDescent="0.35">
      <c r="A260" s="339"/>
      <c r="B260" s="299"/>
      <c r="C260" s="299"/>
      <c r="D260" s="299"/>
      <c r="E260" s="344"/>
      <c r="F260" s="299"/>
      <c r="G260" s="299"/>
      <c r="H260" s="299"/>
      <c r="I260" s="299"/>
      <c r="J260" s="299"/>
      <c r="K260" s="299"/>
      <c r="L260" s="299"/>
      <c r="M260" s="414"/>
      <c r="N260" s="299"/>
      <c r="O260" s="537"/>
      <c r="P260" s="537"/>
      <c r="Q260" s="537"/>
      <c r="R260" s="537"/>
      <c r="S260" s="299"/>
      <c r="T260" s="299"/>
      <c r="U260" s="299"/>
      <c r="V260" s="299"/>
      <c r="W260" s="299"/>
      <c r="X260" s="299"/>
      <c r="Y260" s="299"/>
      <c r="Z260" s="299"/>
      <c r="AA260" s="299"/>
      <c r="AB260" s="299"/>
      <c r="AC260" s="299"/>
      <c r="AD260" s="299"/>
      <c r="AE260" s="299"/>
      <c r="AF260" s="299"/>
    </row>
    <row r="261" spans="1:32" x14ac:dyDescent="0.35">
      <c r="A261" s="76"/>
      <c r="B261" s="82"/>
      <c r="C261" s="82"/>
      <c r="D261" s="76"/>
      <c r="E261" s="298"/>
      <c r="F261" s="76"/>
      <c r="G261" s="76"/>
      <c r="H261" s="76"/>
      <c r="I261" s="56"/>
      <c r="J261" s="56"/>
      <c r="K261" s="76"/>
      <c r="L261" s="76"/>
      <c r="M261" s="415"/>
      <c r="N261" s="298"/>
      <c r="S261" s="76"/>
      <c r="T261" s="236"/>
      <c r="U261" s="235"/>
      <c r="V261" s="236"/>
      <c r="W261" s="76"/>
      <c r="X261" s="76"/>
      <c r="Y261" s="76"/>
      <c r="Z261" s="76"/>
      <c r="AA261" s="76"/>
      <c r="AB261" s="76"/>
      <c r="AC261" s="76"/>
      <c r="AD261" s="76"/>
      <c r="AE261" s="76"/>
      <c r="AF261" s="76"/>
    </row>
    <row r="262" spans="1:32" x14ac:dyDescent="0.35">
      <c r="A262" s="76"/>
      <c r="B262" s="82"/>
      <c r="C262" s="82"/>
      <c r="D262" s="76"/>
      <c r="E262" s="298"/>
      <c r="F262" s="76"/>
      <c r="G262" s="76"/>
      <c r="H262" s="76"/>
      <c r="I262" s="56"/>
      <c r="J262" s="56"/>
      <c r="K262" s="76"/>
      <c r="L262" s="76"/>
      <c r="M262" s="415"/>
      <c r="N262" s="298"/>
      <c r="S262" s="76"/>
      <c r="T262" s="236"/>
      <c r="U262" s="235"/>
      <c r="V262" s="236"/>
      <c r="W262" s="76"/>
      <c r="X262" s="76"/>
      <c r="Y262" s="76"/>
      <c r="Z262" s="76"/>
      <c r="AA262" s="76"/>
      <c r="AB262" s="76"/>
      <c r="AC262" s="76"/>
      <c r="AD262" s="76"/>
      <c r="AE262" s="76"/>
      <c r="AF262" s="76"/>
    </row>
    <row r="263" spans="1:32" x14ac:dyDescent="0.35">
      <c r="A263" s="76"/>
      <c r="B263" s="82"/>
      <c r="C263" s="82"/>
      <c r="D263" s="76"/>
      <c r="E263" s="298"/>
      <c r="F263" s="76"/>
      <c r="G263" s="76"/>
      <c r="H263" s="76"/>
      <c r="I263" s="56"/>
      <c r="J263" s="56"/>
      <c r="K263" s="76"/>
      <c r="L263" s="76"/>
      <c r="M263" s="415"/>
      <c r="N263" s="298"/>
      <c r="S263" s="76"/>
      <c r="T263" s="236"/>
      <c r="U263" s="235"/>
      <c r="V263" s="236"/>
      <c r="W263" s="76"/>
      <c r="X263" s="76"/>
      <c r="Y263" s="76"/>
      <c r="Z263" s="76"/>
      <c r="AA263" s="76"/>
      <c r="AB263" s="76"/>
      <c r="AC263" s="76"/>
      <c r="AD263" s="76"/>
      <c r="AE263" s="76"/>
      <c r="AF263" s="76"/>
    </row>
    <row r="264" spans="1:32" x14ac:dyDescent="0.35">
      <c r="A264" s="76"/>
      <c r="B264" s="82"/>
      <c r="C264" s="82"/>
      <c r="D264" s="76"/>
      <c r="E264" s="298"/>
      <c r="F264" s="76"/>
      <c r="G264" s="76"/>
      <c r="H264" s="76"/>
      <c r="I264" s="56"/>
      <c r="J264" s="56"/>
      <c r="K264" s="76"/>
      <c r="L264" s="76"/>
      <c r="M264" s="415"/>
      <c r="N264" s="298"/>
      <c r="S264" s="76"/>
      <c r="T264" s="236"/>
      <c r="U264" s="235"/>
      <c r="V264" s="236"/>
      <c r="W264" s="76"/>
      <c r="X264" s="76"/>
      <c r="Y264" s="76"/>
      <c r="Z264" s="76"/>
      <c r="AA264" s="76"/>
      <c r="AB264" s="76"/>
      <c r="AC264" s="76"/>
      <c r="AD264" s="76"/>
      <c r="AE264" s="76"/>
      <c r="AF264" s="76"/>
    </row>
    <row r="265" spans="1:32" x14ac:dyDescent="0.35">
      <c r="A265" s="76"/>
      <c r="B265" s="82"/>
      <c r="C265" s="82"/>
      <c r="D265" s="76"/>
      <c r="E265" s="298"/>
      <c r="F265" s="76"/>
      <c r="G265" s="76"/>
      <c r="H265" s="76"/>
      <c r="I265" s="56"/>
      <c r="J265" s="56"/>
      <c r="K265" s="76"/>
      <c r="L265" s="76"/>
      <c r="M265" s="415"/>
      <c r="N265" s="298"/>
      <c r="S265" s="76"/>
      <c r="T265" s="236"/>
      <c r="U265" s="235"/>
      <c r="V265" s="236"/>
      <c r="W265" s="76"/>
      <c r="X265" s="76"/>
      <c r="Y265" s="76"/>
      <c r="Z265" s="76"/>
      <c r="AA265" s="76"/>
      <c r="AB265" s="76"/>
      <c r="AC265" s="76"/>
      <c r="AD265" s="76"/>
      <c r="AE265" s="76"/>
      <c r="AF265" s="76"/>
    </row>
    <row r="266" spans="1:32" x14ac:dyDescent="0.35">
      <c r="A266" s="76"/>
      <c r="B266" s="82"/>
      <c r="C266" s="82"/>
      <c r="D266" s="76"/>
      <c r="E266" s="298"/>
      <c r="F266" s="76"/>
      <c r="G266" s="76"/>
      <c r="H266" s="76"/>
      <c r="I266" s="56"/>
      <c r="J266" s="56"/>
      <c r="K266" s="76"/>
      <c r="L266" s="76"/>
      <c r="M266" s="415"/>
      <c r="N266" s="298"/>
      <c r="S266" s="76"/>
      <c r="T266" s="236"/>
      <c r="U266" s="235"/>
      <c r="V266" s="236"/>
      <c r="W266" s="76"/>
      <c r="X266" s="76"/>
      <c r="Y266" s="76"/>
      <c r="Z266" s="76"/>
      <c r="AA266" s="76"/>
      <c r="AB266" s="76"/>
      <c r="AC266" s="76"/>
      <c r="AD266" s="76"/>
      <c r="AE266" s="76"/>
      <c r="AF266" s="76"/>
    </row>
    <row r="267" spans="1:32" x14ac:dyDescent="0.35">
      <c r="A267" s="76"/>
      <c r="B267" s="82"/>
      <c r="C267" s="82"/>
      <c r="D267" s="76"/>
      <c r="E267" s="298"/>
      <c r="F267" s="76"/>
      <c r="G267" s="76"/>
      <c r="H267" s="76"/>
      <c r="I267" s="56"/>
      <c r="J267" s="56"/>
      <c r="K267" s="76"/>
      <c r="L267" s="76"/>
      <c r="M267" s="415"/>
      <c r="N267" s="298"/>
      <c r="S267" s="76"/>
      <c r="T267" s="236"/>
      <c r="U267" s="235"/>
      <c r="V267" s="236"/>
      <c r="W267" s="76"/>
      <c r="X267" s="76"/>
      <c r="Y267" s="76"/>
      <c r="Z267" s="76"/>
      <c r="AA267" s="76"/>
      <c r="AB267" s="76"/>
      <c r="AC267" s="76"/>
      <c r="AD267" s="76"/>
      <c r="AE267" s="76"/>
      <c r="AF267" s="76"/>
    </row>
    <row r="268" spans="1:32" x14ac:dyDescent="0.35">
      <c r="A268" s="76"/>
      <c r="B268" s="82"/>
      <c r="C268" s="82"/>
      <c r="D268" s="76"/>
      <c r="E268" s="298"/>
      <c r="F268" s="76"/>
      <c r="G268" s="76"/>
      <c r="H268" s="76"/>
      <c r="I268" s="56"/>
      <c r="J268" s="56"/>
      <c r="K268" s="76"/>
      <c r="L268" s="76"/>
      <c r="M268" s="415"/>
      <c r="N268" s="298"/>
      <c r="S268" s="76"/>
      <c r="T268" s="236"/>
      <c r="U268" s="235"/>
      <c r="V268" s="236"/>
      <c r="W268" s="76"/>
      <c r="X268" s="76"/>
      <c r="Y268" s="76"/>
      <c r="Z268" s="76"/>
      <c r="AA268" s="76"/>
      <c r="AB268" s="76"/>
      <c r="AC268" s="76"/>
      <c r="AD268" s="76"/>
      <c r="AE268" s="76"/>
      <c r="AF268" s="76"/>
    </row>
    <row r="269" spans="1:32" x14ac:dyDescent="0.35">
      <c r="A269" s="76"/>
      <c r="B269" s="82"/>
      <c r="C269" s="82"/>
      <c r="D269" s="76"/>
      <c r="E269" s="298"/>
      <c r="F269" s="76"/>
      <c r="G269" s="76"/>
      <c r="H269" s="76"/>
      <c r="I269" s="56"/>
      <c r="J269" s="56"/>
      <c r="K269" s="76"/>
      <c r="L269" s="76"/>
      <c r="M269" s="415"/>
      <c r="N269" s="298"/>
      <c r="S269" s="76"/>
      <c r="T269" s="236"/>
      <c r="U269" s="235"/>
      <c r="V269" s="236"/>
      <c r="W269" s="76"/>
      <c r="X269" s="76"/>
      <c r="Y269" s="76"/>
      <c r="Z269" s="76"/>
      <c r="AA269" s="76"/>
      <c r="AB269" s="76"/>
      <c r="AC269" s="76"/>
      <c r="AD269" s="76"/>
      <c r="AE269" s="76"/>
      <c r="AF269" s="76"/>
    </row>
    <row r="270" spans="1:32" x14ac:dyDescent="0.35">
      <c r="A270" s="76"/>
      <c r="B270" s="82"/>
      <c r="C270" s="82"/>
      <c r="D270" s="76"/>
      <c r="E270" s="298"/>
      <c r="F270" s="76"/>
      <c r="G270" s="76"/>
      <c r="H270" s="76"/>
      <c r="I270" s="56"/>
      <c r="J270" s="56"/>
      <c r="K270" s="76"/>
      <c r="L270" s="76"/>
      <c r="M270" s="415"/>
      <c r="N270" s="298"/>
      <c r="S270" s="76"/>
      <c r="T270" s="236"/>
      <c r="U270" s="235"/>
      <c r="V270" s="236"/>
      <c r="W270" s="76"/>
      <c r="X270" s="76"/>
      <c r="Y270" s="76"/>
      <c r="Z270" s="76"/>
      <c r="AA270" s="76"/>
      <c r="AB270" s="76"/>
      <c r="AC270" s="76"/>
      <c r="AD270" s="76"/>
      <c r="AE270" s="76"/>
      <c r="AF270" s="76"/>
    </row>
    <row r="271" spans="1:32" x14ac:dyDescent="0.35">
      <c r="A271" s="76"/>
      <c r="B271" s="82"/>
      <c r="C271" s="82"/>
      <c r="D271" s="76"/>
      <c r="E271" s="298"/>
      <c r="F271" s="76"/>
      <c r="G271" s="76"/>
      <c r="H271" s="76"/>
      <c r="I271" s="56"/>
      <c r="J271" s="56"/>
      <c r="K271" s="76"/>
      <c r="L271" s="76"/>
      <c r="M271" s="415"/>
      <c r="N271" s="298"/>
      <c r="S271" s="76"/>
      <c r="T271" s="236"/>
      <c r="U271" s="235"/>
      <c r="V271" s="236"/>
      <c r="W271" s="76"/>
      <c r="X271" s="76"/>
      <c r="Y271" s="76"/>
      <c r="Z271" s="76"/>
      <c r="AA271" s="76"/>
      <c r="AB271" s="76"/>
      <c r="AC271" s="76"/>
      <c r="AD271" s="76"/>
      <c r="AE271" s="76"/>
      <c r="AF271" s="76"/>
    </row>
    <row r="272" spans="1:32" x14ac:dyDescent="0.35">
      <c r="A272" s="76"/>
      <c r="B272" s="82"/>
      <c r="C272" s="82"/>
      <c r="D272" s="76"/>
      <c r="E272" s="298"/>
      <c r="F272" s="76"/>
      <c r="G272" s="76"/>
      <c r="H272" s="76"/>
      <c r="I272" s="56"/>
      <c r="J272" s="56"/>
      <c r="K272" s="76"/>
      <c r="L272" s="76"/>
      <c r="M272" s="415"/>
      <c r="N272" s="298"/>
      <c r="S272" s="76"/>
      <c r="T272" s="236"/>
      <c r="U272" s="235"/>
      <c r="V272" s="236"/>
      <c r="W272" s="76"/>
      <c r="X272" s="76"/>
      <c r="Y272" s="76"/>
      <c r="Z272" s="76"/>
      <c r="AA272" s="76"/>
      <c r="AB272" s="76"/>
      <c r="AC272" s="76"/>
      <c r="AD272" s="76"/>
      <c r="AE272" s="76"/>
      <c r="AF272" s="76"/>
    </row>
    <row r="273" spans="1:32" x14ac:dyDescent="0.35">
      <c r="A273" s="76"/>
      <c r="B273" s="82"/>
      <c r="C273" s="82"/>
      <c r="D273" s="76"/>
      <c r="E273" s="298"/>
      <c r="F273" s="76"/>
      <c r="G273" s="76"/>
      <c r="H273" s="76"/>
      <c r="I273" s="56"/>
      <c r="J273" s="56"/>
      <c r="K273" s="76"/>
      <c r="L273" s="76"/>
      <c r="M273" s="415"/>
      <c r="N273" s="298"/>
      <c r="S273" s="76"/>
      <c r="T273" s="236"/>
      <c r="U273" s="235"/>
      <c r="V273" s="236"/>
      <c r="W273" s="76"/>
      <c r="X273" s="76"/>
      <c r="Y273" s="76"/>
      <c r="Z273" s="76"/>
      <c r="AA273" s="76"/>
      <c r="AB273" s="76"/>
      <c r="AC273" s="76"/>
      <c r="AD273" s="76"/>
      <c r="AE273" s="76"/>
      <c r="AF273" s="76"/>
    </row>
    <row r="274" spans="1:32" x14ac:dyDescent="0.35">
      <c r="A274" s="76"/>
      <c r="B274" s="82"/>
      <c r="C274" s="82"/>
      <c r="D274" s="76"/>
      <c r="E274" s="298"/>
      <c r="F274" s="76"/>
      <c r="G274" s="76"/>
      <c r="H274" s="76"/>
      <c r="I274" s="56"/>
      <c r="J274" s="56"/>
      <c r="K274" s="76"/>
      <c r="L274" s="76"/>
      <c r="M274" s="415"/>
      <c r="N274" s="298"/>
      <c r="S274" s="76"/>
      <c r="T274" s="236"/>
      <c r="U274" s="235"/>
      <c r="V274" s="236"/>
      <c r="W274" s="76"/>
      <c r="X274" s="76"/>
      <c r="Y274" s="76"/>
      <c r="Z274" s="76"/>
      <c r="AA274" s="76"/>
      <c r="AB274" s="76"/>
      <c r="AC274" s="76"/>
      <c r="AD274" s="76"/>
      <c r="AE274" s="76"/>
      <c r="AF274" s="76"/>
    </row>
    <row r="275" spans="1:32" x14ac:dyDescent="0.35">
      <c r="A275" s="76"/>
      <c r="B275" s="82"/>
      <c r="C275" s="82"/>
      <c r="D275" s="76"/>
      <c r="E275" s="298"/>
      <c r="F275" s="76"/>
      <c r="G275" s="76"/>
      <c r="H275" s="76"/>
      <c r="I275" s="56"/>
      <c r="J275" s="56"/>
      <c r="K275" s="76"/>
      <c r="L275" s="76"/>
      <c r="M275" s="415"/>
      <c r="N275" s="298"/>
      <c r="S275" s="76"/>
      <c r="T275" s="236"/>
      <c r="U275" s="235"/>
      <c r="V275" s="236"/>
      <c r="W275" s="76"/>
      <c r="X275" s="76"/>
      <c r="Y275" s="76"/>
      <c r="Z275" s="76"/>
      <c r="AA275" s="76"/>
      <c r="AB275" s="76"/>
      <c r="AC275" s="76"/>
      <c r="AD275" s="76"/>
      <c r="AE275" s="76"/>
      <c r="AF275" s="76"/>
    </row>
    <row r="276" spans="1:32" x14ac:dyDescent="0.35">
      <c r="A276" s="76"/>
      <c r="B276" s="82"/>
      <c r="C276" s="82"/>
      <c r="D276" s="76"/>
      <c r="E276" s="298"/>
      <c r="F276" s="76"/>
      <c r="G276" s="76"/>
      <c r="H276" s="76"/>
      <c r="I276" s="56"/>
      <c r="J276" s="56"/>
      <c r="K276" s="76"/>
      <c r="L276" s="76"/>
      <c r="M276" s="415"/>
      <c r="N276" s="298"/>
      <c r="S276" s="76"/>
      <c r="T276" s="236"/>
      <c r="U276" s="235"/>
      <c r="V276" s="236"/>
      <c r="W276" s="76"/>
      <c r="X276" s="76"/>
      <c r="Y276" s="76"/>
      <c r="Z276" s="76"/>
      <c r="AA276" s="76"/>
      <c r="AB276" s="76"/>
      <c r="AC276" s="76"/>
      <c r="AD276" s="76"/>
      <c r="AE276" s="76"/>
      <c r="AF276" s="76"/>
    </row>
    <row r="277" spans="1:32" x14ac:dyDescent="0.35">
      <c r="A277" s="76"/>
      <c r="B277" s="82"/>
      <c r="C277" s="82"/>
      <c r="D277" s="76"/>
      <c r="E277" s="298"/>
      <c r="F277" s="76"/>
      <c r="G277" s="76"/>
      <c r="H277" s="76"/>
      <c r="I277" s="56"/>
      <c r="J277" s="56"/>
      <c r="K277" s="76"/>
      <c r="L277" s="76"/>
      <c r="M277" s="415"/>
      <c r="N277" s="298"/>
      <c r="S277" s="76"/>
      <c r="T277" s="236"/>
      <c r="U277" s="235"/>
      <c r="V277" s="236"/>
      <c r="W277" s="76"/>
      <c r="X277" s="76"/>
      <c r="Y277" s="76"/>
      <c r="Z277" s="76"/>
      <c r="AA277" s="76"/>
      <c r="AB277" s="76"/>
      <c r="AC277" s="76"/>
      <c r="AD277" s="76"/>
      <c r="AE277" s="76"/>
      <c r="AF277" s="76"/>
    </row>
    <row r="278" spans="1:32" x14ac:dyDescent="0.35">
      <c r="A278" s="76"/>
      <c r="B278" s="82"/>
      <c r="C278" s="82"/>
      <c r="D278" s="76"/>
      <c r="E278" s="298"/>
      <c r="F278" s="76"/>
      <c r="G278" s="76"/>
      <c r="H278" s="76"/>
      <c r="I278" s="56"/>
      <c r="J278" s="56"/>
      <c r="K278" s="76"/>
      <c r="L278" s="76"/>
      <c r="M278" s="415"/>
      <c r="N278" s="298"/>
      <c r="S278" s="76"/>
      <c r="T278" s="236"/>
      <c r="U278" s="235"/>
      <c r="V278" s="236"/>
      <c r="W278" s="76"/>
      <c r="X278" s="76"/>
      <c r="Y278" s="76"/>
      <c r="Z278" s="76"/>
      <c r="AA278" s="76"/>
      <c r="AB278" s="76"/>
      <c r="AC278" s="76"/>
      <c r="AD278" s="76"/>
      <c r="AE278" s="76"/>
      <c r="AF278" s="76"/>
    </row>
    <row r="279" spans="1:32" x14ac:dyDescent="0.35">
      <c r="A279" s="76"/>
      <c r="B279" s="82"/>
      <c r="C279" s="82"/>
      <c r="D279" s="76"/>
      <c r="E279" s="298"/>
      <c r="F279" s="76"/>
      <c r="G279" s="76"/>
      <c r="H279" s="76"/>
      <c r="I279" s="56"/>
      <c r="J279" s="56"/>
      <c r="K279" s="76"/>
      <c r="L279" s="76"/>
      <c r="M279" s="415"/>
      <c r="N279" s="298"/>
      <c r="S279" s="76"/>
      <c r="T279" s="236"/>
      <c r="U279" s="235"/>
      <c r="V279" s="236"/>
      <c r="W279" s="76"/>
      <c r="X279" s="76"/>
      <c r="Y279" s="76"/>
      <c r="Z279" s="76"/>
      <c r="AA279" s="76"/>
      <c r="AB279" s="76"/>
      <c r="AC279" s="76"/>
      <c r="AD279" s="76"/>
      <c r="AE279" s="76"/>
      <c r="AF279" s="76"/>
    </row>
    <row r="280" spans="1:32" x14ac:dyDescent="0.35">
      <c r="A280" s="76"/>
      <c r="B280" s="82"/>
      <c r="C280" s="82"/>
      <c r="D280" s="76"/>
      <c r="E280" s="298"/>
      <c r="F280" s="76"/>
      <c r="G280" s="76"/>
      <c r="H280" s="76"/>
      <c r="I280" s="56"/>
      <c r="J280" s="56"/>
      <c r="K280" s="76"/>
      <c r="L280" s="76"/>
      <c r="M280" s="415"/>
      <c r="N280" s="298"/>
      <c r="S280" s="76"/>
      <c r="T280" s="236"/>
      <c r="U280" s="235"/>
      <c r="V280" s="236"/>
      <c r="W280" s="76"/>
      <c r="X280" s="76"/>
      <c r="Y280" s="76"/>
      <c r="Z280" s="76"/>
      <c r="AA280" s="76"/>
      <c r="AB280" s="76"/>
      <c r="AC280" s="76"/>
      <c r="AD280" s="76"/>
      <c r="AE280" s="76"/>
      <c r="AF280" s="76"/>
    </row>
    <row r="281" spans="1:32" x14ac:dyDescent="0.35">
      <c r="A281" s="76"/>
      <c r="B281" s="82"/>
      <c r="C281" s="82"/>
      <c r="D281" s="76"/>
      <c r="E281" s="298"/>
      <c r="F281" s="76"/>
      <c r="G281" s="76"/>
      <c r="H281" s="76"/>
      <c r="I281" s="56"/>
      <c r="J281" s="56"/>
      <c r="K281" s="76"/>
      <c r="L281" s="76"/>
      <c r="M281" s="415"/>
      <c r="N281" s="298"/>
      <c r="S281" s="76"/>
      <c r="T281" s="236"/>
      <c r="U281" s="235"/>
      <c r="V281" s="236"/>
      <c r="W281" s="76"/>
      <c r="X281" s="76"/>
      <c r="Y281" s="76"/>
      <c r="Z281" s="76"/>
      <c r="AA281" s="76"/>
      <c r="AB281" s="76"/>
      <c r="AC281" s="76"/>
      <c r="AD281" s="76"/>
      <c r="AE281" s="76"/>
      <c r="AF281" s="76"/>
    </row>
    <row r="282" spans="1:32" x14ac:dyDescent="0.35">
      <c r="A282" s="76"/>
      <c r="B282" s="82"/>
      <c r="C282" s="82"/>
      <c r="D282" s="76"/>
      <c r="E282" s="298"/>
      <c r="F282" s="76"/>
      <c r="G282" s="76"/>
      <c r="H282" s="76"/>
      <c r="I282" s="56"/>
      <c r="J282" s="56"/>
      <c r="K282" s="76"/>
      <c r="L282" s="76"/>
      <c r="M282" s="415"/>
      <c r="N282" s="298"/>
      <c r="S282" s="76"/>
      <c r="T282" s="236"/>
      <c r="U282" s="243"/>
      <c r="V282" s="236"/>
      <c r="W282" s="76"/>
      <c r="X282" s="76"/>
      <c r="Y282" s="76"/>
      <c r="Z282" s="76"/>
      <c r="AA282" s="76"/>
      <c r="AB282" s="76"/>
      <c r="AC282" s="76"/>
      <c r="AD282" s="76"/>
      <c r="AE282" s="76"/>
      <c r="AF282" s="76"/>
    </row>
    <row r="283" spans="1:32" x14ac:dyDescent="0.35">
      <c r="A283" s="76"/>
      <c r="B283" s="82"/>
      <c r="C283" s="82"/>
      <c r="D283" s="76"/>
      <c r="E283" s="298"/>
      <c r="F283" s="76"/>
      <c r="G283" s="76"/>
      <c r="H283" s="76"/>
      <c r="I283" s="56"/>
      <c r="J283" s="56"/>
      <c r="K283" s="76"/>
      <c r="L283" s="76"/>
      <c r="M283" s="415"/>
      <c r="N283" s="298"/>
      <c r="S283" s="76"/>
      <c r="T283" s="236"/>
      <c r="U283" s="243"/>
      <c r="V283" s="236"/>
      <c r="W283" s="76"/>
      <c r="X283" s="76"/>
      <c r="Y283" s="76"/>
      <c r="Z283" s="76"/>
      <c r="AA283" s="76"/>
      <c r="AB283" s="76"/>
      <c r="AC283" s="76"/>
      <c r="AD283" s="76"/>
      <c r="AE283" s="76"/>
      <c r="AF283" s="76"/>
    </row>
    <row r="284" spans="1:32" x14ac:dyDescent="0.35">
      <c r="A284" s="76"/>
      <c r="B284" s="82"/>
      <c r="C284" s="82"/>
      <c r="D284" s="76"/>
      <c r="E284" s="298"/>
      <c r="F284" s="76"/>
      <c r="G284" s="76"/>
      <c r="H284" s="76"/>
      <c r="I284" s="56"/>
      <c r="J284" s="56"/>
      <c r="K284" s="76"/>
      <c r="L284" s="76"/>
      <c r="M284" s="415"/>
      <c r="N284" s="298"/>
      <c r="S284" s="76"/>
      <c r="T284" s="236"/>
      <c r="U284" s="243"/>
      <c r="V284" s="236"/>
      <c r="W284" s="76"/>
      <c r="X284" s="76"/>
      <c r="Y284" s="76"/>
      <c r="Z284" s="76"/>
      <c r="AA284" s="76"/>
      <c r="AB284" s="76"/>
      <c r="AC284" s="76"/>
      <c r="AD284" s="76"/>
      <c r="AE284" s="76"/>
      <c r="AF284" s="76"/>
    </row>
    <row r="285" spans="1:32" x14ac:dyDescent="0.35">
      <c r="A285" s="76"/>
      <c r="B285" s="82"/>
      <c r="C285" s="82"/>
      <c r="D285" s="76"/>
      <c r="E285" s="298"/>
      <c r="F285" s="76"/>
      <c r="G285" s="76"/>
      <c r="H285" s="76"/>
      <c r="I285" s="56"/>
      <c r="J285" s="56"/>
      <c r="K285" s="76"/>
      <c r="L285" s="76"/>
      <c r="M285" s="415"/>
      <c r="N285" s="298"/>
      <c r="S285" s="76"/>
      <c r="T285" s="236"/>
      <c r="U285" s="243"/>
      <c r="V285" s="236"/>
      <c r="W285" s="76"/>
      <c r="X285" s="76"/>
      <c r="Y285" s="76"/>
      <c r="Z285" s="76"/>
      <c r="AA285" s="76"/>
      <c r="AB285" s="76"/>
      <c r="AC285" s="76"/>
      <c r="AD285" s="76"/>
      <c r="AE285" s="76"/>
      <c r="AF285" s="76"/>
    </row>
    <row r="286" spans="1:32" x14ac:dyDescent="0.35">
      <c r="A286" s="76"/>
      <c r="B286" s="82"/>
      <c r="C286" s="82"/>
      <c r="D286" s="76"/>
      <c r="E286" s="298"/>
      <c r="F286" s="76"/>
      <c r="G286" s="76"/>
      <c r="H286" s="76"/>
      <c r="I286" s="56"/>
      <c r="J286" s="56"/>
      <c r="K286" s="76"/>
      <c r="L286" s="76"/>
      <c r="M286" s="415"/>
      <c r="N286" s="298"/>
      <c r="S286" s="76"/>
      <c r="T286" s="236"/>
      <c r="U286" s="243"/>
      <c r="V286" s="236"/>
      <c r="W286" s="76"/>
      <c r="X286" s="76"/>
      <c r="Y286" s="76"/>
      <c r="Z286" s="76"/>
      <c r="AA286" s="76"/>
      <c r="AB286" s="76"/>
      <c r="AC286" s="76"/>
      <c r="AD286" s="76"/>
      <c r="AE286" s="76"/>
      <c r="AF286" s="76"/>
    </row>
    <row r="287" spans="1:32" x14ac:dyDescent="0.35">
      <c r="A287" s="76"/>
      <c r="B287" s="82"/>
      <c r="C287" s="82"/>
      <c r="D287" s="76"/>
      <c r="E287" s="298"/>
      <c r="F287" s="76"/>
      <c r="G287" s="76"/>
      <c r="H287" s="76"/>
      <c r="I287" s="56"/>
      <c r="J287" s="56"/>
      <c r="K287" s="76"/>
      <c r="L287" s="76"/>
      <c r="M287" s="415"/>
      <c r="N287" s="298"/>
      <c r="S287" s="76"/>
      <c r="T287" s="236"/>
      <c r="U287" s="243"/>
      <c r="V287" s="236"/>
      <c r="W287" s="76"/>
      <c r="X287" s="76"/>
      <c r="Y287" s="76"/>
      <c r="Z287" s="76"/>
      <c r="AA287" s="76"/>
      <c r="AB287" s="76"/>
      <c r="AC287" s="76"/>
      <c r="AD287" s="76"/>
      <c r="AE287" s="76"/>
      <c r="AF287" s="76"/>
    </row>
    <row r="288" spans="1:32" x14ac:dyDescent="0.35">
      <c r="A288" s="76"/>
      <c r="B288" s="82"/>
      <c r="C288" s="82"/>
      <c r="D288" s="76"/>
      <c r="E288" s="298"/>
      <c r="F288" s="76"/>
      <c r="G288" s="76"/>
      <c r="H288" s="76"/>
      <c r="I288" s="56"/>
      <c r="J288" s="56"/>
      <c r="K288" s="76"/>
      <c r="L288" s="76"/>
      <c r="M288" s="415"/>
      <c r="N288" s="298"/>
      <c r="S288" s="76"/>
      <c r="T288" s="236"/>
      <c r="U288" s="243"/>
      <c r="V288" s="236"/>
      <c r="W288" s="76"/>
      <c r="X288" s="76"/>
      <c r="Y288" s="76"/>
      <c r="Z288" s="76"/>
      <c r="AA288" s="76"/>
      <c r="AB288" s="76"/>
      <c r="AC288" s="76"/>
      <c r="AD288" s="76"/>
      <c r="AE288" s="76"/>
      <c r="AF288" s="76"/>
    </row>
    <row r="289" spans="1:32" x14ac:dyDescent="0.35">
      <c r="A289" s="76"/>
      <c r="B289" s="82"/>
      <c r="C289" s="82"/>
      <c r="D289" s="76"/>
      <c r="E289" s="298"/>
      <c r="F289" s="76"/>
      <c r="G289" s="76"/>
      <c r="H289" s="76"/>
      <c r="I289" s="56"/>
      <c r="J289" s="56"/>
      <c r="K289" s="76"/>
      <c r="L289" s="76"/>
      <c r="M289" s="415"/>
      <c r="N289" s="298"/>
      <c r="S289" s="76"/>
      <c r="T289" s="236"/>
      <c r="U289" s="243"/>
      <c r="V289" s="236"/>
      <c r="W289" s="76"/>
      <c r="X289" s="76"/>
      <c r="Y289" s="76"/>
      <c r="Z289" s="76"/>
      <c r="AA289" s="76"/>
      <c r="AB289" s="76"/>
      <c r="AC289" s="76"/>
      <c r="AD289" s="76"/>
      <c r="AE289" s="76"/>
      <c r="AF289" s="76"/>
    </row>
    <row r="290" spans="1:32" x14ac:dyDescent="0.35">
      <c r="A290" s="76"/>
      <c r="B290" s="82"/>
      <c r="C290" s="82"/>
      <c r="D290" s="76"/>
      <c r="E290" s="298"/>
      <c r="F290" s="76"/>
      <c r="G290" s="76"/>
      <c r="H290" s="76"/>
      <c r="I290" s="56"/>
      <c r="J290" s="56"/>
      <c r="K290" s="76"/>
      <c r="L290" s="76"/>
      <c r="M290" s="415"/>
      <c r="N290" s="298"/>
      <c r="S290" s="76"/>
      <c r="T290" s="236"/>
      <c r="U290" s="243"/>
      <c r="V290" s="236"/>
      <c r="W290" s="76"/>
      <c r="X290" s="76"/>
      <c r="Y290" s="76"/>
      <c r="Z290" s="76"/>
      <c r="AA290" s="76"/>
      <c r="AB290" s="76"/>
      <c r="AC290" s="76"/>
      <c r="AD290" s="76"/>
      <c r="AE290" s="76"/>
      <c r="AF290" s="76"/>
    </row>
    <row r="291" spans="1:32" x14ac:dyDescent="0.35">
      <c r="A291" s="76"/>
      <c r="B291" s="82"/>
      <c r="C291" s="82"/>
      <c r="D291" s="76"/>
      <c r="E291" s="298"/>
      <c r="F291" s="76"/>
      <c r="G291" s="76"/>
      <c r="H291" s="76"/>
      <c r="I291" s="56"/>
      <c r="J291" s="56"/>
      <c r="K291" s="76"/>
      <c r="L291" s="76"/>
      <c r="M291" s="415"/>
      <c r="N291" s="298"/>
      <c r="S291" s="76"/>
      <c r="T291" s="236"/>
      <c r="U291" s="243"/>
      <c r="V291" s="236"/>
      <c r="W291" s="76"/>
      <c r="X291" s="76"/>
      <c r="Y291" s="76"/>
      <c r="Z291" s="76"/>
      <c r="AA291" s="76"/>
      <c r="AB291" s="76"/>
      <c r="AC291" s="76"/>
      <c r="AD291" s="76"/>
      <c r="AE291" s="76"/>
      <c r="AF291" s="76"/>
    </row>
    <row r="292" spans="1:32" x14ac:dyDescent="0.35">
      <c r="A292" s="76"/>
      <c r="B292" s="82"/>
      <c r="C292" s="82"/>
      <c r="D292" s="76"/>
      <c r="E292" s="298"/>
      <c r="F292" s="76"/>
      <c r="G292" s="76"/>
      <c r="H292" s="76"/>
      <c r="I292" s="56"/>
      <c r="J292" s="56"/>
      <c r="K292" s="76"/>
      <c r="L292" s="76"/>
      <c r="M292" s="415"/>
      <c r="N292" s="298"/>
      <c r="S292" s="76"/>
      <c r="T292" s="236"/>
      <c r="U292" s="243"/>
      <c r="V292" s="236"/>
      <c r="W292" s="76"/>
      <c r="X292" s="76"/>
      <c r="Y292" s="76"/>
      <c r="Z292" s="76"/>
      <c r="AA292" s="76"/>
      <c r="AB292" s="76"/>
      <c r="AC292" s="76"/>
      <c r="AD292" s="76"/>
      <c r="AE292" s="76"/>
      <c r="AF292" s="76"/>
    </row>
    <row r="293" spans="1:32" x14ac:dyDescent="0.35">
      <c r="A293" s="76"/>
      <c r="B293" s="82"/>
      <c r="C293" s="82"/>
      <c r="D293" s="76"/>
      <c r="E293" s="298"/>
      <c r="F293" s="76"/>
      <c r="G293" s="76"/>
      <c r="H293" s="76"/>
      <c r="I293" s="56"/>
      <c r="J293" s="56"/>
      <c r="K293" s="76"/>
      <c r="L293" s="76"/>
      <c r="M293" s="415"/>
      <c r="N293" s="298"/>
      <c r="S293" s="76"/>
      <c r="T293" s="236"/>
      <c r="U293" s="243"/>
      <c r="V293" s="236"/>
      <c r="W293" s="76"/>
      <c r="X293" s="76"/>
      <c r="Y293" s="76"/>
      <c r="Z293" s="76"/>
      <c r="AA293" s="76"/>
      <c r="AB293" s="76"/>
      <c r="AC293" s="76"/>
      <c r="AD293" s="76"/>
      <c r="AE293" s="76"/>
      <c r="AF293" s="76"/>
    </row>
    <row r="294" spans="1:32" x14ac:dyDescent="0.35">
      <c r="A294" s="76"/>
      <c r="B294" s="82"/>
      <c r="C294" s="82"/>
      <c r="D294" s="76"/>
      <c r="E294" s="298"/>
      <c r="F294" s="76"/>
      <c r="G294" s="76"/>
      <c r="H294" s="76"/>
      <c r="I294" s="56"/>
      <c r="J294" s="56"/>
      <c r="K294" s="76"/>
      <c r="L294" s="76"/>
      <c r="M294" s="415"/>
      <c r="N294" s="298"/>
      <c r="S294" s="76"/>
      <c r="T294" s="236"/>
      <c r="U294" s="243"/>
      <c r="V294" s="236"/>
      <c r="W294" s="76"/>
      <c r="X294" s="76"/>
      <c r="Y294" s="76"/>
      <c r="Z294" s="76"/>
      <c r="AA294" s="76"/>
      <c r="AB294" s="76"/>
      <c r="AC294" s="76"/>
      <c r="AD294" s="76"/>
      <c r="AE294" s="76"/>
      <c r="AF294" s="76"/>
    </row>
    <row r="295" spans="1:32" x14ac:dyDescent="0.35">
      <c r="A295" s="76"/>
      <c r="B295" s="82"/>
      <c r="C295" s="82"/>
      <c r="D295" s="76"/>
      <c r="E295" s="298"/>
      <c r="F295" s="76"/>
      <c r="G295" s="76"/>
      <c r="H295" s="76"/>
      <c r="I295" s="56"/>
      <c r="J295" s="56"/>
      <c r="K295" s="76"/>
      <c r="L295" s="76"/>
      <c r="M295" s="415"/>
      <c r="N295" s="298"/>
      <c r="S295" s="76"/>
      <c r="T295" s="236"/>
      <c r="U295" s="243"/>
      <c r="V295" s="236"/>
      <c r="W295" s="76"/>
      <c r="X295" s="76"/>
      <c r="Y295" s="76"/>
      <c r="Z295" s="76"/>
      <c r="AA295" s="76"/>
      <c r="AB295" s="76"/>
      <c r="AC295" s="76"/>
      <c r="AD295" s="76"/>
      <c r="AE295" s="76"/>
      <c r="AF295" s="76"/>
    </row>
    <row r="296" spans="1:32" x14ac:dyDescent="0.35">
      <c r="A296" s="76"/>
      <c r="B296" s="82"/>
      <c r="C296" s="82"/>
      <c r="D296" s="76"/>
      <c r="E296" s="298"/>
      <c r="F296" s="76"/>
      <c r="G296" s="76"/>
      <c r="H296" s="76"/>
      <c r="I296" s="56"/>
      <c r="J296" s="56"/>
      <c r="K296" s="76"/>
      <c r="L296" s="76"/>
      <c r="M296" s="415"/>
      <c r="N296" s="298"/>
      <c r="S296" s="76"/>
      <c r="T296" s="236"/>
      <c r="U296" s="243"/>
      <c r="V296" s="236"/>
      <c r="W296" s="76"/>
      <c r="X296" s="76"/>
      <c r="Y296" s="76"/>
      <c r="Z296" s="76"/>
      <c r="AA296" s="76"/>
      <c r="AB296" s="76"/>
      <c r="AC296" s="76"/>
      <c r="AD296" s="76"/>
      <c r="AE296" s="76"/>
      <c r="AF296" s="76"/>
    </row>
    <row r="297" spans="1:32" x14ac:dyDescent="0.35">
      <c r="A297" s="76"/>
      <c r="B297" s="82"/>
      <c r="C297" s="82"/>
      <c r="D297" s="76"/>
      <c r="E297" s="298"/>
      <c r="F297" s="76"/>
      <c r="G297" s="76"/>
      <c r="H297" s="76"/>
      <c r="I297" s="56"/>
      <c r="J297" s="56"/>
      <c r="K297" s="76"/>
      <c r="L297" s="76"/>
      <c r="M297" s="415"/>
      <c r="N297" s="298"/>
      <c r="S297" s="76"/>
      <c r="T297" s="236"/>
      <c r="U297" s="243"/>
      <c r="V297" s="236"/>
      <c r="W297" s="76"/>
      <c r="X297" s="76"/>
      <c r="Y297" s="76"/>
      <c r="Z297" s="76"/>
      <c r="AA297" s="76"/>
      <c r="AB297" s="76"/>
      <c r="AC297" s="76"/>
      <c r="AD297" s="76"/>
      <c r="AE297" s="76"/>
      <c r="AF297" s="76"/>
    </row>
    <row r="298" spans="1:32" x14ac:dyDescent="0.35">
      <c r="A298" s="76"/>
      <c r="B298" s="82"/>
      <c r="C298" s="82"/>
      <c r="D298" s="76"/>
      <c r="E298" s="298"/>
      <c r="F298" s="76"/>
      <c r="G298" s="76"/>
      <c r="H298" s="76"/>
      <c r="I298" s="56"/>
      <c r="J298" s="56"/>
      <c r="K298" s="76"/>
      <c r="L298" s="76"/>
      <c r="M298" s="415"/>
      <c r="N298" s="298"/>
      <c r="S298" s="76"/>
      <c r="T298" s="236"/>
      <c r="U298" s="243"/>
      <c r="V298" s="236"/>
      <c r="W298" s="76"/>
      <c r="X298" s="76"/>
      <c r="Y298" s="76"/>
      <c r="Z298" s="76"/>
      <c r="AA298" s="76"/>
      <c r="AB298" s="76"/>
      <c r="AC298" s="76"/>
      <c r="AD298" s="76"/>
      <c r="AE298" s="76"/>
      <c r="AF298" s="76"/>
    </row>
    <row r="299" spans="1:32" x14ac:dyDescent="0.35">
      <c r="A299" s="76"/>
      <c r="B299" s="82"/>
      <c r="C299" s="82"/>
      <c r="D299" s="76"/>
      <c r="E299" s="298"/>
      <c r="F299" s="76"/>
      <c r="G299" s="76"/>
      <c r="H299" s="76"/>
      <c r="I299" s="56"/>
      <c r="J299" s="56"/>
      <c r="K299" s="76"/>
      <c r="L299" s="76"/>
      <c r="M299" s="415"/>
      <c r="N299" s="298"/>
      <c r="S299" s="76"/>
      <c r="T299" s="236"/>
      <c r="U299" s="243"/>
      <c r="V299" s="236"/>
      <c r="W299" s="76"/>
      <c r="X299" s="76"/>
      <c r="Y299" s="76"/>
      <c r="Z299" s="76"/>
      <c r="AA299" s="76"/>
      <c r="AB299" s="76"/>
      <c r="AC299" s="76"/>
      <c r="AD299" s="76"/>
      <c r="AE299" s="76"/>
      <c r="AF299" s="76"/>
    </row>
    <row r="300" spans="1:32" x14ac:dyDescent="0.35">
      <c r="A300" s="76"/>
      <c r="B300" s="82"/>
      <c r="C300" s="82"/>
      <c r="D300" s="76"/>
      <c r="E300" s="298"/>
      <c r="F300" s="76"/>
      <c r="G300" s="76"/>
      <c r="H300" s="76"/>
      <c r="I300" s="56"/>
      <c r="J300" s="56"/>
      <c r="K300" s="76"/>
      <c r="L300" s="76"/>
      <c r="M300" s="415"/>
      <c r="N300" s="298"/>
      <c r="S300" s="76"/>
      <c r="T300" s="236"/>
      <c r="U300" s="243"/>
      <c r="V300" s="236"/>
      <c r="W300" s="76"/>
      <c r="X300" s="76"/>
      <c r="Y300" s="76"/>
      <c r="Z300" s="76"/>
      <c r="AA300" s="76"/>
      <c r="AB300" s="76"/>
      <c r="AC300" s="76"/>
      <c r="AD300" s="76"/>
      <c r="AE300" s="76"/>
      <c r="AF300" s="76"/>
    </row>
    <row r="301" spans="1:32" x14ac:dyDescent="0.35">
      <c r="A301" s="76"/>
      <c r="B301" s="82"/>
      <c r="C301" s="82"/>
      <c r="D301" s="76"/>
      <c r="E301" s="298"/>
      <c r="F301" s="76"/>
      <c r="G301" s="76"/>
      <c r="H301" s="76"/>
      <c r="I301" s="56"/>
      <c r="J301" s="56"/>
      <c r="K301" s="76"/>
      <c r="L301" s="76"/>
      <c r="M301" s="415"/>
      <c r="N301" s="298"/>
      <c r="S301" s="76"/>
      <c r="T301" s="236"/>
      <c r="U301" s="243"/>
      <c r="V301" s="236"/>
      <c r="W301" s="76"/>
      <c r="X301" s="76"/>
      <c r="Y301" s="76"/>
      <c r="Z301" s="76"/>
      <c r="AA301" s="76"/>
      <c r="AB301" s="76"/>
      <c r="AC301" s="76"/>
      <c r="AD301" s="76"/>
      <c r="AE301" s="76"/>
      <c r="AF301" s="76"/>
    </row>
    <row r="302" spans="1:32" x14ac:dyDescent="0.35">
      <c r="A302" s="76"/>
      <c r="B302" s="82"/>
      <c r="C302" s="82"/>
      <c r="D302" s="76"/>
      <c r="E302" s="298"/>
      <c r="F302" s="76"/>
      <c r="G302" s="76"/>
      <c r="H302" s="76"/>
      <c r="I302" s="56"/>
      <c r="J302" s="56"/>
      <c r="K302" s="76"/>
      <c r="L302" s="76"/>
      <c r="M302" s="415"/>
      <c r="N302" s="298"/>
      <c r="S302" s="76"/>
      <c r="T302" s="236"/>
      <c r="U302" s="243"/>
      <c r="V302" s="236"/>
      <c r="W302" s="76"/>
      <c r="X302" s="76"/>
      <c r="Y302" s="76"/>
      <c r="Z302" s="76"/>
      <c r="AA302" s="76"/>
      <c r="AB302" s="76"/>
      <c r="AC302" s="76"/>
      <c r="AD302" s="76"/>
      <c r="AE302" s="76"/>
      <c r="AF302" s="76"/>
    </row>
    <row r="303" spans="1:32" x14ac:dyDescent="0.35">
      <c r="A303" s="76"/>
      <c r="B303" s="82"/>
      <c r="C303" s="82"/>
      <c r="D303" s="76"/>
      <c r="E303" s="298"/>
      <c r="F303" s="76"/>
      <c r="G303" s="76"/>
      <c r="H303" s="76"/>
      <c r="I303" s="56"/>
      <c r="J303" s="56"/>
      <c r="K303" s="76"/>
      <c r="L303" s="76"/>
      <c r="M303" s="415"/>
      <c r="N303" s="298"/>
      <c r="S303" s="76"/>
      <c r="T303" s="236"/>
      <c r="U303" s="243"/>
      <c r="V303" s="236"/>
      <c r="W303" s="76"/>
      <c r="X303" s="76"/>
      <c r="Y303" s="76"/>
      <c r="Z303" s="76"/>
      <c r="AA303" s="76"/>
      <c r="AB303" s="76"/>
      <c r="AC303" s="76"/>
      <c r="AD303" s="76"/>
      <c r="AE303" s="76"/>
      <c r="AF303" s="76"/>
    </row>
    <row r="304" spans="1:32" x14ac:dyDescent="0.35">
      <c r="A304" s="76"/>
      <c r="B304" s="82"/>
      <c r="C304" s="82"/>
      <c r="D304" s="76"/>
      <c r="E304" s="298"/>
      <c r="F304" s="76"/>
      <c r="G304" s="76"/>
      <c r="H304" s="76"/>
      <c r="I304" s="56"/>
      <c r="J304" s="56"/>
      <c r="K304" s="76"/>
      <c r="L304" s="76"/>
      <c r="M304" s="415"/>
      <c r="N304" s="298"/>
      <c r="S304" s="76"/>
      <c r="T304" s="236"/>
      <c r="U304" s="243"/>
      <c r="V304" s="236"/>
      <c r="W304" s="76"/>
      <c r="X304" s="76"/>
      <c r="Y304" s="76"/>
      <c r="Z304" s="76"/>
      <c r="AA304" s="76"/>
      <c r="AB304" s="76"/>
      <c r="AC304" s="76"/>
      <c r="AD304" s="76"/>
      <c r="AE304" s="76"/>
      <c r="AF304" s="76"/>
    </row>
    <row r="305" spans="1:32" x14ac:dyDescent="0.35">
      <c r="A305" s="76"/>
      <c r="B305" s="82"/>
      <c r="C305" s="82"/>
      <c r="D305" s="76"/>
      <c r="E305" s="298"/>
      <c r="F305" s="76"/>
      <c r="G305" s="76"/>
      <c r="H305" s="76"/>
      <c r="I305" s="56"/>
      <c r="J305" s="56"/>
      <c r="K305" s="76"/>
      <c r="L305" s="76"/>
      <c r="M305" s="415"/>
      <c r="N305" s="298"/>
      <c r="S305" s="76"/>
      <c r="T305" s="236"/>
      <c r="U305" s="243"/>
      <c r="V305" s="236"/>
      <c r="W305" s="76"/>
      <c r="X305" s="76"/>
      <c r="Y305" s="76"/>
      <c r="Z305" s="76"/>
      <c r="AA305" s="76"/>
      <c r="AB305" s="76"/>
      <c r="AC305" s="76"/>
      <c r="AD305" s="76"/>
      <c r="AE305" s="76"/>
      <c r="AF305" s="76"/>
    </row>
    <row r="306" spans="1:32" x14ac:dyDescent="0.35">
      <c r="A306" s="76"/>
      <c r="B306" s="82"/>
      <c r="C306" s="82"/>
      <c r="D306" s="76"/>
      <c r="E306" s="298"/>
      <c r="F306" s="76"/>
      <c r="G306" s="76"/>
      <c r="H306" s="76"/>
      <c r="I306" s="56"/>
      <c r="J306" s="56"/>
      <c r="K306" s="76"/>
      <c r="L306" s="76"/>
      <c r="M306" s="415"/>
      <c r="N306" s="298"/>
      <c r="S306" s="76"/>
      <c r="T306" s="236"/>
      <c r="U306" s="243"/>
      <c r="V306" s="236"/>
      <c r="W306" s="76"/>
      <c r="X306" s="76"/>
      <c r="Y306" s="76"/>
      <c r="Z306" s="76"/>
      <c r="AA306" s="76"/>
      <c r="AB306" s="76"/>
      <c r="AC306" s="76"/>
      <c r="AD306" s="76"/>
      <c r="AE306" s="76"/>
      <c r="AF306" s="76"/>
    </row>
    <row r="307" spans="1:32" x14ac:dyDescent="0.35">
      <c r="A307" s="76"/>
      <c r="B307" s="82"/>
      <c r="C307" s="82"/>
      <c r="D307" s="76"/>
      <c r="E307" s="298"/>
      <c r="F307" s="76"/>
      <c r="G307" s="76"/>
      <c r="H307" s="76"/>
      <c r="I307" s="56"/>
      <c r="J307" s="56"/>
      <c r="K307" s="76"/>
      <c r="L307" s="76"/>
      <c r="M307" s="415"/>
      <c r="N307" s="298"/>
      <c r="S307" s="76"/>
      <c r="T307" s="236"/>
      <c r="U307" s="243"/>
      <c r="V307" s="236"/>
      <c r="W307" s="76"/>
      <c r="X307" s="76"/>
      <c r="Y307" s="76"/>
      <c r="Z307" s="76"/>
      <c r="AA307" s="76"/>
      <c r="AB307" s="76"/>
      <c r="AC307" s="76"/>
      <c r="AD307" s="76"/>
      <c r="AE307" s="76"/>
      <c r="AF307" s="76"/>
    </row>
    <row r="308" spans="1:32" x14ac:dyDescent="0.35">
      <c r="A308" s="76"/>
      <c r="B308" s="82"/>
      <c r="C308" s="82"/>
      <c r="D308" s="76"/>
      <c r="E308" s="298"/>
      <c r="F308" s="76"/>
      <c r="G308" s="76"/>
      <c r="H308" s="76"/>
      <c r="I308" s="56"/>
      <c r="J308" s="56"/>
      <c r="K308" s="76"/>
      <c r="L308" s="76"/>
      <c r="M308" s="415"/>
      <c r="N308" s="298"/>
      <c r="S308" s="76"/>
      <c r="T308" s="236"/>
      <c r="U308" s="243"/>
      <c r="V308" s="236"/>
      <c r="W308" s="76"/>
      <c r="X308" s="76"/>
      <c r="Y308" s="76"/>
      <c r="Z308" s="76"/>
      <c r="AA308" s="76"/>
      <c r="AB308" s="76"/>
      <c r="AC308" s="76"/>
      <c r="AD308" s="76"/>
      <c r="AE308" s="76"/>
      <c r="AF308" s="76"/>
    </row>
    <row r="309" spans="1:32" x14ac:dyDescent="0.35">
      <c r="A309" s="76"/>
      <c r="B309" s="82"/>
      <c r="C309" s="82"/>
      <c r="D309" s="76"/>
      <c r="E309" s="298"/>
      <c r="F309" s="76"/>
      <c r="G309" s="76"/>
      <c r="H309" s="76"/>
      <c r="I309" s="56"/>
      <c r="J309" s="56"/>
      <c r="K309" s="76"/>
      <c r="L309" s="76"/>
      <c r="M309" s="415"/>
      <c r="N309" s="298"/>
      <c r="S309" s="76"/>
      <c r="T309" s="236"/>
      <c r="U309" s="243"/>
      <c r="V309" s="236"/>
      <c r="W309" s="76"/>
      <c r="X309" s="76"/>
      <c r="Y309" s="76"/>
      <c r="Z309" s="76"/>
      <c r="AA309" s="76"/>
      <c r="AB309" s="76"/>
      <c r="AC309" s="76"/>
      <c r="AD309" s="76"/>
      <c r="AE309" s="76"/>
      <c r="AF309" s="76"/>
    </row>
    <row r="310" spans="1:32" x14ac:dyDescent="0.35">
      <c r="A310" s="76"/>
      <c r="B310" s="82"/>
      <c r="C310" s="82"/>
      <c r="D310" s="76"/>
      <c r="E310" s="298"/>
      <c r="F310" s="76"/>
      <c r="G310" s="76"/>
      <c r="H310" s="76"/>
      <c r="I310" s="56"/>
      <c r="J310" s="56"/>
      <c r="K310" s="76"/>
      <c r="L310" s="76"/>
      <c r="M310" s="415"/>
      <c r="N310" s="298"/>
      <c r="S310" s="76"/>
      <c r="T310" s="236"/>
      <c r="U310" s="243"/>
      <c r="V310" s="236"/>
      <c r="W310" s="76"/>
      <c r="X310" s="76"/>
      <c r="Y310" s="76"/>
      <c r="Z310" s="76"/>
      <c r="AA310" s="76"/>
      <c r="AB310" s="76"/>
      <c r="AC310" s="76"/>
      <c r="AD310" s="76"/>
      <c r="AE310" s="76"/>
      <c r="AF310" s="76"/>
    </row>
    <row r="311" spans="1:32" x14ac:dyDescent="0.35">
      <c r="A311" s="76"/>
      <c r="B311" s="82"/>
      <c r="C311" s="82"/>
      <c r="D311" s="76"/>
      <c r="E311" s="298"/>
      <c r="F311" s="76"/>
      <c r="G311" s="76"/>
      <c r="H311" s="76"/>
      <c r="I311" s="56"/>
      <c r="J311" s="56"/>
      <c r="K311" s="76"/>
      <c r="L311" s="76"/>
      <c r="M311" s="415"/>
      <c r="N311" s="298"/>
      <c r="S311" s="76"/>
      <c r="T311" s="236"/>
      <c r="U311" s="243"/>
      <c r="V311" s="236"/>
      <c r="W311" s="76"/>
      <c r="X311" s="76"/>
      <c r="Y311" s="76"/>
      <c r="Z311" s="76"/>
      <c r="AA311" s="76"/>
      <c r="AB311" s="76"/>
      <c r="AC311" s="76"/>
      <c r="AD311" s="76"/>
      <c r="AE311" s="76"/>
      <c r="AF311" s="76"/>
    </row>
    <row r="312" spans="1:32" x14ac:dyDescent="0.35">
      <c r="A312" s="76"/>
      <c r="B312" s="82"/>
      <c r="C312" s="82"/>
      <c r="D312" s="76"/>
      <c r="E312" s="298"/>
      <c r="F312" s="76"/>
      <c r="G312" s="76"/>
      <c r="H312" s="76"/>
      <c r="I312" s="56"/>
      <c r="J312" s="56"/>
      <c r="K312" s="76"/>
      <c r="L312" s="76"/>
      <c r="M312" s="415"/>
      <c r="N312" s="298"/>
      <c r="S312" s="76"/>
      <c r="T312" s="236"/>
      <c r="U312" s="243"/>
      <c r="V312" s="236"/>
      <c r="W312" s="76"/>
      <c r="X312" s="76"/>
      <c r="Y312" s="76"/>
      <c r="Z312" s="76"/>
      <c r="AA312" s="76"/>
      <c r="AB312" s="76"/>
      <c r="AC312" s="76"/>
      <c r="AD312" s="76"/>
      <c r="AE312" s="76"/>
      <c r="AF312" s="76"/>
    </row>
    <row r="313" spans="1:32" x14ac:dyDescent="0.35">
      <c r="A313" s="76"/>
      <c r="B313" s="82"/>
      <c r="C313" s="82"/>
      <c r="D313" s="76"/>
      <c r="E313" s="298"/>
      <c r="F313" s="76"/>
      <c r="G313" s="76"/>
      <c r="H313" s="76"/>
      <c r="I313" s="56"/>
      <c r="J313" s="56"/>
      <c r="K313" s="76"/>
      <c r="L313" s="76"/>
      <c r="M313" s="415"/>
      <c r="N313" s="298"/>
      <c r="S313" s="76"/>
      <c r="T313" s="236"/>
      <c r="U313" s="243"/>
      <c r="V313" s="236"/>
      <c r="W313" s="76"/>
      <c r="X313" s="76"/>
      <c r="Y313" s="76"/>
      <c r="Z313" s="76"/>
      <c r="AA313" s="76"/>
      <c r="AB313" s="76"/>
      <c r="AC313" s="76"/>
      <c r="AD313" s="76"/>
      <c r="AE313" s="76"/>
      <c r="AF313" s="76"/>
    </row>
    <row r="314" spans="1:32" x14ac:dyDescent="0.35">
      <c r="A314" s="76"/>
      <c r="B314" s="82"/>
      <c r="C314" s="82"/>
      <c r="D314" s="76"/>
      <c r="E314" s="298"/>
      <c r="F314" s="76"/>
      <c r="G314" s="76"/>
      <c r="H314" s="76"/>
      <c r="I314" s="56"/>
      <c r="J314" s="56"/>
      <c r="K314" s="76"/>
      <c r="L314" s="76"/>
      <c r="M314" s="415"/>
      <c r="N314" s="298"/>
      <c r="S314" s="76"/>
      <c r="T314" s="236"/>
      <c r="U314" s="243"/>
      <c r="V314" s="236"/>
      <c r="W314" s="76"/>
      <c r="X314" s="76"/>
      <c r="Y314" s="76"/>
      <c r="Z314" s="76"/>
      <c r="AA314" s="76"/>
      <c r="AB314" s="76"/>
      <c r="AC314" s="76"/>
      <c r="AD314" s="76"/>
      <c r="AE314" s="76"/>
      <c r="AF314" s="76"/>
    </row>
    <row r="315" spans="1:32" x14ac:dyDescent="0.35">
      <c r="A315" s="76"/>
      <c r="B315" s="82"/>
      <c r="C315" s="82"/>
      <c r="D315" s="76"/>
      <c r="E315" s="298"/>
      <c r="F315" s="76"/>
      <c r="G315" s="76"/>
      <c r="H315" s="76"/>
      <c r="I315" s="56"/>
      <c r="J315" s="56"/>
      <c r="K315" s="76"/>
      <c r="L315" s="76"/>
      <c r="M315" s="415"/>
      <c r="N315" s="298"/>
      <c r="S315" s="76"/>
      <c r="T315" s="236"/>
      <c r="U315" s="243"/>
      <c r="V315" s="236"/>
      <c r="W315" s="76"/>
      <c r="X315" s="76"/>
      <c r="Y315" s="76"/>
      <c r="Z315" s="76"/>
      <c r="AA315" s="76"/>
      <c r="AB315" s="76"/>
      <c r="AC315" s="76"/>
      <c r="AD315" s="76"/>
      <c r="AE315" s="76"/>
      <c r="AF315" s="76"/>
    </row>
    <row r="316" spans="1:32" x14ac:dyDescent="0.35">
      <c r="A316" s="76"/>
      <c r="B316" s="82"/>
      <c r="C316" s="82"/>
      <c r="D316" s="76"/>
      <c r="E316" s="298"/>
      <c r="F316" s="76"/>
      <c r="G316" s="76"/>
      <c r="H316" s="76"/>
      <c r="I316" s="56"/>
      <c r="J316" s="56"/>
      <c r="K316" s="76"/>
      <c r="L316" s="76"/>
      <c r="M316" s="415"/>
      <c r="N316" s="298"/>
      <c r="S316" s="76"/>
      <c r="T316" s="236"/>
      <c r="U316" s="243"/>
      <c r="V316" s="236"/>
      <c r="W316" s="76"/>
      <c r="X316" s="76"/>
      <c r="Y316" s="76"/>
      <c r="Z316" s="76"/>
      <c r="AA316" s="76"/>
      <c r="AB316" s="76"/>
      <c r="AC316" s="76"/>
      <c r="AD316" s="76"/>
      <c r="AE316" s="76"/>
      <c r="AF316" s="76"/>
    </row>
    <row r="317" spans="1:32" x14ac:dyDescent="0.35">
      <c r="A317" s="76"/>
      <c r="B317" s="82"/>
      <c r="C317" s="82"/>
      <c r="D317" s="76"/>
      <c r="E317" s="298"/>
      <c r="F317" s="76"/>
      <c r="G317" s="76"/>
      <c r="H317" s="76"/>
      <c r="I317" s="56"/>
      <c r="J317" s="56"/>
      <c r="K317" s="76"/>
      <c r="L317" s="76"/>
      <c r="M317" s="415"/>
      <c r="N317" s="298"/>
      <c r="S317" s="76"/>
      <c r="T317" s="236"/>
      <c r="U317" s="243"/>
      <c r="V317" s="236"/>
      <c r="W317" s="76"/>
      <c r="X317" s="76"/>
      <c r="Y317" s="76"/>
      <c r="Z317" s="76"/>
      <c r="AA317" s="76"/>
      <c r="AB317" s="76"/>
      <c r="AC317" s="76"/>
      <c r="AD317" s="76"/>
      <c r="AE317" s="76"/>
      <c r="AF317" s="76"/>
    </row>
    <row r="318" spans="1:32" x14ac:dyDescent="0.35">
      <c r="A318" s="76"/>
      <c r="B318" s="82"/>
      <c r="C318" s="82"/>
      <c r="D318" s="76"/>
      <c r="E318" s="298"/>
      <c r="F318" s="76"/>
      <c r="G318" s="76"/>
      <c r="H318" s="76"/>
      <c r="I318" s="56"/>
      <c r="J318" s="56"/>
      <c r="K318" s="76"/>
      <c r="L318" s="76"/>
      <c r="M318" s="415"/>
      <c r="N318" s="298"/>
      <c r="S318" s="76"/>
      <c r="T318" s="236"/>
      <c r="U318" s="243"/>
      <c r="V318" s="236"/>
      <c r="W318" s="76"/>
      <c r="X318" s="76"/>
      <c r="Y318" s="76"/>
      <c r="Z318" s="76"/>
      <c r="AA318" s="76"/>
      <c r="AB318" s="76"/>
      <c r="AC318" s="76"/>
      <c r="AD318" s="76"/>
      <c r="AE318" s="76"/>
      <c r="AF318" s="76"/>
    </row>
    <row r="319" spans="1:32" x14ac:dyDescent="0.35">
      <c r="A319" s="76"/>
      <c r="B319" s="82"/>
      <c r="C319" s="82"/>
      <c r="D319" s="76"/>
      <c r="E319" s="298"/>
      <c r="F319" s="76"/>
      <c r="G319" s="76"/>
      <c r="H319" s="76"/>
      <c r="I319" s="56"/>
      <c r="J319" s="56"/>
      <c r="K319" s="76"/>
      <c r="L319" s="76"/>
      <c r="M319" s="415"/>
      <c r="N319" s="298"/>
      <c r="S319" s="76"/>
      <c r="T319" s="236"/>
      <c r="U319" s="243"/>
      <c r="V319" s="236"/>
      <c r="W319" s="76"/>
      <c r="X319" s="76"/>
      <c r="Y319" s="76"/>
      <c r="Z319" s="76"/>
      <c r="AA319" s="76"/>
      <c r="AB319" s="76"/>
      <c r="AC319" s="76"/>
      <c r="AD319" s="76"/>
      <c r="AE319" s="76"/>
      <c r="AF319" s="76"/>
    </row>
    <row r="320" spans="1:32" x14ac:dyDescent="0.35">
      <c r="A320" s="76"/>
      <c r="B320" s="82"/>
      <c r="C320" s="82"/>
      <c r="D320" s="76"/>
      <c r="E320" s="298"/>
      <c r="F320" s="76"/>
      <c r="G320" s="76"/>
      <c r="H320" s="76"/>
      <c r="I320" s="56"/>
      <c r="J320" s="56"/>
      <c r="K320" s="76"/>
      <c r="L320" s="76"/>
      <c r="M320" s="415"/>
      <c r="N320" s="298"/>
      <c r="S320" s="76"/>
      <c r="T320" s="236"/>
      <c r="U320" s="243"/>
      <c r="V320" s="236"/>
      <c r="W320" s="76"/>
      <c r="X320" s="76"/>
      <c r="Y320" s="76"/>
      <c r="Z320" s="76"/>
      <c r="AA320" s="76"/>
      <c r="AB320" s="76"/>
      <c r="AC320" s="76"/>
      <c r="AD320" s="76"/>
      <c r="AE320" s="76"/>
      <c r="AF320" s="76"/>
    </row>
    <row r="321" spans="1:32" x14ac:dyDescent="0.35">
      <c r="A321" s="76"/>
      <c r="B321" s="82"/>
      <c r="C321" s="82"/>
      <c r="D321" s="76"/>
      <c r="E321" s="298"/>
      <c r="F321" s="76"/>
      <c r="G321" s="76"/>
      <c r="H321" s="76"/>
      <c r="I321" s="56"/>
      <c r="J321" s="56"/>
      <c r="K321" s="76"/>
      <c r="L321" s="76"/>
      <c r="M321" s="415"/>
      <c r="N321" s="298"/>
      <c r="S321" s="76"/>
      <c r="T321" s="236"/>
      <c r="U321" s="243"/>
      <c r="V321" s="236"/>
      <c r="W321" s="76"/>
      <c r="X321" s="76"/>
      <c r="Y321" s="76"/>
      <c r="Z321" s="76"/>
      <c r="AA321" s="76"/>
      <c r="AB321" s="76"/>
      <c r="AC321" s="76"/>
      <c r="AD321" s="76"/>
      <c r="AE321" s="76"/>
      <c r="AF321" s="76"/>
    </row>
    <row r="322" spans="1:32" x14ac:dyDescent="0.35">
      <c r="A322" s="76"/>
      <c r="B322" s="82"/>
      <c r="C322" s="82"/>
      <c r="D322" s="76"/>
      <c r="E322" s="298"/>
      <c r="F322" s="76"/>
      <c r="G322" s="76"/>
      <c r="H322" s="76"/>
      <c r="I322" s="56"/>
      <c r="J322" s="56"/>
      <c r="K322" s="76"/>
      <c r="L322" s="76"/>
      <c r="M322" s="415"/>
      <c r="N322" s="298"/>
      <c r="S322" s="76"/>
      <c r="T322" s="236"/>
      <c r="U322" s="243"/>
      <c r="V322" s="236"/>
      <c r="W322" s="76"/>
      <c r="X322" s="76"/>
      <c r="Y322" s="76"/>
      <c r="Z322" s="76"/>
      <c r="AA322" s="76"/>
      <c r="AB322" s="76"/>
      <c r="AC322" s="76"/>
      <c r="AD322" s="76"/>
      <c r="AE322" s="76"/>
      <c r="AF322" s="76"/>
    </row>
    <row r="323" spans="1:32" x14ac:dyDescent="0.35">
      <c r="A323" s="76"/>
      <c r="B323" s="82"/>
      <c r="C323" s="82"/>
      <c r="D323" s="76"/>
      <c r="E323" s="298"/>
      <c r="F323" s="76"/>
      <c r="G323" s="76"/>
      <c r="H323" s="76"/>
      <c r="I323" s="56"/>
      <c r="J323" s="56"/>
      <c r="K323" s="76"/>
      <c r="L323" s="76"/>
      <c r="M323" s="415"/>
      <c r="N323" s="298"/>
      <c r="S323" s="76"/>
      <c r="T323" s="236"/>
      <c r="U323" s="243"/>
      <c r="V323" s="236"/>
      <c r="W323" s="76"/>
      <c r="X323" s="76"/>
      <c r="Y323" s="76"/>
      <c r="Z323" s="76"/>
      <c r="AA323" s="76"/>
      <c r="AB323" s="76"/>
      <c r="AC323" s="76"/>
      <c r="AD323" s="76"/>
      <c r="AE323" s="76"/>
      <c r="AF323" s="76"/>
    </row>
    <row r="324" spans="1:32" x14ac:dyDescent="0.35">
      <c r="A324" s="76"/>
      <c r="B324" s="82"/>
      <c r="C324" s="82"/>
      <c r="D324" s="76"/>
      <c r="E324" s="298"/>
      <c r="F324" s="76"/>
      <c r="G324" s="76"/>
      <c r="H324" s="76"/>
      <c r="I324" s="56"/>
      <c r="J324" s="56"/>
      <c r="K324" s="76"/>
      <c r="L324" s="76"/>
      <c r="M324" s="415"/>
      <c r="N324" s="298"/>
      <c r="S324" s="76"/>
      <c r="T324" s="236"/>
      <c r="U324" s="243"/>
      <c r="V324" s="236"/>
      <c r="W324" s="76"/>
      <c r="X324" s="76"/>
      <c r="Y324" s="76"/>
      <c r="Z324" s="76"/>
      <c r="AA324" s="76"/>
      <c r="AB324" s="76"/>
      <c r="AC324" s="76"/>
      <c r="AD324" s="76"/>
      <c r="AE324" s="76"/>
      <c r="AF324" s="76"/>
    </row>
    <row r="325" spans="1:32" x14ac:dyDescent="0.35">
      <c r="A325" s="76"/>
      <c r="B325" s="82"/>
      <c r="C325" s="82"/>
      <c r="D325" s="76"/>
      <c r="E325" s="298"/>
      <c r="F325" s="76"/>
      <c r="G325" s="76"/>
      <c r="H325" s="76"/>
      <c r="I325" s="56"/>
      <c r="J325" s="56"/>
      <c r="K325" s="76"/>
      <c r="L325" s="76"/>
      <c r="M325" s="415"/>
      <c r="N325" s="298"/>
      <c r="S325" s="76"/>
      <c r="T325" s="236"/>
      <c r="U325" s="243"/>
      <c r="V325" s="236"/>
      <c r="W325" s="76"/>
      <c r="X325" s="76"/>
      <c r="Y325" s="76"/>
      <c r="Z325" s="76"/>
      <c r="AA325" s="76"/>
      <c r="AB325" s="76"/>
      <c r="AC325" s="76"/>
      <c r="AD325" s="76"/>
      <c r="AE325" s="76"/>
      <c r="AF325" s="76"/>
    </row>
    <row r="326" spans="1:32" x14ac:dyDescent="0.35">
      <c r="A326" s="76"/>
      <c r="B326" s="82"/>
      <c r="C326" s="82"/>
      <c r="D326" s="76"/>
      <c r="E326" s="298"/>
      <c r="F326" s="76"/>
      <c r="G326" s="76"/>
      <c r="H326" s="76"/>
      <c r="I326" s="56"/>
      <c r="J326" s="56"/>
      <c r="K326" s="76"/>
      <c r="L326" s="76"/>
      <c r="M326" s="415"/>
      <c r="N326" s="298"/>
      <c r="S326" s="76"/>
      <c r="T326" s="236"/>
      <c r="U326" s="243"/>
      <c r="V326" s="236"/>
      <c r="W326" s="76"/>
      <c r="X326" s="76"/>
      <c r="Y326" s="76"/>
      <c r="Z326" s="76"/>
      <c r="AA326" s="76"/>
      <c r="AB326" s="76"/>
      <c r="AC326" s="76"/>
      <c r="AD326" s="76"/>
      <c r="AE326" s="76"/>
      <c r="AF326" s="76"/>
    </row>
    <row r="327" spans="1:32" x14ac:dyDescent="0.35">
      <c r="A327" s="76"/>
      <c r="B327" s="82"/>
      <c r="C327" s="82"/>
      <c r="D327" s="76"/>
      <c r="E327" s="298"/>
      <c r="F327" s="76"/>
      <c r="G327" s="76"/>
      <c r="H327" s="76"/>
      <c r="I327" s="56"/>
      <c r="J327" s="56"/>
      <c r="K327" s="76"/>
      <c r="L327" s="76"/>
      <c r="M327" s="415"/>
      <c r="N327" s="298"/>
      <c r="S327" s="76"/>
      <c r="T327" s="236"/>
      <c r="U327" s="243"/>
      <c r="V327" s="236"/>
      <c r="W327" s="76"/>
      <c r="X327" s="76"/>
      <c r="Y327" s="76"/>
      <c r="Z327" s="76"/>
      <c r="AA327" s="76"/>
      <c r="AB327" s="76"/>
      <c r="AC327" s="76"/>
      <c r="AD327" s="76"/>
      <c r="AE327" s="76"/>
      <c r="AF327" s="76"/>
    </row>
    <row r="328" spans="1:32" x14ac:dyDescent="0.35">
      <c r="A328" s="76"/>
      <c r="B328" s="82"/>
      <c r="C328" s="82"/>
      <c r="D328" s="76"/>
      <c r="E328" s="298"/>
      <c r="F328" s="76"/>
      <c r="G328" s="76"/>
      <c r="H328" s="76"/>
      <c r="I328" s="56"/>
      <c r="J328" s="56"/>
      <c r="K328" s="76"/>
      <c r="L328" s="76"/>
      <c r="M328" s="415"/>
      <c r="N328" s="298"/>
      <c r="S328" s="76"/>
      <c r="T328" s="236"/>
      <c r="U328" s="243"/>
      <c r="V328" s="236"/>
      <c r="W328" s="76"/>
      <c r="X328" s="76"/>
      <c r="Y328" s="76"/>
      <c r="Z328" s="76"/>
      <c r="AA328" s="76"/>
      <c r="AB328" s="76"/>
      <c r="AC328" s="76"/>
      <c r="AD328" s="76"/>
      <c r="AE328" s="76"/>
      <c r="AF328" s="76"/>
    </row>
    <row r="329" spans="1:32" x14ac:dyDescent="0.35">
      <c r="A329" s="76"/>
      <c r="B329" s="82"/>
      <c r="C329" s="82"/>
      <c r="D329" s="76"/>
      <c r="E329" s="298"/>
      <c r="F329" s="76"/>
      <c r="G329" s="76"/>
      <c r="H329" s="76"/>
      <c r="I329" s="56"/>
      <c r="J329" s="56"/>
      <c r="K329" s="76"/>
      <c r="L329" s="76"/>
      <c r="M329" s="415"/>
      <c r="N329" s="298"/>
      <c r="S329" s="76"/>
      <c r="T329" s="236"/>
      <c r="U329" s="243"/>
      <c r="V329" s="236"/>
      <c r="W329" s="76"/>
      <c r="X329" s="76"/>
      <c r="Y329" s="76"/>
      <c r="Z329" s="76"/>
      <c r="AA329" s="76"/>
      <c r="AB329" s="76"/>
      <c r="AC329" s="76"/>
      <c r="AD329" s="76"/>
      <c r="AE329" s="76"/>
      <c r="AF329" s="76"/>
    </row>
    <row r="330" spans="1:32" x14ac:dyDescent="0.35">
      <c r="A330" s="76"/>
      <c r="B330" s="82"/>
      <c r="C330" s="82"/>
      <c r="D330" s="76"/>
      <c r="E330" s="298"/>
      <c r="F330" s="76"/>
      <c r="G330" s="76"/>
      <c r="H330" s="76"/>
      <c r="I330" s="56"/>
      <c r="J330" s="56"/>
      <c r="K330" s="76"/>
      <c r="L330" s="76"/>
      <c r="M330" s="415"/>
      <c r="N330" s="298"/>
      <c r="S330" s="76"/>
      <c r="T330" s="236"/>
      <c r="U330" s="243"/>
      <c r="V330" s="236"/>
      <c r="W330" s="76"/>
      <c r="X330" s="76"/>
      <c r="Y330" s="76"/>
      <c r="Z330" s="76"/>
      <c r="AA330" s="76"/>
      <c r="AB330" s="76"/>
      <c r="AC330" s="76"/>
      <c r="AD330" s="76"/>
      <c r="AE330" s="76"/>
      <c r="AF330" s="76"/>
    </row>
    <row r="331" spans="1:32" x14ac:dyDescent="0.35">
      <c r="A331" s="76"/>
      <c r="B331" s="82"/>
      <c r="C331" s="82"/>
      <c r="D331" s="76"/>
      <c r="E331" s="298"/>
      <c r="F331" s="76"/>
      <c r="G331" s="76"/>
      <c r="H331" s="76"/>
      <c r="I331" s="56"/>
      <c r="J331" s="56"/>
      <c r="K331" s="76"/>
      <c r="L331" s="76"/>
      <c r="M331" s="415"/>
      <c r="N331" s="298"/>
      <c r="S331" s="76"/>
      <c r="T331" s="236"/>
      <c r="U331" s="243"/>
      <c r="V331" s="236"/>
      <c r="W331" s="76"/>
      <c r="X331" s="76"/>
      <c r="Y331" s="76"/>
      <c r="Z331" s="76"/>
      <c r="AA331" s="76"/>
      <c r="AB331" s="76"/>
      <c r="AC331" s="76"/>
      <c r="AD331" s="76"/>
      <c r="AE331" s="76"/>
      <c r="AF331" s="76"/>
    </row>
    <row r="332" spans="1:32" x14ac:dyDescent="0.35">
      <c r="A332" s="76"/>
      <c r="B332" s="82"/>
      <c r="C332" s="82"/>
      <c r="D332" s="76"/>
      <c r="E332" s="298"/>
      <c r="F332" s="76"/>
      <c r="G332" s="76"/>
      <c r="H332" s="76"/>
      <c r="I332" s="56"/>
      <c r="J332" s="56"/>
      <c r="K332" s="76"/>
      <c r="L332" s="76"/>
      <c r="M332" s="415"/>
      <c r="N332" s="298"/>
      <c r="S332" s="76"/>
      <c r="T332" s="236"/>
      <c r="U332" s="243"/>
      <c r="V332" s="236"/>
      <c r="W332" s="76"/>
      <c r="X332" s="76"/>
      <c r="Y332" s="76"/>
      <c r="Z332" s="76"/>
      <c r="AA332" s="76"/>
      <c r="AB332" s="76"/>
      <c r="AC332" s="76"/>
      <c r="AD332" s="76"/>
      <c r="AE332" s="76"/>
      <c r="AF332" s="76"/>
    </row>
    <row r="333" spans="1:32" x14ac:dyDescent="0.35">
      <c r="U333" s="243"/>
    </row>
    <row r="334" spans="1:32" x14ac:dyDescent="0.35">
      <c r="U334" s="243"/>
    </row>
    <row r="335" spans="1:32" x14ac:dyDescent="0.35">
      <c r="U335" s="243"/>
    </row>
    <row r="336" spans="1:32" x14ac:dyDescent="0.35">
      <c r="U336" s="243"/>
    </row>
    <row r="337" spans="21:21" x14ac:dyDescent="0.35">
      <c r="U337" s="243"/>
    </row>
    <row r="338" spans="21:21" x14ac:dyDescent="0.35">
      <c r="U338" s="243"/>
    </row>
    <row r="339" spans="21:21" x14ac:dyDescent="0.35">
      <c r="U339" s="243"/>
    </row>
    <row r="340" spans="21:21" x14ac:dyDescent="0.35">
      <c r="U340" s="243"/>
    </row>
    <row r="341" spans="21:21" x14ac:dyDescent="0.35">
      <c r="U341" s="243"/>
    </row>
    <row r="342" spans="21:21" x14ac:dyDescent="0.35">
      <c r="U342" s="243"/>
    </row>
    <row r="343" spans="21:21" x14ac:dyDescent="0.35">
      <c r="U343" s="243"/>
    </row>
    <row r="344" spans="21:21" x14ac:dyDescent="0.35">
      <c r="U344" s="243"/>
    </row>
    <row r="345" spans="21:21" x14ac:dyDescent="0.35">
      <c r="U345" s="243"/>
    </row>
    <row r="346" spans="21:21" x14ac:dyDescent="0.35">
      <c r="U346" s="243"/>
    </row>
    <row r="347" spans="21:21" x14ac:dyDescent="0.35">
      <c r="U347" s="243"/>
    </row>
    <row r="348" spans="21:21" x14ac:dyDescent="0.35">
      <c r="U348" s="243"/>
    </row>
    <row r="349" spans="21:21" x14ac:dyDescent="0.35">
      <c r="U349" s="243"/>
    </row>
    <row r="350" spans="21:21" x14ac:dyDescent="0.35">
      <c r="U350" s="243"/>
    </row>
    <row r="351" spans="21:21" x14ac:dyDescent="0.35">
      <c r="U351" s="243"/>
    </row>
    <row r="352" spans="21:21" x14ac:dyDescent="0.35">
      <c r="U352" s="243"/>
    </row>
    <row r="353" spans="21:21" x14ac:dyDescent="0.35">
      <c r="U353" s="243"/>
    </row>
    <row r="354" spans="21:21" x14ac:dyDescent="0.35">
      <c r="U354" s="243"/>
    </row>
    <row r="355" spans="21:21" x14ac:dyDescent="0.35">
      <c r="U355" s="243"/>
    </row>
    <row r="356" spans="21:21" x14ac:dyDescent="0.35">
      <c r="U356" s="243"/>
    </row>
    <row r="357" spans="21:21" x14ac:dyDescent="0.35">
      <c r="U357" s="243"/>
    </row>
    <row r="358" spans="21:21" x14ac:dyDescent="0.35">
      <c r="U358" s="243"/>
    </row>
    <row r="359" spans="21:21" x14ac:dyDescent="0.35">
      <c r="U359" s="243"/>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287">
    <mergeCell ref="O259:P259"/>
    <mergeCell ref="Q259:R259"/>
    <mergeCell ref="O260:P260"/>
    <mergeCell ref="Q260:R260"/>
    <mergeCell ref="O256:P256"/>
    <mergeCell ref="Q256:R256"/>
    <mergeCell ref="O257:P257"/>
    <mergeCell ref="Q257:R257"/>
    <mergeCell ref="O258:P258"/>
    <mergeCell ref="Q258:R258"/>
    <mergeCell ref="O253:P253"/>
    <mergeCell ref="Q253:R253"/>
    <mergeCell ref="O254:P254"/>
    <mergeCell ref="Q254:R254"/>
    <mergeCell ref="O255:P255"/>
    <mergeCell ref="Q255:R255"/>
    <mergeCell ref="O250:P250"/>
    <mergeCell ref="Q250:R250"/>
    <mergeCell ref="O251:P251"/>
    <mergeCell ref="Q251:R251"/>
    <mergeCell ref="O252:P252"/>
    <mergeCell ref="Q252:R252"/>
    <mergeCell ref="O247:P247"/>
    <mergeCell ref="Q247:R247"/>
    <mergeCell ref="O248:P248"/>
    <mergeCell ref="Q248:R248"/>
    <mergeCell ref="O249:P249"/>
    <mergeCell ref="Q249:R249"/>
    <mergeCell ref="O244:P244"/>
    <mergeCell ref="Q244:R244"/>
    <mergeCell ref="O245:P245"/>
    <mergeCell ref="Q245:R245"/>
    <mergeCell ref="O246:P246"/>
    <mergeCell ref="Q246:R246"/>
    <mergeCell ref="O241:P241"/>
    <mergeCell ref="Q241:R241"/>
    <mergeCell ref="O242:P242"/>
    <mergeCell ref="Q242:R242"/>
    <mergeCell ref="O243:P243"/>
    <mergeCell ref="Q243:R243"/>
    <mergeCell ref="O238:P238"/>
    <mergeCell ref="Q238:R238"/>
    <mergeCell ref="O239:P239"/>
    <mergeCell ref="Q239:R239"/>
    <mergeCell ref="O240:P240"/>
    <mergeCell ref="Q240:R240"/>
    <mergeCell ref="O235:P235"/>
    <mergeCell ref="Q235:R235"/>
    <mergeCell ref="O236:P236"/>
    <mergeCell ref="Q236:R236"/>
    <mergeCell ref="O237:P237"/>
    <mergeCell ref="Q237:R237"/>
    <mergeCell ref="O232:P232"/>
    <mergeCell ref="Q232:R232"/>
    <mergeCell ref="O233:P233"/>
    <mergeCell ref="Q233:R233"/>
    <mergeCell ref="O234:P234"/>
    <mergeCell ref="Q234:R234"/>
    <mergeCell ref="O229:P229"/>
    <mergeCell ref="Q229:R229"/>
    <mergeCell ref="O230:P230"/>
    <mergeCell ref="Q230:R230"/>
    <mergeCell ref="O231:P231"/>
    <mergeCell ref="Q231:R231"/>
    <mergeCell ref="O226:P226"/>
    <mergeCell ref="Q226:R226"/>
    <mergeCell ref="O227:P227"/>
    <mergeCell ref="Q227:R227"/>
    <mergeCell ref="O228:P228"/>
    <mergeCell ref="Q228:R228"/>
    <mergeCell ref="O223:P223"/>
    <mergeCell ref="Q223:R223"/>
    <mergeCell ref="O224:P224"/>
    <mergeCell ref="Q224:R224"/>
    <mergeCell ref="O225:P225"/>
    <mergeCell ref="Q225:R225"/>
    <mergeCell ref="O220:P220"/>
    <mergeCell ref="Q220:R220"/>
    <mergeCell ref="O221:P221"/>
    <mergeCell ref="Q221:R221"/>
    <mergeCell ref="O222:P222"/>
    <mergeCell ref="Q222:R222"/>
    <mergeCell ref="O217:P217"/>
    <mergeCell ref="Q217:R217"/>
    <mergeCell ref="O218:P218"/>
    <mergeCell ref="Q218:R218"/>
    <mergeCell ref="O219:P219"/>
    <mergeCell ref="Q219:R219"/>
    <mergeCell ref="O214:P214"/>
    <mergeCell ref="Q214:R214"/>
    <mergeCell ref="O215:P215"/>
    <mergeCell ref="Q215:R215"/>
    <mergeCell ref="O216:P216"/>
    <mergeCell ref="Q216:R216"/>
    <mergeCell ref="O211:P211"/>
    <mergeCell ref="Q211:R211"/>
    <mergeCell ref="O212:P212"/>
    <mergeCell ref="Q212:R212"/>
    <mergeCell ref="O213:P213"/>
    <mergeCell ref="Q213:R213"/>
    <mergeCell ref="O208:P208"/>
    <mergeCell ref="Q208:R208"/>
    <mergeCell ref="O209:P209"/>
    <mergeCell ref="Q209:R209"/>
    <mergeCell ref="O210:P210"/>
    <mergeCell ref="Q210:R210"/>
    <mergeCell ref="O205:P205"/>
    <mergeCell ref="Q205:R205"/>
    <mergeCell ref="O206:P206"/>
    <mergeCell ref="Q206:R206"/>
    <mergeCell ref="O207:P207"/>
    <mergeCell ref="Q207:R207"/>
    <mergeCell ref="O202:P202"/>
    <mergeCell ref="Q202:R202"/>
    <mergeCell ref="O203:P203"/>
    <mergeCell ref="Q203:R203"/>
    <mergeCell ref="O204:P204"/>
    <mergeCell ref="Q204:R204"/>
    <mergeCell ref="O199:P199"/>
    <mergeCell ref="Q199:R199"/>
    <mergeCell ref="O200:P200"/>
    <mergeCell ref="Q200:R200"/>
    <mergeCell ref="O201:P201"/>
    <mergeCell ref="Q201:R201"/>
    <mergeCell ref="O196:P196"/>
    <mergeCell ref="Q196:R196"/>
    <mergeCell ref="O197:P197"/>
    <mergeCell ref="Q197:R197"/>
    <mergeCell ref="O198:P198"/>
    <mergeCell ref="Q198:R198"/>
    <mergeCell ref="O193:P193"/>
    <mergeCell ref="Q193:R193"/>
    <mergeCell ref="O194:P194"/>
    <mergeCell ref="Q194:R194"/>
    <mergeCell ref="O195:P195"/>
    <mergeCell ref="Q195:R195"/>
    <mergeCell ref="O190:P190"/>
    <mergeCell ref="Q190:R190"/>
    <mergeCell ref="O191:P191"/>
    <mergeCell ref="Q191:R191"/>
    <mergeCell ref="O192:P192"/>
    <mergeCell ref="Q192:R192"/>
    <mergeCell ref="O187:P187"/>
    <mergeCell ref="Q187:R187"/>
    <mergeCell ref="O188:P188"/>
    <mergeCell ref="Q188:R188"/>
    <mergeCell ref="O189:P189"/>
    <mergeCell ref="Q189:R189"/>
    <mergeCell ref="O184:P184"/>
    <mergeCell ref="Q184:R184"/>
    <mergeCell ref="O185:P185"/>
    <mergeCell ref="Q185:R185"/>
    <mergeCell ref="O186:P186"/>
    <mergeCell ref="Q186:R186"/>
    <mergeCell ref="O181:P181"/>
    <mergeCell ref="Q181:R181"/>
    <mergeCell ref="O182:P182"/>
    <mergeCell ref="Q182:R182"/>
    <mergeCell ref="O183:P183"/>
    <mergeCell ref="Q183:R183"/>
    <mergeCell ref="O178:P178"/>
    <mergeCell ref="Q178:R178"/>
    <mergeCell ref="O179:P179"/>
    <mergeCell ref="Q179:R179"/>
    <mergeCell ref="O180:P180"/>
    <mergeCell ref="Q180:R180"/>
    <mergeCell ref="O175:P175"/>
    <mergeCell ref="Q175:R175"/>
    <mergeCell ref="O176:P176"/>
    <mergeCell ref="Q176:R176"/>
    <mergeCell ref="O177:P177"/>
    <mergeCell ref="Q177:R177"/>
    <mergeCell ref="O172:P172"/>
    <mergeCell ref="Q172:R172"/>
    <mergeCell ref="O173:P173"/>
    <mergeCell ref="Q173:R173"/>
    <mergeCell ref="O174:P174"/>
    <mergeCell ref="Q174:R174"/>
    <mergeCell ref="O169:P169"/>
    <mergeCell ref="Q169:R169"/>
    <mergeCell ref="O170:P170"/>
    <mergeCell ref="Q170:R170"/>
    <mergeCell ref="O171:P171"/>
    <mergeCell ref="Q171:R171"/>
    <mergeCell ref="O166:P166"/>
    <mergeCell ref="Q166:R166"/>
    <mergeCell ref="O167:P167"/>
    <mergeCell ref="Q167:R167"/>
    <mergeCell ref="O168:P168"/>
    <mergeCell ref="Q168:R168"/>
    <mergeCell ref="O163:P163"/>
    <mergeCell ref="Q163:R163"/>
    <mergeCell ref="O164:P164"/>
    <mergeCell ref="Q164:R164"/>
    <mergeCell ref="O165:P165"/>
    <mergeCell ref="Q165:R165"/>
    <mergeCell ref="O160:P160"/>
    <mergeCell ref="Q160:R160"/>
    <mergeCell ref="O161:P161"/>
    <mergeCell ref="Q161:R161"/>
    <mergeCell ref="O162:P162"/>
    <mergeCell ref="Q162:R162"/>
    <mergeCell ref="O157:P157"/>
    <mergeCell ref="Q157:R157"/>
    <mergeCell ref="O158:P158"/>
    <mergeCell ref="Q158:R158"/>
    <mergeCell ref="O159:P159"/>
    <mergeCell ref="Q159:R159"/>
    <mergeCell ref="O154:P154"/>
    <mergeCell ref="Q154:R154"/>
    <mergeCell ref="O155:P155"/>
    <mergeCell ref="Q155:R155"/>
    <mergeCell ref="O156:P156"/>
    <mergeCell ref="Q156:R156"/>
    <mergeCell ref="O151:P151"/>
    <mergeCell ref="Q151:R151"/>
    <mergeCell ref="O152:P152"/>
    <mergeCell ref="Q152:R152"/>
    <mergeCell ref="O153:P153"/>
    <mergeCell ref="Q153:R153"/>
    <mergeCell ref="O148:P148"/>
    <mergeCell ref="Q148:R148"/>
    <mergeCell ref="O149:P149"/>
    <mergeCell ref="Q149:R149"/>
    <mergeCell ref="O150:P150"/>
    <mergeCell ref="Q150:R150"/>
    <mergeCell ref="O145:P145"/>
    <mergeCell ref="Q145:R145"/>
    <mergeCell ref="O146:P146"/>
    <mergeCell ref="Q146:R146"/>
    <mergeCell ref="O147:P147"/>
    <mergeCell ref="Q147:R147"/>
    <mergeCell ref="O142:P142"/>
    <mergeCell ref="Q142:R142"/>
    <mergeCell ref="O143:P143"/>
    <mergeCell ref="Q143:R143"/>
    <mergeCell ref="O144:P144"/>
    <mergeCell ref="Q144:R144"/>
    <mergeCell ref="O139:P139"/>
    <mergeCell ref="Q139:R139"/>
    <mergeCell ref="O140:P140"/>
    <mergeCell ref="Q140:R140"/>
    <mergeCell ref="O141:P141"/>
    <mergeCell ref="Q141:R141"/>
    <mergeCell ref="O136:P136"/>
    <mergeCell ref="Q136:R136"/>
    <mergeCell ref="O137:P137"/>
    <mergeCell ref="Q137:R137"/>
    <mergeCell ref="O138:P138"/>
    <mergeCell ref="Q138:R138"/>
    <mergeCell ref="O133:P133"/>
    <mergeCell ref="Q133:R133"/>
    <mergeCell ref="O134:P134"/>
    <mergeCell ref="Q134:R134"/>
    <mergeCell ref="O135:P135"/>
    <mergeCell ref="Q135:R135"/>
    <mergeCell ref="O130:P130"/>
    <mergeCell ref="Q130:R130"/>
    <mergeCell ref="O131:P131"/>
    <mergeCell ref="Q131:R131"/>
    <mergeCell ref="O132:P132"/>
    <mergeCell ref="Q132:R132"/>
    <mergeCell ref="O127:P127"/>
    <mergeCell ref="Q127:R127"/>
    <mergeCell ref="O128:P128"/>
    <mergeCell ref="Q128:R128"/>
    <mergeCell ref="O129:P129"/>
    <mergeCell ref="Q129:R129"/>
    <mergeCell ref="O124:P124"/>
    <mergeCell ref="Q124:R124"/>
    <mergeCell ref="O125:P125"/>
    <mergeCell ref="Q125:R125"/>
    <mergeCell ref="O126:P126"/>
    <mergeCell ref="Q126:R126"/>
    <mergeCell ref="O6:O8"/>
    <mergeCell ref="P6:P8"/>
    <mergeCell ref="Q6:Q8"/>
    <mergeCell ref="R6:R8"/>
    <mergeCell ref="S6:S8"/>
    <mergeCell ref="O123:P123"/>
    <mergeCell ref="Q123:R123"/>
    <mergeCell ref="A1:Y1"/>
    <mergeCell ref="O4:O5"/>
    <mergeCell ref="P4:P5"/>
    <mergeCell ref="Q4:Q5"/>
    <mergeCell ref="R4:R5"/>
    <mergeCell ref="S4:S5"/>
  </mergeCells>
  <conditionalFormatting sqref="R261:R1048576">
    <cfRule type="containsText" dxfId="69" priority="6" operator="containsText" text="No">
      <formula>NOT(ISERROR(SEARCH("No",R261)))</formula>
    </cfRule>
    <cfRule type="containsText" dxfId="68" priority="7" operator="containsText" text="Yes">
      <formula>NOT(ISERROR(SEARCH("Yes",R261)))</formula>
    </cfRule>
  </conditionalFormatting>
  <conditionalFormatting sqref="S261:S1048576">
    <cfRule type="containsText" dxfId="67" priority="3" operator="containsText" text="Rejected">
      <formula>NOT(ISERROR(SEARCH("Rejected",S261)))</formula>
    </cfRule>
    <cfRule type="containsText" dxfId="66" priority="4" operator="containsText" text="Revisions Needed">
      <formula>NOT(ISERROR(SEARCH("Revisions Needed",S261)))</formula>
    </cfRule>
    <cfRule type="containsText" dxfId="65" priority="5" operator="containsText" text="Approved">
      <formula>NOT(ISERROR(SEARCH("Approved",S261)))</formula>
    </cfRule>
  </conditionalFormatting>
  <conditionalFormatting sqref="T3:T9">
    <cfRule type="containsText" dxfId="64" priority="1" operator="containsText" text="Revisions Needed">
      <formula>NOT(ISERROR(SEARCH("Revisions Needed",T3)))</formula>
    </cfRule>
    <cfRule type="containsText" dxfId="63" priority="2" operator="containsText" text="Approved">
      <formula>NOT(ISERROR(SEARCH("Approved",T3)))</formula>
    </cfRule>
  </conditionalFormatting>
  <dataValidations count="3">
    <dataValidation type="list" allowBlank="1" showInputMessage="1" showErrorMessage="1" sqref="O261:Q1048576" xr:uid="{D980F5FF-75FC-439F-B2F2-7782534C4741}">
      <formula1>"No, Yes"</formula1>
    </dataValidation>
    <dataValidation type="list" allowBlank="1" sqref="S261:S1048576" xr:uid="{58C6FB35-3906-45B5-A5B0-D90DA93D75D0}">
      <formula1>"Approved,Revisions Needed, Rejected"</formula1>
    </dataValidation>
    <dataValidation type="list" allowBlank="1" showInputMessage="1" showErrorMessage="1" sqref="C261:C1048576" xr:uid="{05E3FF0F-8149-412B-A23F-D6691B2D3292}">
      <formula1>"Monthly, Yearly"</formula1>
    </dataValidation>
  </dataValidation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8DFC-F266-41FF-B314-6023B0CA5F36}">
  <sheetPr>
    <tabColor theme="6"/>
  </sheetPr>
  <dimension ref="A1:Y25"/>
  <sheetViews>
    <sheetView showGridLines="0" topLeftCell="F3" zoomScale="70" zoomScaleNormal="50" workbookViewId="0">
      <selection activeCell="T4" sqref="T4"/>
    </sheetView>
  </sheetViews>
  <sheetFormatPr defaultColWidth="8.54296875" defaultRowHeight="14.5" x14ac:dyDescent="0.35"/>
  <cols>
    <col min="1" max="1" width="5.1796875" customWidth="1"/>
    <col min="2" max="2" width="15.453125" style="399" bestFit="1" customWidth="1"/>
    <col min="3" max="3" width="12" customWidth="1"/>
    <col min="4" max="4" width="37.1796875" customWidth="1"/>
    <col min="5" max="5" width="33.453125" bestFit="1" customWidth="1"/>
    <col min="6" max="6" width="14.26953125" bestFit="1" customWidth="1"/>
    <col min="7" max="7" width="15.26953125" bestFit="1" customWidth="1"/>
    <col min="8" max="8" width="11.81640625" customWidth="1"/>
    <col min="9" max="9" width="15.453125" customWidth="1"/>
    <col min="10" max="10" width="13.26953125" customWidth="1"/>
    <col min="11" max="11" width="15.54296875" customWidth="1"/>
    <col min="12" max="12" width="12.81640625" customWidth="1"/>
    <col min="13" max="13" width="36" style="386" customWidth="1"/>
    <col min="14" max="14" width="27" bestFit="1" customWidth="1"/>
    <col min="15" max="15" width="4.26953125" bestFit="1" customWidth="1"/>
    <col min="16" max="16" width="5.453125" customWidth="1"/>
    <col min="17" max="17" width="4.453125" customWidth="1"/>
    <col min="18" max="18" width="49.453125" customWidth="1"/>
    <col min="19" max="19" width="17" customWidth="1"/>
    <col min="20" max="20" width="22.1796875" style="406" customWidth="1"/>
    <col min="21" max="21" width="48.453125" customWidth="1"/>
    <col min="22" max="22" width="15.81640625" customWidth="1"/>
    <col min="23" max="23" width="25" bestFit="1" customWidth="1"/>
    <col min="24" max="24" width="8.7265625" bestFit="1" customWidth="1"/>
    <col min="25" max="25" width="25" customWidth="1"/>
  </cols>
  <sheetData>
    <row r="1" spans="1:25" ht="21" x14ac:dyDescent="0.35">
      <c r="A1" s="525" t="s">
        <v>297</v>
      </c>
      <c r="B1" s="525"/>
      <c r="C1" s="525"/>
      <c r="D1" s="525"/>
      <c r="E1" s="525"/>
      <c r="F1" s="525"/>
      <c r="G1" s="525"/>
      <c r="H1" s="525"/>
      <c r="I1" s="525"/>
      <c r="J1" s="525"/>
      <c r="K1" s="525"/>
      <c r="L1" s="525"/>
      <c r="M1" s="525"/>
      <c r="N1" s="525"/>
      <c r="O1" s="525"/>
      <c r="P1" s="525"/>
      <c r="Q1" s="525"/>
      <c r="R1" s="525"/>
      <c r="S1" s="525"/>
      <c r="T1" s="525"/>
      <c r="U1" s="525"/>
      <c r="V1" s="525"/>
      <c r="W1" s="525"/>
      <c r="X1" s="525"/>
      <c r="Y1" s="525"/>
    </row>
    <row r="2" spans="1:25" ht="21" x14ac:dyDescent="0.35">
      <c r="A2" s="526" t="s">
        <v>298</v>
      </c>
      <c r="B2" s="527"/>
      <c r="C2" s="527"/>
      <c r="D2" s="527"/>
      <c r="E2" s="527"/>
      <c r="F2" s="527"/>
      <c r="G2" s="527"/>
      <c r="H2" s="527"/>
      <c r="I2" s="527"/>
      <c r="J2" s="527"/>
      <c r="K2" s="527"/>
      <c r="L2" s="527"/>
      <c r="M2" s="527"/>
      <c r="N2" s="527"/>
      <c r="O2" s="527"/>
      <c r="P2" s="527"/>
      <c r="Q2" s="527"/>
      <c r="R2" s="527"/>
      <c r="S2" s="527"/>
      <c r="T2" s="527"/>
      <c r="U2" s="527"/>
      <c r="V2" s="527"/>
      <c r="W2" s="527"/>
      <c r="X2" s="527"/>
      <c r="Y2" s="528"/>
    </row>
    <row r="3" spans="1:25" ht="48" x14ac:dyDescent="0.35">
      <c r="A3" s="377" t="s">
        <v>9</v>
      </c>
      <c r="B3" s="377" t="s">
        <v>10</v>
      </c>
      <c r="C3" s="377" t="s">
        <v>11</v>
      </c>
      <c r="D3" s="377" t="s">
        <v>12</v>
      </c>
      <c r="E3" s="377" t="s">
        <v>13</v>
      </c>
      <c r="F3" s="377" t="s">
        <v>14</v>
      </c>
      <c r="G3" s="377" t="s">
        <v>228</v>
      </c>
      <c r="H3" s="377" t="s">
        <v>15</v>
      </c>
      <c r="I3" s="377" t="s">
        <v>16</v>
      </c>
      <c r="J3" s="377" t="s">
        <v>17</v>
      </c>
      <c r="K3" s="377" t="s">
        <v>18</v>
      </c>
      <c r="L3" s="377" t="s">
        <v>19</v>
      </c>
      <c r="M3" s="377" t="s">
        <v>20</v>
      </c>
      <c r="N3" s="377" t="s">
        <v>21</v>
      </c>
      <c r="O3" s="377" t="s">
        <v>22</v>
      </c>
      <c r="P3" s="377" t="s">
        <v>23</v>
      </c>
      <c r="Q3" s="377" t="s">
        <v>24</v>
      </c>
      <c r="R3" s="377" t="s">
        <v>25</v>
      </c>
      <c r="S3" s="377" t="s">
        <v>299</v>
      </c>
      <c r="T3" s="377" t="s">
        <v>300</v>
      </c>
      <c r="U3" s="377" t="s">
        <v>301</v>
      </c>
      <c r="V3" s="377" t="s">
        <v>302</v>
      </c>
      <c r="W3" s="377" t="s">
        <v>303</v>
      </c>
      <c r="X3" s="377" t="s">
        <v>29</v>
      </c>
      <c r="Y3" s="377" t="s">
        <v>30</v>
      </c>
    </row>
    <row r="4" spans="1:25" ht="128" x14ac:dyDescent="0.4">
      <c r="A4" s="350">
        <v>1</v>
      </c>
      <c r="B4" s="396" t="s">
        <v>304</v>
      </c>
      <c r="C4" s="360" t="s">
        <v>46</v>
      </c>
      <c r="D4" s="350" t="s">
        <v>305</v>
      </c>
      <c r="E4" s="350" t="s">
        <v>306</v>
      </c>
      <c r="F4" s="350" t="s">
        <v>49</v>
      </c>
      <c r="G4" s="350" t="s">
        <v>307</v>
      </c>
      <c r="H4" s="350" t="s">
        <v>308</v>
      </c>
      <c r="I4" s="350">
        <v>149</v>
      </c>
      <c r="J4" s="360"/>
      <c r="K4" s="350" t="s">
        <v>309</v>
      </c>
      <c r="L4" s="360"/>
      <c r="M4" s="380" t="s">
        <v>310</v>
      </c>
      <c r="N4" s="350" t="s">
        <v>311</v>
      </c>
      <c r="O4" s="360" t="s">
        <v>55</v>
      </c>
      <c r="P4" s="360" t="s">
        <v>55</v>
      </c>
      <c r="Q4" s="361" t="s">
        <v>150</v>
      </c>
      <c r="R4" s="360" t="s">
        <v>312</v>
      </c>
      <c r="S4" s="360" t="s">
        <v>313</v>
      </c>
      <c r="T4" s="360" t="s">
        <v>56</v>
      </c>
      <c r="U4" s="360"/>
      <c r="V4" s="362"/>
      <c r="W4" s="363"/>
      <c r="X4" s="387" t="s">
        <v>314</v>
      </c>
      <c r="Y4" s="363"/>
    </row>
    <row r="5" spans="1:25" ht="192" x14ac:dyDescent="0.4">
      <c r="A5" s="351">
        <v>2</v>
      </c>
      <c r="B5" s="397" t="s">
        <v>304</v>
      </c>
      <c r="C5" s="364" t="s">
        <v>46</v>
      </c>
      <c r="D5" s="351" t="s">
        <v>305</v>
      </c>
      <c r="E5" s="351" t="s">
        <v>315</v>
      </c>
      <c r="F5" s="351" t="s">
        <v>49</v>
      </c>
      <c r="G5" s="351" t="s">
        <v>307</v>
      </c>
      <c r="H5" s="351" t="s">
        <v>308</v>
      </c>
      <c r="I5" s="351">
        <v>80</v>
      </c>
      <c r="J5" s="364"/>
      <c r="K5" s="351" t="s">
        <v>309</v>
      </c>
      <c r="L5" s="364"/>
      <c r="M5" s="378" t="s">
        <v>316</v>
      </c>
      <c r="N5" s="364"/>
      <c r="O5" s="364" t="s">
        <v>55</v>
      </c>
      <c r="P5" s="364" t="s">
        <v>55</v>
      </c>
      <c r="Q5" s="365" t="s">
        <v>150</v>
      </c>
      <c r="R5" s="364" t="s">
        <v>312</v>
      </c>
      <c r="S5" s="364" t="s">
        <v>313</v>
      </c>
      <c r="T5" s="364" t="s">
        <v>56</v>
      </c>
      <c r="U5" s="364"/>
      <c r="V5" s="366"/>
      <c r="W5" s="367"/>
      <c r="X5" s="389" t="s">
        <v>314</v>
      </c>
      <c r="Y5" s="367"/>
    </row>
    <row r="6" spans="1:25" ht="256" x14ac:dyDescent="0.4">
      <c r="A6" s="351">
        <v>3</v>
      </c>
      <c r="B6" s="397" t="s">
        <v>304</v>
      </c>
      <c r="C6" s="364" t="s">
        <v>46</v>
      </c>
      <c r="D6" s="353" t="s">
        <v>305</v>
      </c>
      <c r="E6" s="354" t="s">
        <v>317</v>
      </c>
      <c r="F6" s="351" t="s">
        <v>49</v>
      </c>
      <c r="G6" s="353" t="s">
        <v>307</v>
      </c>
      <c r="H6" s="353" t="s">
        <v>308</v>
      </c>
      <c r="I6" s="353">
        <v>149</v>
      </c>
      <c r="J6" s="364"/>
      <c r="K6" s="351" t="s">
        <v>309</v>
      </c>
      <c r="L6" s="364"/>
      <c r="M6" s="381" t="s">
        <v>318</v>
      </c>
      <c r="N6" s="351" t="s">
        <v>319</v>
      </c>
      <c r="O6" s="364" t="s">
        <v>55</v>
      </c>
      <c r="P6" s="364" t="s">
        <v>55</v>
      </c>
      <c r="Q6" s="365" t="s">
        <v>150</v>
      </c>
      <c r="R6" s="364" t="s">
        <v>312</v>
      </c>
      <c r="S6" s="364" t="s">
        <v>313</v>
      </c>
      <c r="T6" s="364" t="s">
        <v>56</v>
      </c>
      <c r="U6" s="364"/>
      <c r="V6" s="366"/>
      <c r="W6" s="369"/>
      <c r="X6" s="388" t="s">
        <v>314</v>
      </c>
      <c r="Y6" s="366"/>
    </row>
    <row r="7" spans="1:25" ht="35.15" customHeight="1" x14ac:dyDescent="0.4">
      <c r="A7" s="351">
        <v>4</v>
      </c>
      <c r="B7" s="397" t="s">
        <v>304</v>
      </c>
      <c r="C7" s="370" t="s">
        <v>46</v>
      </c>
      <c r="D7" s="351" t="s">
        <v>320</v>
      </c>
      <c r="E7" s="352" t="s">
        <v>321</v>
      </c>
      <c r="F7" s="355" t="s">
        <v>49</v>
      </c>
      <c r="G7" s="351" t="s">
        <v>322</v>
      </c>
      <c r="H7" s="356" t="s">
        <v>308</v>
      </c>
      <c r="I7" s="351">
        <v>83</v>
      </c>
      <c r="J7" s="362"/>
      <c r="K7" s="351" t="s">
        <v>309</v>
      </c>
      <c r="L7" s="371"/>
      <c r="M7" s="381" t="s">
        <v>323</v>
      </c>
      <c r="N7" s="379" t="s">
        <v>324</v>
      </c>
      <c r="O7" s="364" t="s">
        <v>55</v>
      </c>
      <c r="P7" s="364" t="s">
        <v>55</v>
      </c>
      <c r="Q7" s="364" t="s">
        <v>55</v>
      </c>
      <c r="R7" s="363"/>
      <c r="S7" s="364" t="s">
        <v>313</v>
      </c>
      <c r="T7" s="403" t="s">
        <v>56</v>
      </c>
      <c r="U7" s="363"/>
      <c r="V7" s="367"/>
      <c r="W7" s="369"/>
      <c r="X7" s="388" t="s">
        <v>325</v>
      </c>
      <c r="Y7" s="366"/>
    </row>
    <row r="8" spans="1:25" ht="64" x14ac:dyDescent="0.4">
      <c r="A8" s="351">
        <v>5</v>
      </c>
      <c r="B8" s="398" t="s">
        <v>304</v>
      </c>
      <c r="C8" s="372" t="s">
        <v>46</v>
      </c>
      <c r="D8" s="353" t="s">
        <v>320</v>
      </c>
      <c r="E8" s="354" t="s">
        <v>326</v>
      </c>
      <c r="F8" s="355" t="s">
        <v>49</v>
      </c>
      <c r="G8" s="351" t="s">
        <v>322</v>
      </c>
      <c r="H8" s="351" t="s">
        <v>308</v>
      </c>
      <c r="I8" s="351">
        <v>83</v>
      </c>
      <c r="J8" s="373"/>
      <c r="K8" s="351" t="s">
        <v>309</v>
      </c>
      <c r="L8" s="370"/>
      <c r="M8" s="381" t="s">
        <v>327</v>
      </c>
      <c r="N8" s="379" t="s">
        <v>324</v>
      </c>
      <c r="O8" s="364" t="s">
        <v>55</v>
      </c>
      <c r="P8" s="364" t="s">
        <v>55</v>
      </c>
      <c r="Q8" s="364" t="s">
        <v>55</v>
      </c>
      <c r="R8" s="367"/>
      <c r="S8" s="364" t="s">
        <v>313</v>
      </c>
      <c r="T8" s="404" t="s">
        <v>56</v>
      </c>
      <c r="U8" s="367"/>
      <c r="V8" s="367"/>
      <c r="W8" s="369"/>
      <c r="X8" s="388" t="s">
        <v>325</v>
      </c>
      <c r="Y8" s="366"/>
    </row>
    <row r="9" spans="1:25" ht="64" x14ac:dyDescent="0.4">
      <c r="A9" s="369">
        <v>6</v>
      </c>
      <c r="B9" s="398" t="s">
        <v>304</v>
      </c>
      <c r="C9" s="368" t="s">
        <v>46</v>
      </c>
      <c r="D9" s="353" t="s">
        <v>328</v>
      </c>
      <c r="E9" s="353" t="s">
        <v>329</v>
      </c>
      <c r="F9" s="357" t="s">
        <v>49</v>
      </c>
      <c r="G9" s="353" t="s">
        <v>322</v>
      </c>
      <c r="H9" s="353" t="s">
        <v>308</v>
      </c>
      <c r="I9" s="374">
        <v>27</v>
      </c>
      <c r="J9" s="375"/>
      <c r="K9" s="353" t="s">
        <v>309</v>
      </c>
      <c r="L9" s="376"/>
      <c r="M9" s="382" t="s">
        <v>327</v>
      </c>
      <c r="N9" s="379" t="s">
        <v>324</v>
      </c>
      <c r="O9" s="365" t="s">
        <v>330</v>
      </c>
      <c r="P9" s="364" t="s">
        <v>55</v>
      </c>
      <c r="Q9" s="364" t="s">
        <v>331</v>
      </c>
      <c r="R9" s="364" t="s">
        <v>332</v>
      </c>
      <c r="S9" s="364" t="s">
        <v>313</v>
      </c>
      <c r="T9" s="404" t="s">
        <v>56</v>
      </c>
      <c r="U9" s="367"/>
      <c r="V9" s="367"/>
      <c r="W9" s="367"/>
      <c r="X9" s="388" t="s">
        <v>325</v>
      </c>
      <c r="Y9" s="367"/>
    </row>
    <row r="10" spans="1:25" ht="32" x14ac:dyDescent="0.4">
      <c r="A10" s="369">
        <v>7</v>
      </c>
      <c r="B10" s="397" t="s">
        <v>304</v>
      </c>
      <c r="C10" s="364" t="s">
        <v>46</v>
      </c>
      <c r="D10" s="351" t="s">
        <v>328</v>
      </c>
      <c r="E10" s="351" t="s">
        <v>333</v>
      </c>
      <c r="F10" s="351" t="s">
        <v>49</v>
      </c>
      <c r="G10" s="351" t="s">
        <v>322</v>
      </c>
      <c r="H10" s="351" t="s">
        <v>308</v>
      </c>
      <c r="I10" s="364">
        <v>23</v>
      </c>
      <c r="J10" s="364"/>
      <c r="K10" s="351" t="s">
        <v>309</v>
      </c>
      <c r="L10" s="370"/>
      <c r="M10" s="383" t="s">
        <v>323</v>
      </c>
      <c r="N10" s="379" t="s">
        <v>324</v>
      </c>
      <c r="O10" s="365" t="s">
        <v>330</v>
      </c>
      <c r="P10" s="364" t="s">
        <v>55</v>
      </c>
      <c r="Q10" s="364" t="s">
        <v>331</v>
      </c>
      <c r="R10" s="364" t="s">
        <v>332</v>
      </c>
      <c r="S10" s="364" t="s">
        <v>313</v>
      </c>
      <c r="T10" s="404" t="s">
        <v>56</v>
      </c>
      <c r="U10" s="367"/>
      <c r="V10" s="367"/>
      <c r="W10" s="367"/>
      <c r="X10" s="388" t="s">
        <v>325</v>
      </c>
      <c r="Y10" s="367"/>
    </row>
    <row r="11" spans="1:25" ht="64" x14ac:dyDescent="0.4">
      <c r="A11" s="369">
        <v>8</v>
      </c>
      <c r="B11" s="398" t="s">
        <v>304</v>
      </c>
      <c r="C11" s="368" t="s">
        <v>46</v>
      </c>
      <c r="D11" s="353" t="s">
        <v>334</v>
      </c>
      <c r="E11" s="353" t="s">
        <v>335</v>
      </c>
      <c r="F11" s="351" t="s">
        <v>49</v>
      </c>
      <c r="G11" s="351" t="s">
        <v>322</v>
      </c>
      <c r="H11" s="351" t="s">
        <v>308</v>
      </c>
      <c r="I11" s="364">
        <v>227</v>
      </c>
      <c r="J11" s="364"/>
      <c r="K11" s="351" t="s">
        <v>309</v>
      </c>
      <c r="L11" s="370"/>
      <c r="M11" s="383" t="s">
        <v>327</v>
      </c>
      <c r="N11" s="379" t="s">
        <v>324</v>
      </c>
      <c r="O11" s="365" t="s">
        <v>330</v>
      </c>
      <c r="P11" s="364" t="s">
        <v>55</v>
      </c>
      <c r="Q11" s="364" t="s">
        <v>331</v>
      </c>
      <c r="R11" s="364" t="s">
        <v>332</v>
      </c>
      <c r="S11" s="364" t="s">
        <v>313</v>
      </c>
      <c r="T11" s="404" t="s">
        <v>56</v>
      </c>
      <c r="U11" s="367"/>
      <c r="V11" s="367"/>
      <c r="W11" s="367"/>
      <c r="X11" s="388" t="s">
        <v>325</v>
      </c>
      <c r="Y11" s="367"/>
    </row>
    <row r="12" spans="1:25" ht="32" x14ac:dyDescent="0.4">
      <c r="A12" s="369">
        <v>9</v>
      </c>
      <c r="B12" s="397" t="s">
        <v>304</v>
      </c>
      <c r="C12" s="364" t="s">
        <v>46</v>
      </c>
      <c r="D12" s="351" t="s">
        <v>334</v>
      </c>
      <c r="E12" s="351" t="s">
        <v>336</v>
      </c>
      <c r="F12" s="358" t="s">
        <v>49</v>
      </c>
      <c r="G12" s="351" t="s">
        <v>322</v>
      </c>
      <c r="H12" s="351" t="s">
        <v>308</v>
      </c>
      <c r="I12" s="364">
        <v>27</v>
      </c>
      <c r="J12" s="364"/>
      <c r="K12" s="351" t="s">
        <v>309</v>
      </c>
      <c r="L12" s="364"/>
      <c r="M12" s="384" t="s">
        <v>323</v>
      </c>
      <c r="N12" s="379" t="s">
        <v>324</v>
      </c>
      <c r="O12" s="365" t="s">
        <v>330</v>
      </c>
      <c r="P12" s="364" t="s">
        <v>55</v>
      </c>
      <c r="Q12" s="364" t="s">
        <v>331</v>
      </c>
      <c r="R12" s="364" t="s">
        <v>332</v>
      </c>
      <c r="S12" s="364" t="s">
        <v>313</v>
      </c>
      <c r="T12" s="404" t="s">
        <v>56</v>
      </c>
      <c r="U12" s="367"/>
      <c r="V12" s="367"/>
      <c r="W12" s="367"/>
      <c r="X12" s="388" t="s">
        <v>325</v>
      </c>
      <c r="Y12" s="367"/>
    </row>
    <row r="13" spans="1:25" ht="112" x14ac:dyDescent="0.4">
      <c r="A13" s="369">
        <v>10</v>
      </c>
      <c r="B13" s="397" t="s">
        <v>304</v>
      </c>
      <c r="C13" s="364" t="s">
        <v>46</v>
      </c>
      <c r="D13" s="351" t="s">
        <v>337</v>
      </c>
      <c r="E13" s="351" t="s">
        <v>338</v>
      </c>
      <c r="F13" s="358" t="s">
        <v>49</v>
      </c>
      <c r="G13" s="351" t="s">
        <v>322</v>
      </c>
      <c r="H13" s="351" t="s">
        <v>308</v>
      </c>
      <c r="I13" s="360">
        <v>25</v>
      </c>
      <c r="J13" s="360"/>
      <c r="K13" s="351" t="s">
        <v>309</v>
      </c>
      <c r="L13" s="371"/>
      <c r="M13" s="385" t="s">
        <v>339</v>
      </c>
      <c r="N13" s="379" t="s">
        <v>324</v>
      </c>
      <c r="O13" s="365" t="s">
        <v>330</v>
      </c>
      <c r="P13" s="364" t="s">
        <v>55</v>
      </c>
      <c r="Q13" s="364" t="s">
        <v>331</v>
      </c>
      <c r="R13" s="364" t="s">
        <v>332</v>
      </c>
      <c r="S13" s="364" t="s">
        <v>313</v>
      </c>
      <c r="T13" s="404" t="s">
        <v>56</v>
      </c>
      <c r="U13" s="367"/>
      <c r="V13" s="367"/>
      <c r="W13" s="367"/>
      <c r="X13" s="388" t="s">
        <v>325</v>
      </c>
      <c r="Y13" s="367"/>
    </row>
    <row r="14" spans="1:25" ht="92.5" customHeight="1" x14ac:dyDescent="0.4">
      <c r="A14" s="376">
        <v>11</v>
      </c>
      <c r="B14" s="398" t="s">
        <v>304</v>
      </c>
      <c r="C14" s="368" t="s">
        <v>46</v>
      </c>
      <c r="D14" s="353" t="s">
        <v>337</v>
      </c>
      <c r="E14" s="353" t="s">
        <v>340</v>
      </c>
      <c r="F14" s="359" t="s">
        <v>49</v>
      </c>
      <c r="G14" s="353" t="s">
        <v>322</v>
      </c>
      <c r="H14" s="353" t="s">
        <v>308</v>
      </c>
      <c r="I14" s="368">
        <v>29</v>
      </c>
      <c r="J14" s="368"/>
      <c r="K14" s="353" t="s">
        <v>309</v>
      </c>
      <c r="L14" s="376"/>
      <c r="M14" s="381" t="s">
        <v>341</v>
      </c>
      <c r="N14" s="379" t="s">
        <v>324</v>
      </c>
      <c r="O14" s="365" t="s">
        <v>330</v>
      </c>
      <c r="P14" s="364" t="s">
        <v>55</v>
      </c>
      <c r="Q14" s="364" t="s">
        <v>331</v>
      </c>
      <c r="R14" s="364" t="s">
        <v>332</v>
      </c>
      <c r="S14" s="364" t="s">
        <v>313</v>
      </c>
      <c r="T14" s="404" t="s">
        <v>56</v>
      </c>
      <c r="U14" s="367"/>
      <c r="V14" s="367"/>
      <c r="W14" s="367"/>
      <c r="X14" s="388" t="s">
        <v>325</v>
      </c>
      <c r="Y14" s="367"/>
    </row>
    <row r="15" spans="1:25" ht="409.5" hidden="1" customHeight="1" x14ac:dyDescent="0.4">
      <c r="A15" s="364">
        <v>12</v>
      </c>
      <c r="B15" s="398" t="s">
        <v>304</v>
      </c>
      <c r="C15" s="368" t="s">
        <v>67</v>
      </c>
      <c r="D15" s="354" t="s">
        <v>342</v>
      </c>
      <c r="E15" s="353" t="s">
        <v>343</v>
      </c>
      <c r="F15" s="353" t="s">
        <v>49</v>
      </c>
      <c r="G15" s="353" t="s">
        <v>344</v>
      </c>
      <c r="H15" s="353" t="s">
        <v>345</v>
      </c>
      <c r="I15" s="368" t="s">
        <v>154</v>
      </c>
      <c r="J15" s="368"/>
      <c r="K15" s="353" t="s">
        <v>53</v>
      </c>
      <c r="L15" s="353">
        <v>2</v>
      </c>
      <c r="M15" s="381" t="s">
        <v>346</v>
      </c>
      <c r="N15" s="391" t="s">
        <v>347</v>
      </c>
      <c r="O15" s="392" t="s">
        <v>330</v>
      </c>
      <c r="P15" s="392" t="s">
        <v>330</v>
      </c>
      <c r="Q15" s="392" t="s">
        <v>330</v>
      </c>
      <c r="R15" s="393" t="s">
        <v>348</v>
      </c>
      <c r="S15" s="368" t="s">
        <v>313</v>
      </c>
      <c r="T15" s="368" t="s">
        <v>349</v>
      </c>
      <c r="U15" s="402" t="s">
        <v>350</v>
      </c>
      <c r="V15" s="375"/>
      <c r="W15" s="375"/>
      <c r="X15" s="368" t="s">
        <v>352</v>
      </c>
      <c r="Y15" s="375"/>
    </row>
    <row r="16" spans="1:25" ht="245.5" hidden="1" customHeight="1" x14ac:dyDescent="0.35">
      <c r="A16" s="372">
        <v>13</v>
      </c>
      <c r="B16" s="398" t="s">
        <v>353</v>
      </c>
      <c r="C16" s="368" t="s">
        <v>46</v>
      </c>
      <c r="D16" s="354" t="s">
        <v>354</v>
      </c>
      <c r="E16" s="354" t="s">
        <v>246</v>
      </c>
      <c r="F16" s="353" t="s">
        <v>49</v>
      </c>
      <c r="G16" s="353" t="s">
        <v>344</v>
      </c>
      <c r="H16" s="230" t="s">
        <v>71</v>
      </c>
      <c r="I16" s="268" t="s">
        <v>154</v>
      </c>
      <c r="J16" s="268"/>
      <c r="K16" s="230" t="s">
        <v>74</v>
      </c>
      <c r="L16" s="268"/>
      <c r="M16" s="269" t="s">
        <v>355</v>
      </c>
      <c r="N16" s="268"/>
      <c r="O16" s="392" t="s">
        <v>330</v>
      </c>
      <c r="P16" s="392" t="s">
        <v>331</v>
      </c>
      <c r="Q16" s="392" t="s">
        <v>331</v>
      </c>
      <c r="R16" s="171" t="s">
        <v>356</v>
      </c>
      <c r="S16" s="368" t="s">
        <v>357</v>
      </c>
      <c r="T16" s="368" t="s">
        <v>349</v>
      </c>
      <c r="U16" s="142" t="s">
        <v>358</v>
      </c>
      <c r="V16" s="268"/>
      <c r="W16" s="268"/>
      <c r="X16" s="368" t="s">
        <v>352</v>
      </c>
      <c r="Y16" s="268"/>
    </row>
    <row r="17" spans="1:25" x14ac:dyDescent="0.35">
      <c r="A17" s="394"/>
      <c r="B17" s="245"/>
      <c r="C17" s="394"/>
      <c r="D17" s="394"/>
      <c r="E17" s="394"/>
      <c r="F17" s="394"/>
      <c r="G17" s="394"/>
      <c r="H17" s="394"/>
      <c r="I17" s="394"/>
      <c r="J17" s="394"/>
      <c r="K17" s="394"/>
      <c r="L17" s="394"/>
      <c r="M17" s="395"/>
      <c r="N17" s="394"/>
      <c r="O17" s="394"/>
      <c r="P17" s="394"/>
      <c r="Q17" s="394"/>
      <c r="R17" s="394"/>
      <c r="S17" s="394"/>
      <c r="T17" s="405"/>
      <c r="U17" s="394"/>
      <c r="V17" s="394"/>
      <c r="W17" s="394"/>
      <c r="X17" s="394"/>
      <c r="Y17" s="394"/>
    </row>
    <row r="18" spans="1:25" x14ac:dyDescent="0.35">
      <c r="A18" s="394"/>
      <c r="B18" s="245"/>
      <c r="C18" s="394"/>
      <c r="D18" s="394"/>
      <c r="E18" s="394"/>
      <c r="F18" s="394"/>
      <c r="G18" s="394"/>
      <c r="H18" s="394"/>
      <c r="I18" s="394"/>
      <c r="J18" s="394"/>
      <c r="K18" s="394"/>
      <c r="L18" s="394"/>
      <c r="M18" s="395"/>
      <c r="N18" s="394"/>
      <c r="O18" s="394"/>
      <c r="P18" s="394"/>
      <c r="Q18" s="394"/>
      <c r="R18" s="394"/>
      <c r="S18" s="394"/>
      <c r="T18" s="405"/>
      <c r="U18" s="394"/>
      <c r="V18" s="394"/>
      <c r="W18" s="394"/>
      <c r="X18" s="394"/>
      <c r="Y18" s="394"/>
    </row>
    <row r="19" spans="1:25" x14ac:dyDescent="0.35">
      <c r="A19" s="394"/>
      <c r="B19" s="245"/>
      <c r="C19" s="394"/>
      <c r="D19" s="394"/>
      <c r="E19" s="394"/>
      <c r="F19" s="394"/>
      <c r="G19" s="394"/>
      <c r="H19" s="394"/>
      <c r="I19" s="394"/>
      <c r="J19" s="394"/>
      <c r="K19" s="394"/>
      <c r="L19" s="394"/>
      <c r="M19" s="395"/>
      <c r="N19" s="394"/>
      <c r="O19" s="394"/>
      <c r="P19" s="394"/>
      <c r="Q19" s="394"/>
      <c r="R19" s="394"/>
      <c r="S19" s="394"/>
      <c r="T19" s="405"/>
      <c r="U19" s="394"/>
      <c r="V19" s="394"/>
      <c r="W19" s="394"/>
      <c r="X19" s="394"/>
      <c r="Y19" s="394"/>
    </row>
    <row r="20" spans="1:25" x14ac:dyDescent="0.35">
      <c r="A20" s="394"/>
      <c r="B20" s="245"/>
      <c r="C20" s="394"/>
      <c r="D20" s="394"/>
      <c r="E20" s="394"/>
      <c r="F20" s="394"/>
      <c r="G20" s="394"/>
      <c r="H20" s="394"/>
      <c r="I20" s="394"/>
      <c r="J20" s="394"/>
      <c r="K20" s="394"/>
      <c r="L20" s="394"/>
      <c r="M20" s="395"/>
      <c r="N20" s="394"/>
      <c r="O20" s="394"/>
      <c r="P20" s="394"/>
      <c r="Q20" s="394"/>
      <c r="R20" s="394"/>
      <c r="S20" s="394"/>
      <c r="T20" s="405"/>
      <c r="U20" s="394"/>
      <c r="V20" s="394"/>
      <c r="W20" s="394"/>
      <c r="X20" s="394"/>
      <c r="Y20" s="394"/>
    </row>
    <row r="21" spans="1:25" x14ac:dyDescent="0.35">
      <c r="A21" s="394"/>
      <c r="B21" s="245"/>
      <c r="C21" s="394"/>
      <c r="D21" s="394"/>
      <c r="E21" s="394"/>
      <c r="F21" s="394"/>
      <c r="G21" s="394"/>
      <c r="H21" s="394"/>
      <c r="I21" s="394"/>
      <c r="J21" s="394"/>
      <c r="K21" s="394"/>
      <c r="L21" s="394"/>
      <c r="M21" s="395"/>
      <c r="N21" s="394"/>
      <c r="O21" s="394"/>
      <c r="P21" s="394"/>
      <c r="Q21" s="394"/>
      <c r="R21" s="394"/>
      <c r="S21" s="394"/>
      <c r="T21" s="405"/>
      <c r="U21" s="394"/>
      <c r="V21" s="394"/>
      <c r="W21" s="394"/>
      <c r="X21" s="394"/>
      <c r="Y21" s="394"/>
    </row>
    <row r="22" spans="1:25" x14ac:dyDescent="0.35">
      <c r="A22" s="394"/>
      <c r="B22" s="245"/>
      <c r="C22" s="394"/>
      <c r="D22" s="394"/>
      <c r="E22" s="394"/>
      <c r="F22" s="394"/>
      <c r="G22" s="394"/>
      <c r="H22" s="394"/>
      <c r="I22" s="394"/>
      <c r="J22" s="394"/>
      <c r="K22" s="394"/>
      <c r="L22" s="394"/>
      <c r="M22" s="395"/>
      <c r="N22" s="394"/>
      <c r="O22" s="394"/>
      <c r="P22" s="394"/>
      <c r="Q22" s="394"/>
      <c r="R22" s="394"/>
      <c r="S22" s="394"/>
      <c r="T22" s="405"/>
      <c r="U22" s="394"/>
      <c r="V22" s="394"/>
      <c r="W22" s="394"/>
      <c r="X22" s="394"/>
      <c r="Y22" s="394"/>
    </row>
    <row r="23" spans="1:25" x14ac:dyDescent="0.35">
      <c r="A23" s="394"/>
      <c r="B23" s="245"/>
      <c r="C23" s="394"/>
      <c r="D23" s="394"/>
      <c r="E23" s="394"/>
      <c r="F23" s="394"/>
      <c r="G23" s="394"/>
      <c r="H23" s="394"/>
      <c r="I23" s="394"/>
      <c r="J23" s="394"/>
      <c r="K23" s="394"/>
      <c r="L23" s="394"/>
      <c r="M23" s="395"/>
      <c r="N23" s="394"/>
      <c r="O23" s="394"/>
      <c r="P23" s="394"/>
      <c r="Q23" s="394"/>
      <c r="R23" s="394"/>
      <c r="S23" s="394"/>
      <c r="T23" s="405"/>
      <c r="U23" s="394"/>
      <c r="V23" s="394"/>
      <c r="W23" s="394"/>
      <c r="X23" s="394"/>
      <c r="Y23" s="394"/>
    </row>
    <row r="24" spans="1:25" x14ac:dyDescent="0.35">
      <c r="A24" s="394"/>
      <c r="B24" s="245"/>
      <c r="C24" s="394"/>
      <c r="D24" s="394"/>
      <c r="E24" s="394"/>
      <c r="F24" s="394"/>
      <c r="G24" s="394"/>
      <c r="H24" s="394"/>
      <c r="I24" s="394"/>
      <c r="J24" s="394"/>
      <c r="K24" s="394"/>
      <c r="L24" s="394"/>
      <c r="M24" s="395"/>
      <c r="N24" s="394"/>
      <c r="O24" s="394"/>
      <c r="P24" s="394"/>
      <c r="Q24" s="394"/>
      <c r="R24" s="394"/>
      <c r="S24" s="394"/>
      <c r="T24" s="405"/>
      <c r="U24" s="394"/>
      <c r="V24" s="394"/>
      <c r="W24" s="394"/>
      <c r="X24" s="394"/>
      <c r="Y24" s="394"/>
    </row>
    <row r="25" spans="1:25" x14ac:dyDescent="0.35">
      <c r="A25" s="394"/>
      <c r="B25" s="245"/>
      <c r="C25" s="394"/>
      <c r="D25" s="394"/>
      <c r="E25" s="394"/>
      <c r="F25" s="394"/>
      <c r="G25" s="394"/>
      <c r="H25" s="394"/>
      <c r="I25" s="394"/>
      <c r="J25" s="394"/>
      <c r="K25" s="394"/>
      <c r="L25" s="394"/>
      <c r="M25" s="395"/>
      <c r="N25" s="394"/>
      <c r="O25" s="394"/>
      <c r="P25" s="394"/>
      <c r="Q25" s="394"/>
      <c r="R25" s="394"/>
      <c r="S25" s="394"/>
      <c r="T25" s="405"/>
      <c r="U25" s="394"/>
      <c r="V25" s="394"/>
      <c r="W25" s="394"/>
      <c r="X25" s="394"/>
      <c r="Y25" s="394"/>
    </row>
  </sheetData>
  <mergeCells count="2">
    <mergeCell ref="A1:Y1"/>
    <mergeCell ref="A2:Y2"/>
  </mergeCells>
  <conditionalFormatting sqref="T4:T16">
    <cfRule type="cellIs" dxfId="62" priority="1" operator="equal">
      <formula>"Approved"</formula>
    </cfRule>
    <cfRule type="cellIs" dxfId="61" priority="2" operator="equal">
      <formula>"Revision Needed"</formula>
    </cfRule>
    <cfRule type="cellIs" dxfId="60" priority="3" operator="equal">
      <formula>"Rejected"</formula>
    </cfRule>
  </conditionalFormatting>
  <dataValidations count="1">
    <dataValidation type="list" allowBlank="1" showInputMessage="1" showErrorMessage="1" promptTitle="CEO Decision" prompt="Select Approved, Revision Needed, or Rejected" sqref="T4:T16" xr:uid="{5A9635A6-F6C2-4BFA-AD19-1A1317C3CB0D}">
      <formula1>"Approved,Revision Needed,Rejected"</formula1>
    </dataValidation>
  </dataValidation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15B4-2FEE-4D45-8C86-BB66326BB92B}">
  <sheetPr>
    <tabColor theme="6"/>
  </sheetPr>
  <dimension ref="A1:AG280"/>
  <sheetViews>
    <sheetView showGridLines="0" zoomScale="70" zoomScaleNormal="50" workbookViewId="0">
      <selection activeCell="F27" sqref="F27"/>
    </sheetView>
  </sheetViews>
  <sheetFormatPr defaultColWidth="8.54296875" defaultRowHeight="14.5" x14ac:dyDescent="0.35"/>
  <cols>
    <col min="1" max="1" width="4.54296875" style="76" bestFit="1" customWidth="1"/>
    <col min="2" max="3" width="12" style="82" customWidth="1"/>
    <col min="4" max="4" width="37.1796875" style="76" bestFit="1" customWidth="1"/>
    <col min="5" max="5" width="55.1796875" style="76" bestFit="1" customWidth="1"/>
    <col min="6" max="6" width="18.453125" style="76" bestFit="1" customWidth="1"/>
    <col min="7" max="7" width="21" style="76" bestFit="1" customWidth="1"/>
    <col min="8" max="8" width="11.81640625" style="76" bestFit="1" customWidth="1"/>
    <col min="9" max="9" width="11.81640625" style="56" customWidth="1"/>
    <col min="10" max="10" width="11.453125" style="56" customWidth="1"/>
    <col min="11" max="11" width="15.54296875" style="76" customWidth="1"/>
    <col min="12" max="12" width="12.81640625" style="76" customWidth="1"/>
    <col min="13" max="13" width="36" style="76" customWidth="1"/>
    <col min="14" max="14" width="44.453125" style="298" bestFit="1" customWidth="1"/>
    <col min="15" max="16" width="5.453125" style="76" bestFit="1" customWidth="1"/>
    <col min="17" max="17" width="4.453125" style="76" bestFit="1" customWidth="1"/>
    <col min="18" max="18" width="45.26953125" style="76" customWidth="1"/>
    <col min="19" max="19" width="17" style="76" bestFit="1" customWidth="1"/>
    <col min="20" max="20" width="43.26953125" style="236" bestFit="1" customWidth="1"/>
    <col min="21" max="21" width="78.453125" style="236" bestFit="1" customWidth="1"/>
    <col min="22" max="22" width="15.81640625" style="236" bestFit="1" customWidth="1"/>
    <col min="23" max="23" width="26.54296875" style="236" bestFit="1" customWidth="1"/>
    <col min="24" max="24" width="8.54296875" style="76"/>
    <col min="25" max="25" width="8.26953125" style="76" bestFit="1" customWidth="1"/>
    <col min="26" max="16384" width="8.54296875" style="76"/>
  </cols>
  <sheetData>
    <row r="1" spans="1:33" ht="16.5" x14ac:dyDescent="0.35">
      <c r="A1" s="529" t="s">
        <v>297</v>
      </c>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299"/>
      <c r="AB1" s="299"/>
      <c r="AC1" s="299"/>
      <c r="AD1" s="299"/>
      <c r="AE1" s="299"/>
      <c r="AF1" s="299"/>
      <c r="AG1" s="299"/>
    </row>
    <row r="2" spans="1:33" ht="42" x14ac:dyDescent="0.35">
      <c r="A2" s="300" t="s">
        <v>9</v>
      </c>
      <c r="B2" s="300" t="s">
        <v>10</v>
      </c>
      <c r="C2" s="300" t="s">
        <v>11</v>
      </c>
      <c r="D2" s="300" t="s">
        <v>12</v>
      </c>
      <c r="E2" s="300" t="s">
        <v>13</v>
      </c>
      <c r="F2" s="300" t="s">
        <v>14</v>
      </c>
      <c r="G2" s="300" t="s">
        <v>228</v>
      </c>
      <c r="H2" s="300" t="s">
        <v>15</v>
      </c>
      <c r="I2" s="300" t="s">
        <v>16</v>
      </c>
      <c r="J2" s="300" t="s">
        <v>17</v>
      </c>
      <c r="K2" s="300" t="s">
        <v>18</v>
      </c>
      <c r="L2" s="300" t="s">
        <v>19</v>
      </c>
      <c r="M2" s="300" t="s">
        <v>20</v>
      </c>
      <c r="N2" s="300" t="s">
        <v>21</v>
      </c>
      <c r="O2" s="300" t="s">
        <v>22</v>
      </c>
      <c r="P2" s="300" t="s">
        <v>23</v>
      </c>
      <c r="Q2" s="300" t="s">
        <v>24</v>
      </c>
      <c r="R2" s="300" t="s">
        <v>25</v>
      </c>
      <c r="S2" s="300" t="s">
        <v>299</v>
      </c>
      <c r="T2" s="300" t="s">
        <v>359</v>
      </c>
      <c r="U2" s="300" t="s">
        <v>303</v>
      </c>
      <c r="V2" s="300" t="s">
        <v>302</v>
      </c>
      <c r="W2" s="300" t="s">
        <v>303</v>
      </c>
      <c r="X2" s="300" t="s">
        <v>302</v>
      </c>
      <c r="Y2" s="300" t="s">
        <v>29</v>
      </c>
      <c r="Z2" s="300" t="s">
        <v>30</v>
      </c>
      <c r="AA2" s="299"/>
      <c r="AB2" s="299"/>
      <c r="AC2" s="299"/>
      <c r="AD2" s="299"/>
      <c r="AE2" s="299"/>
      <c r="AF2" s="299"/>
      <c r="AG2" s="299"/>
    </row>
    <row r="3" spans="1:33" ht="72.5" x14ac:dyDescent="0.35">
      <c r="A3" s="301">
        <v>1</v>
      </c>
      <c r="B3" s="302" t="s">
        <v>361</v>
      </c>
      <c r="C3" s="302" t="s">
        <v>67</v>
      </c>
      <c r="D3" s="303" t="s">
        <v>362</v>
      </c>
      <c r="E3" s="303" t="s">
        <v>740</v>
      </c>
      <c r="F3" s="303" t="s">
        <v>364</v>
      </c>
      <c r="G3" s="303" t="s">
        <v>365</v>
      </c>
      <c r="H3" s="303" t="s">
        <v>741</v>
      </c>
      <c r="I3" s="303" t="s">
        <v>52</v>
      </c>
      <c r="J3" s="303" t="s">
        <v>52</v>
      </c>
      <c r="K3" s="303" t="s">
        <v>309</v>
      </c>
      <c r="L3" s="302">
        <v>1</v>
      </c>
      <c r="M3" s="304" t="s">
        <v>742</v>
      </c>
      <c r="N3" s="305" t="s">
        <v>743</v>
      </c>
      <c r="O3" s="306" t="s">
        <v>55</v>
      </c>
      <c r="P3" s="306" t="s">
        <v>55</v>
      </c>
      <c r="Q3" s="306" t="s">
        <v>55</v>
      </c>
      <c r="R3" s="307" t="s">
        <v>52</v>
      </c>
      <c r="S3" s="308" t="s">
        <v>744</v>
      </c>
      <c r="T3" s="309" t="s">
        <v>56</v>
      </c>
      <c r="U3" s="303"/>
      <c r="V3" s="340"/>
      <c r="W3" s="302"/>
      <c r="X3" s="302"/>
      <c r="Y3" s="302" t="s">
        <v>352</v>
      </c>
      <c r="Z3" s="302"/>
      <c r="AA3" s="299"/>
      <c r="AB3" s="299"/>
      <c r="AC3" s="299"/>
      <c r="AD3" s="299"/>
      <c r="AE3" s="299"/>
      <c r="AF3" s="299"/>
      <c r="AG3" s="299"/>
    </row>
    <row r="4" spans="1:33" s="297" customFormat="1" ht="174" x14ac:dyDescent="0.35">
      <c r="A4" s="310">
        <v>2</v>
      </c>
      <c r="B4" s="321" t="s">
        <v>361</v>
      </c>
      <c r="C4" s="320" t="s">
        <v>46</v>
      </c>
      <c r="D4" s="322" t="s">
        <v>370</v>
      </c>
      <c r="E4" s="322" t="s">
        <v>745</v>
      </c>
      <c r="F4" s="319" t="s">
        <v>364</v>
      </c>
      <c r="G4" s="322" t="s">
        <v>746</v>
      </c>
      <c r="H4" s="322" t="s">
        <v>308</v>
      </c>
      <c r="I4" s="322">
        <v>80</v>
      </c>
      <c r="J4" s="322">
        <v>80</v>
      </c>
      <c r="K4" s="322" t="s">
        <v>309</v>
      </c>
      <c r="L4" s="321" t="s">
        <v>52</v>
      </c>
      <c r="M4" s="313" t="s">
        <v>389</v>
      </c>
      <c r="N4" s="323" t="s">
        <v>373</v>
      </c>
      <c r="O4" s="530"/>
      <c r="P4" s="531"/>
      <c r="Q4" s="531"/>
      <c r="R4" s="539"/>
      <c r="S4" s="531"/>
      <c r="T4" s="325" t="s">
        <v>56</v>
      </c>
      <c r="U4" s="319"/>
      <c r="V4" s="341"/>
      <c r="W4" s="320"/>
      <c r="X4" s="320"/>
      <c r="Y4" s="315" t="s">
        <v>314</v>
      </c>
      <c r="Z4" s="320"/>
      <c r="AA4" s="299"/>
      <c r="AB4" s="299"/>
      <c r="AC4" s="299"/>
      <c r="AD4" s="299"/>
      <c r="AE4" s="299"/>
      <c r="AF4" s="299"/>
      <c r="AG4" s="299"/>
    </row>
    <row r="5" spans="1:33" s="297" customFormat="1" ht="116" x14ac:dyDescent="0.35">
      <c r="A5" s="310">
        <v>3</v>
      </c>
      <c r="B5" s="321" t="s">
        <v>361</v>
      </c>
      <c r="C5" s="320" t="s">
        <v>46</v>
      </c>
      <c r="D5" s="322" t="s">
        <v>370</v>
      </c>
      <c r="E5" s="322" t="s">
        <v>747</v>
      </c>
      <c r="F5" s="319" t="s">
        <v>364</v>
      </c>
      <c r="G5" s="322" t="s">
        <v>379</v>
      </c>
      <c r="H5" s="322" t="s">
        <v>308</v>
      </c>
      <c r="I5" s="322">
        <v>49</v>
      </c>
      <c r="J5" s="321" t="s">
        <v>52</v>
      </c>
      <c r="K5" s="322" t="s">
        <v>309</v>
      </c>
      <c r="L5" s="321" t="s">
        <v>52</v>
      </c>
      <c r="M5" s="313" t="s">
        <v>748</v>
      </c>
      <c r="N5" s="314" t="s">
        <v>52</v>
      </c>
      <c r="O5" s="530"/>
      <c r="P5" s="531"/>
      <c r="Q5" s="531"/>
      <c r="R5" s="539"/>
      <c r="S5" s="531"/>
      <c r="T5" s="325" t="s">
        <v>56</v>
      </c>
      <c r="U5" s="319"/>
      <c r="V5" s="341"/>
      <c r="W5" s="320"/>
      <c r="X5" s="320"/>
      <c r="Y5" s="315" t="s">
        <v>314</v>
      </c>
      <c r="Z5" s="320"/>
      <c r="AA5" s="299"/>
      <c r="AB5" s="299"/>
      <c r="AC5" s="299"/>
      <c r="AD5" s="299"/>
      <c r="AE5" s="299"/>
      <c r="AF5" s="299"/>
      <c r="AG5" s="299"/>
    </row>
    <row r="6" spans="1:33" s="297" customFormat="1" ht="72.5" x14ac:dyDescent="0.35">
      <c r="A6" s="310">
        <v>4</v>
      </c>
      <c r="B6" s="321" t="s">
        <v>361</v>
      </c>
      <c r="C6" s="320" t="s">
        <v>46</v>
      </c>
      <c r="D6" s="322" t="s">
        <v>370</v>
      </c>
      <c r="E6" s="322" t="s">
        <v>749</v>
      </c>
      <c r="F6" s="319" t="s">
        <v>364</v>
      </c>
      <c r="G6" s="322" t="s">
        <v>365</v>
      </c>
      <c r="H6" s="322" t="s">
        <v>345</v>
      </c>
      <c r="I6" s="321" t="s">
        <v>52</v>
      </c>
      <c r="J6" s="321" t="s">
        <v>52</v>
      </c>
      <c r="K6" s="322" t="s">
        <v>309</v>
      </c>
      <c r="L6" s="321" t="s">
        <v>52</v>
      </c>
      <c r="M6" s="313" t="s">
        <v>750</v>
      </c>
      <c r="N6" s="323" t="s">
        <v>373</v>
      </c>
      <c r="O6" s="530"/>
      <c r="P6" s="531"/>
      <c r="Q6" s="531"/>
      <c r="R6" s="539"/>
      <c r="S6" s="531"/>
      <c r="T6" s="325" t="s">
        <v>56</v>
      </c>
      <c r="U6" s="319"/>
      <c r="V6" s="341"/>
      <c r="W6" s="320"/>
      <c r="X6" s="320"/>
      <c r="Y6" s="315" t="s">
        <v>314</v>
      </c>
      <c r="Z6" s="320"/>
      <c r="AA6" s="299"/>
      <c r="AB6" s="299"/>
      <c r="AC6" s="299"/>
      <c r="AD6" s="299"/>
      <c r="AE6" s="299"/>
      <c r="AF6" s="299"/>
      <c r="AG6" s="299"/>
    </row>
    <row r="7" spans="1:33" s="297" customFormat="1" ht="145" x14ac:dyDescent="0.35">
      <c r="A7" s="326">
        <v>5</v>
      </c>
      <c r="B7" s="327" t="s">
        <v>361</v>
      </c>
      <c r="C7" s="306" t="s">
        <v>46</v>
      </c>
      <c r="D7" s="328" t="s">
        <v>370</v>
      </c>
      <c r="E7" s="328" t="s">
        <v>751</v>
      </c>
      <c r="F7" s="311" t="s">
        <v>364</v>
      </c>
      <c r="G7" s="328" t="s">
        <v>379</v>
      </c>
      <c r="H7" s="328" t="s">
        <v>308</v>
      </c>
      <c r="I7" s="328">
        <v>39</v>
      </c>
      <c r="J7" s="312" t="s">
        <v>52</v>
      </c>
      <c r="K7" s="328" t="s">
        <v>309</v>
      </c>
      <c r="L7" s="312" t="s">
        <v>52</v>
      </c>
      <c r="M7" s="314" t="s">
        <v>752</v>
      </c>
      <c r="N7" s="329" t="s">
        <v>373</v>
      </c>
      <c r="O7" s="564"/>
      <c r="P7" s="531"/>
      <c r="Q7" s="531"/>
      <c r="R7" s="539"/>
      <c r="S7" s="565"/>
      <c r="T7" s="325" t="s">
        <v>56</v>
      </c>
      <c r="U7" s="319"/>
      <c r="V7" s="341"/>
      <c r="W7" s="320"/>
      <c r="X7" s="320"/>
      <c r="Y7" s="315" t="s">
        <v>314</v>
      </c>
      <c r="Z7" s="320"/>
      <c r="AA7" s="299"/>
      <c r="AB7" s="299"/>
      <c r="AC7" s="299"/>
      <c r="AD7" s="299"/>
      <c r="AE7" s="299"/>
      <c r="AF7" s="299"/>
      <c r="AG7" s="299"/>
    </row>
    <row r="8" spans="1:33" s="297" customFormat="1" ht="155" x14ac:dyDescent="0.35">
      <c r="A8" s="326">
        <v>6</v>
      </c>
      <c r="B8" s="320" t="s">
        <v>361</v>
      </c>
      <c r="C8" s="320" t="s">
        <v>46</v>
      </c>
      <c r="D8" s="322" t="s">
        <v>391</v>
      </c>
      <c r="E8" s="322" t="s">
        <v>753</v>
      </c>
      <c r="F8" s="322" t="s">
        <v>49</v>
      </c>
      <c r="G8" s="322" t="s">
        <v>344</v>
      </c>
      <c r="H8" s="322" t="s">
        <v>308</v>
      </c>
      <c r="I8" s="322">
        <v>200</v>
      </c>
      <c r="J8" s="322" t="s">
        <v>52</v>
      </c>
      <c r="K8" s="322" t="s">
        <v>309</v>
      </c>
      <c r="L8" s="335" t="s">
        <v>52</v>
      </c>
      <c r="M8" s="330" t="s">
        <v>754</v>
      </c>
      <c r="N8" s="331" t="s">
        <v>52</v>
      </c>
      <c r="O8" s="535"/>
      <c r="P8" s="535"/>
      <c r="Q8" s="535"/>
      <c r="R8" s="531"/>
      <c r="S8" s="542"/>
      <c r="T8" s="336" t="s">
        <v>56</v>
      </c>
      <c r="U8" s="319"/>
      <c r="V8" s="341"/>
      <c r="W8" s="320"/>
      <c r="X8" s="320"/>
      <c r="Y8" s="315" t="s">
        <v>314</v>
      </c>
      <c r="Z8" s="320"/>
      <c r="AA8" s="299"/>
      <c r="AB8" s="299"/>
      <c r="AC8" s="299"/>
      <c r="AD8" s="299"/>
      <c r="AE8" s="299"/>
      <c r="AF8" s="299"/>
      <c r="AG8" s="299"/>
    </row>
    <row r="9" spans="1:33" s="297" customFormat="1" ht="155" x14ac:dyDescent="0.35">
      <c r="A9" s="326">
        <v>7</v>
      </c>
      <c r="B9" s="306" t="s">
        <v>361</v>
      </c>
      <c r="C9" s="306" t="s">
        <v>46</v>
      </c>
      <c r="D9" s="328" t="s">
        <v>391</v>
      </c>
      <c r="E9" s="328" t="s">
        <v>755</v>
      </c>
      <c r="F9" s="328" t="s">
        <v>49</v>
      </c>
      <c r="G9" s="328" t="s">
        <v>344</v>
      </c>
      <c r="H9" s="328" t="s">
        <v>308</v>
      </c>
      <c r="I9" s="328">
        <v>149</v>
      </c>
      <c r="J9" s="328" t="s">
        <v>52</v>
      </c>
      <c r="K9" s="328" t="s">
        <v>309</v>
      </c>
      <c r="L9" s="335" t="s">
        <v>52</v>
      </c>
      <c r="M9" s="334" t="s">
        <v>385</v>
      </c>
      <c r="N9" s="343" t="s">
        <v>52</v>
      </c>
      <c r="O9" s="535"/>
      <c r="P9" s="535"/>
      <c r="Q9" s="535"/>
      <c r="R9" s="531"/>
      <c r="S9" s="542"/>
      <c r="T9" s="336" t="s">
        <v>56</v>
      </c>
      <c r="U9" s="319"/>
      <c r="V9" s="341"/>
      <c r="W9" s="320"/>
      <c r="X9" s="320"/>
      <c r="Y9" s="315" t="s">
        <v>314</v>
      </c>
      <c r="Z9" s="320"/>
      <c r="AA9" s="299"/>
      <c r="AB9" s="299"/>
      <c r="AC9" s="299"/>
      <c r="AD9" s="299"/>
      <c r="AE9" s="299"/>
      <c r="AF9" s="299"/>
      <c r="AG9" s="299"/>
    </row>
    <row r="10" spans="1:33" s="297" customFormat="1" ht="93" x14ac:dyDescent="0.35">
      <c r="A10" s="337">
        <v>8</v>
      </c>
      <c r="B10" s="346" t="s">
        <v>361</v>
      </c>
      <c r="C10" s="320" t="s">
        <v>46</v>
      </c>
      <c r="D10" s="322" t="s">
        <v>756</v>
      </c>
      <c r="E10" s="322" t="s">
        <v>757</v>
      </c>
      <c r="F10" s="322" t="s">
        <v>70</v>
      </c>
      <c r="G10" s="322" t="s">
        <v>758</v>
      </c>
      <c r="H10" s="322" t="s">
        <v>345</v>
      </c>
      <c r="I10" s="322">
        <v>690</v>
      </c>
      <c r="J10" s="322">
        <v>380</v>
      </c>
      <c r="K10" s="322" t="s">
        <v>309</v>
      </c>
      <c r="L10" s="321" t="s">
        <v>52</v>
      </c>
      <c r="M10" s="330" t="s">
        <v>759</v>
      </c>
      <c r="N10" s="331" t="s">
        <v>52</v>
      </c>
      <c r="O10" s="566" t="s">
        <v>55</v>
      </c>
      <c r="P10" s="566" t="s">
        <v>55</v>
      </c>
      <c r="Q10" s="566" t="s">
        <v>55</v>
      </c>
      <c r="R10" s="566" t="s">
        <v>52</v>
      </c>
      <c r="S10" s="567" t="s">
        <v>375</v>
      </c>
      <c r="T10" s="325" t="s">
        <v>56</v>
      </c>
      <c r="U10" s="319"/>
      <c r="V10" s="341"/>
      <c r="W10" s="320"/>
      <c r="X10" s="320"/>
      <c r="Y10" s="315" t="s">
        <v>314</v>
      </c>
      <c r="Z10" s="320"/>
      <c r="AA10" s="299"/>
      <c r="AB10" s="299"/>
      <c r="AC10" s="299"/>
      <c r="AD10" s="299"/>
      <c r="AE10" s="299"/>
      <c r="AF10" s="299"/>
      <c r="AG10" s="299"/>
    </row>
    <row r="11" spans="1:33" ht="93" x14ac:dyDescent="0.35">
      <c r="A11" s="337">
        <v>9</v>
      </c>
      <c r="B11" s="346" t="s">
        <v>361</v>
      </c>
      <c r="C11" s="320" t="s">
        <v>46</v>
      </c>
      <c r="D11" s="322" t="s">
        <v>756</v>
      </c>
      <c r="E11" s="322" t="s">
        <v>760</v>
      </c>
      <c r="F11" s="322" t="s">
        <v>70</v>
      </c>
      <c r="G11" s="322" t="s">
        <v>758</v>
      </c>
      <c r="H11" s="322" t="s">
        <v>345</v>
      </c>
      <c r="I11" s="322">
        <v>500</v>
      </c>
      <c r="J11" s="322">
        <v>380</v>
      </c>
      <c r="K11" s="322" t="s">
        <v>309</v>
      </c>
      <c r="L11" s="321" t="s">
        <v>52</v>
      </c>
      <c r="M11" s="330" t="s">
        <v>759</v>
      </c>
      <c r="N11" s="331" t="s">
        <v>52</v>
      </c>
      <c r="O11" s="566"/>
      <c r="P11" s="566"/>
      <c r="Q11" s="566"/>
      <c r="R11" s="566"/>
      <c r="S11" s="567"/>
      <c r="T11" s="325" t="s">
        <v>56</v>
      </c>
      <c r="U11" s="319"/>
      <c r="V11" s="341"/>
      <c r="W11" s="320"/>
      <c r="X11" s="320"/>
      <c r="Y11" s="315" t="s">
        <v>314</v>
      </c>
      <c r="Z11" s="320"/>
      <c r="AA11" s="299"/>
      <c r="AB11" s="299"/>
      <c r="AC11" s="299"/>
      <c r="AD11" s="299"/>
      <c r="AE11" s="299"/>
      <c r="AF11" s="299"/>
      <c r="AG11" s="299"/>
    </row>
    <row r="12" spans="1:33" ht="93" x14ac:dyDescent="0.35">
      <c r="A12" s="337">
        <v>10</v>
      </c>
      <c r="B12" s="346" t="s">
        <v>361</v>
      </c>
      <c r="C12" s="320" t="s">
        <v>46</v>
      </c>
      <c r="D12" s="322" t="s">
        <v>756</v>
      </c>
      <c r="E12" s="322" t="s">
        <v>761</v>
      </c>
      <c r="F12" s="322" t="s">
        <v>70</v>
      </c>
      <c r="G12" s="322" t="s">
        <v>758</v>
      </c>
      <c r="H12" s="322" t="s">
        <v>345</v>
      </c>
      <c r="I12" s="322">
        <v>1200</v>
      </c>
      <c r="J12" s="322">
        <v>570</v>
      </c>
      <c r="K12" s="322" t="s">
        <v>309</v>
      </c>
      <c r="L12" s="321" t="s">
        <v>52</v>
      </c>
      <c r="M12" s="330" t="s">
        <v>759</v>
      </c>
      <c r="N12" s="331" t="s">
        <v>52</v>
      </c>
      <c r="O12" s="566"/>
      <c r="P12" s="566"/>
      <c r="Q12" s="566"/>
      <c r="R12" s="566"/>
      <c r="S12" s="567"/>
      <c r="T12" s="325" t="s">
        <v>56</v>
      </c>
      <c r="U12" s="319"/>
      <c r="V12" s="341"/>
      <c r="W12" s="320"/>
      <c r="X12" s="320"/>
      <c r="Y12" s="315" t="s">
        <v>314</v>
      </c>
      <c r="Z12" s="320"/>
      <c r="AA12" s="299"/>
      <c r="AB12" s="299"/>
      <c r="AC12" s="299"/>
      <c r="AD12" s="299"/>
      <c r="AE12" s="299"/>
      <c r="AF12" s="299"/>
      <c r="AG12" s="299"/>
    </row>
    <row r="13" spans="1:33" ht="93" x14ac:dyDescent="0.35">
      <c r="A13" s="337">
        <v>11</v>
      </c>
      <c r="B13" s="346" t="s">
        <v>361</v>
      </c>
      <c r="C13" s="320" t="s">
        <v>46</v>
      </c>
      <c r="D13" s="322" t="s">
        <v>756</v>
      </c>
      <c r="E13" s="322" t="s">
        <v>762</v>
      </c>
      <c r="F13" s="322" t="s">
        <v>70</v>
      </c>
      <c r="G13" s="322" t="s">
        <v>758</v>
      </c>
      <c r="H13" s="322" t="s">
        <v>345</v>
      </c>
      <c r="I13" s="322">
        <v>990</v>
      </c>
      <c r="J13" s="322">
        <v>475</v>
      </c>
      <c r="K13" s="322" t="s">
        <v>309</v>
      </c>
      <c r="L13" s="321" t="s">
        <v>52</v>
      </c>
      <c r="M13" s="330" t="s">
        <v>763</v>
      </c>
      <c r="N13" s="331" t="s">
        <v>52</v>
      </c>
      <c r="O13" s="566"/>
      <c r="P13" s="566"/>
      <c r="Q13" s="566"/>
      <c r="R13" s="566"/>
      <c r="S13" s="567"/>
      <c r="T13" s="325" t="s">
        <v>56</v>
      </c>
      <c r="U13" s="319"/>
      <c r="V13" s="341"/>
      <c r="W13" s="320"/>
      <c r="X13" s="320"/>
      <c r="Y13" s="315" t="s">
        <v>314</v>
      </c>
      <c r="Z13" s="320"/>
      <c r="AA13" s="299"/>
      <c r="AB13" s="299"/>
      <c r="AC13" s="299"/>
      <c r="AD13" s="299"/>
      <c r="AE13" s="299"/>
      <c r="AF13" s="299"/>
      <c r="AG13" s="299"/>
    </row>
    <row r="14" spans="1:33" ht="93" x14ac:dyDescent="0.35">
      <c r="A14" s="337">
        <v>12</v>
      </c>
      <c r="B14" s="346" t="s">
        <v>361</v>
      </c>
      <c r="C14" s="320" t="s">
        <v>46</v>
      </c>
      <c r="D14" s="322" t="s">
        <v>756</v>
      </c>
      <c r="E14" s="322" t="s">
        <v>764</v>
      </c>
      <c r="F14" s="322" t="s">
        <v>70</v>
      </c>
      <c r="G14" s="322" t="s">
        <v>758</v>
      </c>
      <c r="H14" s="322" t="s">
        <v>345</v>
      </c>
      <c r="I14" s="322">
        <v>1075</v>
      </c>
      <c r="J14" s="322">
        <v>475</v>
      </c>
      <c r="K14" s="322" t="s">
        <v>309</v>
      </c>
      <c r="L14" s="321" t="s">
        <v>52</v>
      </c>
      <c r="M14" s="330" t="s">
        <v>759</v>
      </c>
      <c r="N14" s="331" t="s">
        <v>52</v>
      </c>
      <c r="O14" s="566"/>
      <c r="P14" s="566"/>
      <c r="Q14" s="566"/>
      <c r="R14" s="566"/>
      <c r="S14" s="567"/>
      <c r="T14" s="325" t="s">
        <v>56</v>
      </c>
      <c r="U14" s="319"/>
      <c r="V14" s="341"/>
      <c r="W14" s="320"/>
      <c r="X14" s="320"/>
      <c r="Y14" s="315" t="s">
        <v>314</v>
      </c>
      <c r="Z14" s="320"/>
      <c r="AA14" s="299"/>
      <c r="AB14" s="299"/>
      <c r="AC14" s="299"/>
      <c r="AD14" s="299"/>
      <c r="AE14" s="299"/>
      <c r="AF14" s="299"/>
      <c r="AG14" s="299"/>
    </row>
    <row r="15" spans="1:33" ht="93" x14ac:dyDescent="0.35">
      <c r="A15" s="337">
        <v>13</v>
      </c>
      <c r="B15" s="346" t="s">
        <v>361</v>
      </c>
      <c r="C15" s="320" t="s">
        <v>46</v>
      </c>
      <c r="D15" s="322" t="s">
        <v>756</v>
      </c>
      <c r="E15" s="322" t="s">
        <v>765</v>
      </c>
      <c r="F15" s="322" t="s">
        <v>70</v>
      </c>
      <c r="G15" s="322" t="s">
        <v>758</v>
      </c>
      <c r="H15" s="322" t="s">
        <v>345</v>
      </c>
      <c r="I15" s="322">
        <v>500</v>
      </c>
      <c r="J15" s="322">
        <v>230</v>
      </c>
      <c r="K15" s="322" t="s">
        <v>309</v>
      </c>
      <c r="L15" s="321" t="s">
        <v>52</v>
      </c>
      <c r="M15" s="330" t="s">
        <v>759</v>
      </c>
      <c r="N15" s="331" t="s">
        <v>52</v>
      </c>
      <c r="O15" s="566"/>
      <c r="P15" s="566"/>
      <c r="Q15" s="566"/>
      <c r="R15" s="566"/>
      <c r="S15" s="567"/>
      <c r="T15" s="325" t="s">
        <v>56</v>
      </c>
      <c r="U15" s="319"/>
      <c r="V15" s="341"/>
      <c r="W15" s="320"/>
      <c r="X15" s="320"/>
      <c r="Y15" s="315" t="s">
        <v>314</v>
      </c>
      <c r="Z15" s="320"/>
      <c r="AA15" s="299"/>
      <c r="AB15" s="299"/>
      <c r="AC15" s="299"/>
      <c r="AD15" s="299"/>
      <c r="AE15" s="299"/>
      <c r="AF15" s="299"/>
      <c r="AG15" s="299"/>
    </row>
    <row r="16" spans="1:33" ht="93" x14ac:dyDescent="0.35">
      <c r="A16" s="337">
        <v>14</v>
      </c>
      <c r="B16" s="346" t="s">
        <v>361</v>
      </c>
      <c r="C16" s="320" t="s">
        <v>46</v>
      </c>
      <c r="D16" s="322" t="s">
        <v>756</v>
      </c>
      <c r="E16" s="322" t="s">
        <v>766</v>
      </c>
      <c r="F16" s="322" t="s">
        <v>70</v>
      </c>
      <c r="G16" s="322" t="s">
        <v>758</v>
      </c>
      <c r="H16" s="322" t="s">
        <v>345</v>
      </c>
      <c r="I16" s="322">
        <v>800</v>
      </c>
      <c r="J16" s="322">
        <v>380</v>
      </c>
      <c r="K16" s="322" t="s">
        <v>309</v>
      </c>
      <c r="L16" s="321" t="s">
        <v>52</v>
      </c>
      <c r="M16" s="330" t="s">
        <v>759</v>
      </c>
      <c r="N16" s="331" t="s">
        <v>52</v>
      </c>
      <c r="O16" s="566"/>
      <c r="P16" s="566"/>
      <c r="Q16" s="566"/>
      <c r="R16" s="566"/>
      <c r="S16" s="567"/>
      <c r="T16" s="325" t="s">
        <v>56</v>
      </c>
      <c r="U16" s="319"/>
      <c r="V16" s="341"/>
      <c r="W16" s="320"/>
      <c r="X16" s="320"/>
      <c r="Y16" s="315" t="s">
        <v>314</v>
      </c>
      <c r="Z16" s="320"/>
      <c r="AA16" s="299"/>
      <c r="AB16" s="299"/>
      <c r="AC16" s="299"/>
      <c r="AD16" s="299"/>
      <c r="AE16" s="299"/>
      <c r="AF16" s="299"/>
      <c r="AG16" s="299"/>
    </row>
    <row r="17" spans="1:33" ht="93" x14ac:dyDescent="0.35">
      <c r="A17" s="337">
        <v>15</v>
      </c>
      <c r="B17" s="346" t="s">
        <v>361</v>
      </c>
      <c r="C17" s="320" t="s">
        <v>46</v>
      </c>
      <c r="D17" s="322" t="s">
        <v>756</v>
      </c>
      <c r="E17" s="322" t="s">
        <v>767</v>
      </c>
      <c r="F17" s="322" t="s">
        <v>70</v>
      </c>
      <c r="G17" s="322" t="s">
        <v>758</v>
      </c>
      <c r="H17" s="322" t="s">
        <v>345</v>
      </c>
      <c r="I17" s="322">
        <v>1350</v>
      </c>
      <c r="J17" s="322">
        <v>950</v>
      </c>
      <c r="K17" s="322" t="s">
        <v>309</v>
      </c>
      <c r="L17" s="321" t="s">
        <v>52</v>
      </c>
      <c r="M17" s="330" t="s">
        <v>759</v>
      </c>
      <c r="N17" s="331" t="s">
        <v>52</v>
      </c>
      <c r="O17" s="566"/>
      <c r="P17" s="566"/>
      <c r="Q17" s="566"/>
      <c r="R17" s="566"/>
      <c r="S17" s="567"/>
      <c r="T17" s="325" t="s">
        <v>56</v>
      </c>
      <c r="U17" s="319"/>
      <c r="V17" s="341"/>
      <c r="W17" s="320"/>
      <c r="X17" s="320"/>
      <c r="Y17" s="315" t="s">
        <v>314</v>
      </c>
      <c r="Z17" s="320"/>
      <c r="AA17" s="299"/>
      <c r="AB17" s="299"/>
      <c r="AC17" s="299"/>
      <c r="AD17" s="299"/>
      <c r="AE17" s="299"/>
      <c r="AF17" s="299"/>
      <c r="AG17" s="299"/>
    </row>
    <row r="18" spans="1:33" ht="93" x14ac:dyDescent="0.35">
      <c r="A18" s="337">
        <v>16</v>
      </c>
      <c r="B18" s="346" t="s">
        <v>361</v>
      </c>
      <c r="C18" s="320" t="s">
        <v>46</v>
      </c>
      <c r="D18" s="322" t="s">
        <v>756</v>
      </c>
      <c r="E18" s="322" t="s">
        <v>768</v>
      </c>
      <c r="F18" s="322" t="s">
        <v>70</v>
      </c>
      <c r="G18" s="322" t="s">
        <v>758</v>
      </c>
      <c r="H18" s="322" t="s">
        <v>345</v>
      </c>
      <c r="I18" s="322">
        <v>1345</v>
      </c>
      <c r="J18" s="322">
        <v>660</v>
      </c>
      <c r="K18" s="322" t="s">
        <v>309</v>
      </c>
      <c r="L18" s="321" t="s">
        <v>52</v>
      </c>
      <c r="M18" s="330" t="s">
        <v>759</v>
      </c>
      <c r="N18" s="331" t="s">
        <v>52</v>
      </c>
      <c r="O18" s="566"/>
      <c r="P18" s="566"/>
      <c r="Q18" s="566"/>
      <c r="R18" s="566"/>
      <c r="S18" s="567"/>
      <c r="T18" s="325" t="s">
        <v>56</v>
      </c>
      <c r="U18" s="319"/>
      <c r="V18" s="341"/>
      <c r="W18" s="320"/>
      <c r="X18" s="320"/>
      <c r="Y18" s="315" t="s">
        <v>314</v>
      </c>
      <c r="Z18" s="320"/>
      <c r="AA18" s="299"/>
      <c r="AB18" s="299"/>
      <c r="AC18" s="299"/>
      <c r="AD18" s="299"/>
      <c r="AE18" s="299"/>
      <c r="AF18" s="299"/>
      <c r="AG18" s="299"/>
    </row>
    <row r="19" spans="1:33" ht="93" x14ac:dyDescent="0.35">
      <c r="A19" s="337">
        <v>17</v>
      </c>
      <c r="B19" s="346" t="s">
        <v>361</v>
      </c>
      <c r="C19" s="320" t="s">
        <v>46</v>
      </c>
      <c r="D19" s="322" t="s">
        <v>756</v>
      </c>
      <c r="E19" s="322" t="s">
        <v>769</v>
      </c>
      <c r="F19" s="322" t="s">
        <v>70</v>
      </c>
      <c r="G19" s="322" t="s">
        <v>758</v>
      </c>
      <c r="H19" s="322" t="s">
        <v>345</v>
      </c>
      <c r="I19" s="322">
        <v>1030</v>
      </c>
      <c r="J19" s="322">
        <v>470</v>
      </c>
      <c r="K19" s="322" t="s">
        <v>309</v>
      </c>
      <c r="L19" s="321" t="s">
        <v>52</v>
      </c>
      <c r="M19" s="330" t="s">
        <v>763</v>
      </c>
      <c r="N19" s="331" t="s">
        <v>52</v>
      </c>
      <c r="O19" s="566"/>
      <c r="P19" s="566"/>
      <c r="Q19" s="566"/>
      <c r="R19" s="566"/>
      <c r="S19" s="567"/>
      <c r="T19" s="325" t="s">
        <v>56</v>
      </c>
      <c r="U19" s="319"/>
      <c r="V19" s="341"/>
      <c r="W19" s="320"/>
      <c r="X19" s="320"/>
      <c r="Y19" s="315" t="s">
        <v>314</v>
      </c>
      <c r="Z19" s="320"/>
      <c r="AA19" s="299"/>
      <c r="AB19" s="299"/>
      <c r="AC19" s="299"/>
      <c r="AD19" s="299"/>
      <c r="AE19" s="299"/>
      <c r="AF19" s="299"/>
      <c r="AG19" s="299"/>
    </row>
    <row r="20" spans="1:33" ht="93" x14ac:dyDescent="0.35">
      <c r="A20" s="337">
        <v>18</v>
      </c>
      <c r="B20" s="346" t="s">
        <v>361</v>
      </c>
      <c r="C20" s="320" t="s">
        <v>46</v>
      </c>
      <c r="D20" s="322" t="s">
        <v>756</v>
      </c>
      <c r="E20" s="322" t="s">
        <v>770</v>
      </c>
      <c r="F20" s="322" t="s">
        <v>70</v>
      </c>
      <c r="G20" s="322" t="s">
        <v>758</v>
      </c>
      <c r="H20" s="322" t="s">
        <v>345</v>
      </c>
      <c r="I20" s="322">
        <v>955</v>
      </c>
      <c r="J20" s="322">
        <v>570</v>
      </c>
      <c r="K20" s="322" t="s">
        <v>309</v>
      </c>
      <c r="L20" s="321" t="s">
        <v>52</v>
      </c>
      <c r="M20" s="330" t="s">
        <v>759</v>
      </c>
      <c r="N20" s="331" t="s">
        <v>52</v>
      </c>
      <c r="O20" s="566"/>
      <c r="P20" s="566"/>
      <c r="Q20" s="566"/>
      <c r="R20" s="566"/>
      <c r="S20" s="567"/>
      <c r="T20" s="325" t="s">
        <v>56</v>
      </c>
      <c r="U20" s="319"/>
      <c r="V20" s="341"/>
      <c r="W20" s="320"/>
      <c r="X20" s="320"/>
      <c r="Y20" s="315" t="s">
        <v>314</v>
      </c>
      <c r="Z20" s="320"/>
      <c r="AA20" s="299"/>
      <c r="AB20" s="299"/>
      <c r="AC20" s="299"/>
      <c r="AD20" s="299"/>
      <c r="AE20" s="299"/>
      <c r="AF20" s="299"/>
      <c r="AG20" s="299"/>
    </row>
    <row r="21" spans="1:33" ht="93" x14ac:dyDescent="0.35">
      <c r="A21" s="337">
        <v>19</v>
      </c>
      <c r="B21" s="346" t="s">
        <v>361</v>
      </c>
      <c r="C21" s="320" t="s">
        <v>46</v>
      </c>
      <c r="D21" s="322" t="s">
        <v>756</v>
      </c>
      <c r="E21" s="322" t="s">
        <v>771</v>
      </c>
      <c r="F21" s="322" t="s">
        <v>70</v>
      </c>
      <c r="G21" s="322" t="s">
        <v>758</v>
      </c>
      <c r="H21" s="322" t="s">
        <v>345</v>
      </c>
      <c r="I21" s="322">
        <v>2350</v>
      </c>
      <c r="J21" s="322">
        <v>1140</v>
      </c>
      <c r="K21" s="322" t="s">
        <v>309</v>
      </c>
      <c r="L21" s="321" t="s">
        <v>52</v>
      </c>
      <c r="M21" s="330" t="s">
        <v>763</v>
      </c>
      <c r="N21" s="331" t="s">
        <v>52</v>
      </c>
      <c r="O21" s="566"/>
      <c r="P21" s="566"/>
      <c r="Q21" s="566"/>
      <c r="R21" s="566"/>
      <c r="S21" s="567"/>
      <c r="T21" s="325" t="s">
        <v>56</v>
      </c>
      <c r="U21" s="319"/>
      <c r="V21" s="341"/>
      <c r="W21" s="320"/>
      <c r="X21" s="320"/>
      <c r="Y21" s="315" t="s">
        <v>314</v>
      </c>
      <c r="Z21" s="320"/>
      <c r="AA21" s="299"/>
      <c r="AB21" s="299"/>
      <c r="AC21" s="299"/>
      <c r="AD21" s="299"/>
      <c r="AE21" s="299"/>
      <c r="AF21" s="299"/>
      <c r="AG21" s="299"/>
    </row>
    <row r="22" spans="1:33" ht="93" x14ac:dyDescent="0.35">
      <c r="A22" s="337">
        <v>20</v>
      </c>
      <c r="B22" s="346" t="s">
        <v>361</v>
      </c>
      <c r="C22" s="320" t="s">
        <v>46</v>
      </c>
      <c r="D22" s="322" t="s">
        <v>756</v>
      </c>
      <c r="E22" s="322" t="s">
        <v>772</v>
      </c>
      <c r="F22" s="322" t="s">
        <v>70</v>
      </c>
      <c r="G22" s="322" t="s">
        <v>758</v>
      </c>
      <c r="H22" s="322" t="s">
        <v>345</v>
      </c>
      <c r="I22" s="322">
        <v>880</v>
      </c>
      <c r="J22" s="322">
        <v>380</v>
      </c>
      <c r="K22" s="322" t="s">
        <v>309</v>
      </c>
      <c r="L22" s="321" t="s">
        <v>52</v>
      </c>
      <c r="M22" s="330" t="s">
        <v>759</v>
      </c>
      <c r="N22" s="331" t="s">
        <v>52</v>
      </c>
      <c r="O22" s="566"/>
      <c r="P22" s="566"/>
      <c r="Q22" s="566"/>
      <c r="R22" s="566"/>
      <c r="S22" s="567"/>
      <c r="T22" s="325" t="s">
        <v>56</v>
      </c>
      <c r="U22" s="319"/>
      <c r="V22" s="341"/>
      <c r="W22" s="320"/>
      <c r="X22" s="320"/>
      <c r="Y22" s="315" t="s">
        <v>314</v>
      </c>
      <c r="Z22" s="320"/>
      <c r="AA22" s="299"/>
      <c r="AB22" s="299"/>
      <c r="AC22" s="299"/>
      <c r="AD22" s="299"/>
      <c r="AE22" s="299"/>
      <c r="AF22" s="299"/>
      <c r="AG22" s="299"/>
    </row>
    <row r="23" spans="1:33" ht="93" x14ac:dyDescent="0.35">
      <c r="A23" s="337">
        <v>21</v>
      </c>
      <c r="B23" s="346" t="s">
        <v>361</v>
      </c>
      <c r="C23" s="320" t="s">
        <v>46</v>
      </c>
      <c r="D23" s="322" t="s">
        <v>756</v>
      </c>
      <c r="E23" s="322" t="s">
        <v>773</v>
      </c>
      <c r="F23" s="322" t="s">
        <v>70</v>
      </c>
      <c r="G23" s="322" t="s">
        <v>758</v>
      </c>
      <c r="H23" s="322" t="s">
        <v>345</v>
      </c>
      <c r="I23" s="322">
        <v>850</v>
      </c>
      <c r="J23" s="322">
        <v>380</v>
      </c>
      <c r="K23" s="322" t="s">
        <v>309</v>
      </c>
      <c r="L23" s="321" t="s">
        <v>52</v>
      </c>
      <c r="M23" s="330" t="s">
        <v>759</v>
      </c>
      <c r="N23" s="331" t="s">
        <v>52</v>
      </c>
      <c r="O23" s="566"/>
      <c r="P23" s="566"/>
      <c r="Q23" s="566"/>
      <c r="R23" s="566"/>
      <c r="S23" s="567"/>
      <c r="T23" s="325" t="s">
        <v>56</v>
      </c>
      <c r="U23" s="319"/>
      <c r="V23" s="341"/>
      <c r="W23" s="320"/>
      <c r="X23" s="320"/>
      <c r="Y23" s="315" t="s">
        <v>314</v>
      </c>
      <c r="Z23" s="320"/>
      <c r="AA23" s="299"/>
      <c r="AB23" s="299"/>
      <c r="AC23" s="299"/>
      <c r="AD23" s="299"/>
      <c r="AE23" s="299"/>
      <c r="AF23" s="299"/>
      <c r="AG23" s="299"/>
    </row>
    <row r="24" spans="1:33" ht="93" x14ac:dyDescent="0.35">
      <c r="A24" s="337">
        <v>22</v>
      </c>
      <c r="B24" s="346" t="s">
        <v>361</v>
      </c>
      <c r="C24" s="320" t="s">
        <v>46</v>
      </c>
      <c r="D24" s="322" t="s">
        <v>756</v>
      </c>
      <c r="E24" s="322" t="s">
        <v>774</v>
      </c>
      <c r="F24" s="322" t="s">
        <v>70</v>
      </c>
      <c r="G24" s="322" t="s">
        <v>758</v>
      </c>
      <c r="H24" s="322" t="s">
        <v>345</v>
      </c>
      <c r="I24" s="322">
        <v>2220</v>
      </c>
      <c r="J24" s="322">
        <v>950</v>
      </c>
      <c r="K24" s="322" t="s">
        <v>309</v>
      </c>
      <c r="L24" s="321" t="s">
        <v>52</v>
      </c>
      <c r="M24" s="330" t="s">
        <v>759</v>
      </c>
      <c r="N24" s="331" t="s">
        <v>52</v>
      </c>
      <c r="O24" s="566"/>
      <c r="P24" s="566"/>
      <c r="Q24" s="566"/>
      <c r="R24" s="566"/>
      <c r="S24" s="567"/>
      <c r="T24" s="325" t="s">
        <v>56</v>
      </c>
      <c r="U24" s="319"/>
      <c r="V24" s="341"/>
      <c r="W24" s="320"/>
      <c r="X24" s="320"/>
      <c r="Y24" s="315" t="s">
        <v>314</v>
      </c>
      <c r="Z24" s="320"/>
      <c r="AA24" s="299"/>
      <c r="AB24" s="299"/>
      <c r="AC24" s="299"/>
      <c r="AD24" s="299"/>
      <c r="AE24" s="299"/>
      <c r="AF24" s="299"/>
      <c r="AG24" s="299"/>
    </row>
    <row r="25" spans="1:33" ht="93" x14ac:dyDescent="0.35">
      <c r="A25" s="337">
        <v>23</v>
      </c>
      <c r="B25" s="346" t="s">
        <v>361</v>
      </c>
      <c r="C25" s="320" t="s">
        <v>46</v>
      </c>
      <c r="D25" s="322" t="s">
        <v>756</v>
      </c>
      <c r="E25" s="322" t="s">
        <v>775</v>
      </c>
      <c r="F25" s="322" t="s">
        <v>70</v>
      </c>
      <c r="G25" s="322" t="s">
        <v>758</v>
      </c>
      <c r="H25" s="322" t="s">
        <v>345</v>
      </c>
      <c r="I25" s="322">
        <v>700</v>
      </c>
      <c r="J25" s="322">
        <v>330</v>
      </c>
      <c r="K25" s="322" t="s">
        <v>309</v>
      </c>
      <c r="L25" s="321" t="s">
        <v>52</v>
      </c>
      <c r="M25" s="330" t="s">
        <v>759</v>
      </c>
      <c r="N25" s="331" t="s">
        <v>52</v>
      </c>
      <c r="O25" s="566"/>
      <c r="P25" s="566"/>
      <c r="Q25" s="566"/>
      <c r="R25" s="566"/>
      <c r="S25" s="567"/>
      <c r="T25" s="325" t="s">
        <v>56</v>
      </c>
      <c r="U25" s="319"/>
      <c r="V25" s="341"/>
      <c r="W25" s="320"/>
      <c r="X25" s="320"/>
      <c r="Y25" s="315" t="s">
        <v>314</v>
      </c>
      <c r="Z25" s="320"/>
      <c r="AA25" s="299"/>
      <c r="AB25" s="299"/>
      <c r="AC25" s="299"/>
      <c r="AD25" s="299"/>
      <c r="AE25" s="299"/>
      <c r="AF25" s="299"/>
      <c r="AG25" s="299"/>
    </row>
    <row r="26" spans="1:33" ht="93" x14ac:dyDescent="0.35">
      <c r="A26" s="337">
        <v>24</v>
      </c>
      <c r="B26" s="346" t="s">
        <v>361</v>
      </c>
      <c r="C26" s="320" t="s">
        <v>46</v>
      </c>
      <c r="D26" s="322" t="s">
        <v>756</v>
      </c>
      <c r="E26" s="322" t="s">
        <v>776</v>
      </c>
      <c r="F26" s="322" t="s">
        <v>70</v>
      </c>
      <c r="G26" s="322" t="s">
        <v>758</v>
      </c>
      <c r="H26" s="322" t="s">
        <v>345</v>
      </c>
      <c r="I26" s="322">
        <v>555</v>
      </c>
      <c r="J26" s="322">
        <v>330</v>
      </c>
      <c r="K26" s="322" t="s">
        <v>309</v>
      </c>
      <c r="L26" s="321" t="s">
        <v>52</v>
      </c>
      <c r="M26" s="330" t="s">
        <v>759</v>
      </c>
      <c r="N26" s="331" t="s">
        <v>52</v>
      </c>
      <c r="O26" s="566"/>
      <c r="P26" s="566"/>
      <c r="Q26" s="566"/>
      <c r="R26" s="566"/>
      <c r="S26" s="567"/>
      <c r="T26" s="325" t="s">
        <v>56</v>
      </c>
      <c r="U26" s="319"/>
      <c r="V26" s="341"/>
      <c r="W26" s="320"/>
      <c r="X26" s="320"/>
      <c r="Y26" s="315" t="s">
        <v>314</v>
      </c>
      <c r="Z26" s="320"/>
      <c r="AA26" s="299"/>
      <c r="AB26" s="299"/>
      <c r="AC26" s="299"/>
      <c r="AD26" s="299"/>
      <c r="AE26" s="299"/>
      <c r="AF26" s="299"/>
      <c r="AG26" s="299"/>
    </row>
    <row r="27" spans="1:33" ht="93" x14ac:dyDescent="0.35">
      <c r="A27" s="337">
        <v>25</v>
      </c>
      <c r="B27" s="346" t="s">
        <v>361</v>
      </c>
      <c r="C27" s="320" t="s">
        <v>46</v>
      </c>
      <c r="D27" s="322" t="s">
        <v>756</v>
      </c>
      <c r="E27" s="322" t="s">
        <v>777</v>
      </c>
      <c r="F27" s="322" t="s">
        <v>70</v>
      </c>
      <c r="G27" s="322" t="s">
        <v>758</v>
      </c>
      <c r="H27" s="322" t="s">
        <v>345</v>
      </c>
      <c r="I27" s="322">
        <v>1800</v>
      </c>
      <c r="J27" s="322">
        <v>850</v>
      </c>
      <c r="K27" s="322" t="s">
        <v>309</v>
      </c>
      <c r="L27" s="321" t="s">
        <v>52</v>
      </c>
      <c r="M27" s="330" t="s">
        <v>759</v>
      </c>
      <c r="N27" s="331" t="s">
        <v>52</v>
      </c>
      <c r="O27" s="566"/>
      <c r="P27" s="566"/>
      <c r="Q27" s="566"/>
      <c r="R27" s="566"/>
      <c r="S27" s="567"/>
      <c r="T27" s="325" t="s">
        <v>56</v>
      </c>
      <c r="U27" s="319"/>
      <c r="V27" s="341"/>
      <c r="W27" s="320"/>
      <c r="X27" s="320"/>
      <c r="Y27" s="315" t="s">
        <v>314</v>
      </c>
      <c r="Z27" s="320"/>
      <c r="AA27" s="299"/>
      <c r="AB27" s="299"/>
      <c r="AC27" s="299"/>
      <c r="AD27" s="299"/>
      <c r="AE27" s="299"/>
      <c r="AF27" s="299"/>
      <c r="AG27" s="299"/>
    </row>
    <row r="28" spans="1:33" ht="93" x14ac:dyDescent="0.35">
      <c r="A28" s="337">
        <v>26</v>
      </c>
      <c r="B28" s="346" t="s">
        <v>361</v>
      </c>
      <c r="C28" s="320" t="s">
        <v>46</v>
      </c>
      <c r="D28" s="322" t="s">
        <v>756</v>
      </c>
      <c r="E28" s="322" t="s">
        <v>778</v>
      </c>
      <c r="F28" s="322" t="s">
        <v>70</v>
      </c>
      <c r="G28" s="322" t="s">
        <v>758</v>
      </c>
      <c r="H28" s="322" t="s">
        <v>345</v>
      </c>
      <c r="I28" s="322">
        <v>695</v>
      </c>
      <c r="J28" s="322">
        <v>330</v>
      </c>
      <c r="K28" s="322" t="s">
        <v>309</v>
      </c>
      <c r="L28" s="321" t="s">
        <v>52</v>
      </c>
      <c r="M28" s="330" t="s">
        <v>759</v>
      </c>
      <c r="N28" s="331" t="s">
        <v>52</v>
      </c>
      <c r="O28" s="566"/>
      <c r="P28" s="566"/>
      <c r="Q28" s="566"/>
      <c r="R28" s="566"/>
      <c r="S28" s="567"/>
      <c r="T28" s="325" t="s">
        <v>56</v>
      </c>
      <c r="U28" s="319"/>
      <c r="V28" s="341"/>
      <c r="W28" s="320"/>
      <c r="X28" s="320"/>
      <c r="Y28" s="315" t="s">
        <v>314</v>
      </c>
      <c r="Z28" s="320"/>
      <c r="AA28" s="299"/>
      <c r="AB28" s="299"/>
      <c r="AC28" s="299"/>
      <c r="AD28" s="299"/>
      <c r="AE28" s="299"/>
      <c r="AF28" s="299"/>
      <c r="AG28" s="299"/>
    </row>
    <row r="29" spans="1:33" ht="93" x14ac:dyDescent="0.35">
      <c r="A29" s="337">
        <v>27</v>
      </c>
      <c r="B29" s="346" t="s">
        <v>361</v>
      </c>
      <c r="C29" s="320" t="s">
        <v>46</v>
      </c>
      <c r="D29" s="322" t="s">
        <v>756</v>
      </c>
      <c r="E29" s="322" t="s">
        <v>779</v>
      </c>
      <c r="F29" s="322" t="s">
        <v>70</v>
      </c>
      <c r="G29" s="322" t="s">
        <v>758</v>
      </c>
      <c r="H29" s="322" t="s">
        <v>345</v>
      </c>
      <c r="I29" s="322">
        <v>1640</v>
      </c>
      <c r="J29" s="322">
        <v>760</v>
      </c>
      <c r="K29" s="322" t="s">
        <v>309</v>
      </c>
      <c r="L29" s="321" t="s">
        <v>52</v>
      </c>
      <c r="M29" s="330" t="s">
        <v>763</v>
      </c>
      <c r="N29" s="331" t="s">
        <v>52</v>
      </c>
      <c r="O29" s="566"/>
      <c r="P29" s="566"/>
      <c r="Q29" s="566"/>
      <c r="R29" s="566"/>
      <c r="S29" s="567"/>
      <c r="T29" s="325" t="s">
        <v>56</v>
      </c>
      <c r="U29" s="319"/>
      <c r="V29" s="341"/>
      <c r="W29" s="320"/>
      <c r="X29" s="320"/>
      <c r="Y29" s="315" t="s">
        <v>314</v>
      </c>
      <c r="Z29" s="320"/>
      <c r="AA29" s="299"/>
      <c r="AB29" s="299"/>
      <c r="AC29" s="299"/>
      <c r="AD29" s="299"/>
      <c r="AE29" s="299"/>
      <c r="AF29" s="299"/>
      <c r="AG29" s="299"/>
    </row>
    <row r="30" spans="1:33" x14ac:dyDescent="0.35">
      <c r="B30" s="76"/>
      <c r="C30" s="76"/>
      <c r="I30" s="76"/>
      <c r="J30" s="76"/>
      <c r="N30" s="76"/>
      <c r="T30" s="76"/>
      <c r="U30" s="76"/>
      <c r="V30" s="76"/>
      <c r="W30" s="76"/>
      <c r="AA30" s="299"/>
      <c r="AB30" s="299"/>
      <c r="AC30" s="299"/>
      <c r="AD30" s="299"/>
      <c r="AE30" s="299"/>
      <c r="AF30" s="299"/>
      <c r="AG30" s="299"/>
    </row>
    <row r="31" spans="1:33" x14ac:dyDescent="0.35">
      <c r="B31" s="76"/>
      <c r="C31" s="76"/>
      <c r="I31" s="76"/>
      <c r="J31" s="76"/>
      <c r="N31" s="76"/>
      <c r="T31" s="76"/>
      <c r="U31" s="76"/>
      <c r="V31" s="76"/>
      <c r="W31" s="76"/>
      <c r="AA31" s="299"/>
      <c r="AB31" s="299"/>
      <c r="AC31" s="299"/>
      <c r="AD31" s="299"/>
      <c r="AE31" s="299"/>
      <c r="AF31" s="299"/>
      <c r="AG31" s="299"/>
    </row>
    <row r="32" spans="1:33" x14ac:dyDescent="0.35">
      <c r="B32" s="76"/>
      <c r="C32" s="76"/>
      <c r="I32" s="76"/>
      <c r="J32" s="76"/>
      <c r="N32" s="76"/>
      <c r="T32" s="76"/>
      <c r="U32" s="76"/>
      <c r="V32" s="76"/>
      <c r="W32" s="76"/>
      <c r="AA32" s="299"/>
      <c r="AB32" s="299"/>
      <c r="AC32" s="299"/>
      <c r="AD32" s="299"/>
      <c r="AE32" s="299"/>
      <c r="AF32" s="299"/>
      <c r="AG32" s="299"/>
    </row>
    <row r="33" spans="2:33" x14ac:dyDescent="0.35">
      <c r="B33" s="76"/>
      <c r="C33" s="76"/>
      <c r="I33" s="76"/>
      <c r="J33" s="76"/>
      <c r="N33" s="76"/>
      <c r="T33" s="76"/>
      <c r="U33" s="76"/>
      <c r="V33" s="76"/>
      <c r="W33" s="76"/>
      <c r="AA33" s="299"/>
      <c r="AB33" s="299"/>
      <c r="AC33" s="299"/>
      <c r="AD33" s="299"/>
      <c r="AE33" s="299"/>
      <c r="AF33" s="299"/>
      <c r="AG33" s="299"/>
    </row>
    <row r="34" spans="2:33" x14ac:dyDescent="0.35">
      <c r="B34" s="76"/>
      <c r="C34" s="76"/>
      <c r="I34" s="76"/>
      <c r="J34" s="76"/>
      <c r="N34" s="76"/>
      <c r="T34" s="76"/>
      <c r="U34" s="76"/>
      <c r="V34" s="76"/>
      <c r="W34" s="76"/>
      <c r="AA34" s="299"/>
      <c r="AB34" s="299"/>
      <c r="AC34" s="299"/>
      <c r="AD34" s="299"/>
      <c r="AE34" s="299"/>
      <c r="AF34" s="299"/>
      <c r="AG34" s="299"/>
    </row>
    <row r="35" spans="2:33" x14ac:dyDescent="0.35">
      <c r="B35" s="76"/>
      <c r="C35" s="76"/>
      <c r="I35" s="76"/>
      <c r="J35" s="76"/>
      <c r="N35" s="76"/>
      <c r="T35" s="76"/>
      <c r="U35" s="76"/>
      <c r="V35" s="76"/>
      <c r="W35" s="76"/>
      <c r="AA35" s="299"/>
      <c r="AB35" s="299"/>
      <c r="AC35" s="299"/>
      <c r="AD35" s="299"/>
      <c r="AE35" s="299"/>
      <c r="AF35" s="299"/>
      <c r="AG35" s="299"/>
    </row>
    <row r="36" spans="2:33" x14ac:dyDescent="0.35">
      <c r="B36" s="76"/>
      <c r="C36" s="76"/>
      <c r="I36" s="76"/>
      <c r="J36" s="76"/>
      <c r="N36" s="76"/>
      <c r="T36" s="76"/>
      <c r="U36" s="76"/>
      <c r="V36" s="76"/>
      <c r="W36" s="76"/>
      <c r="AA36" s="299"/>
      <c r="AB36" s="299"/>
      <c r="AC36" s="299"/>
      <c r="AD36" s="299"/>
      <c r="AE36" s="299"/>
      <c r="AF36" s="299"/>
      <c r="AG36" s="299"/>
    </row>
    <row r="37" spans="2:33" x14ac:dyDescent="0.35">
      <c r="B37" s="76"/>
      <c r="C37" s="76"/>
      <c r="I37" s="76"/>
      <c r="J37" s="76"/>
      <c r="N37" s="76"/>
      <c r="T37" s="76"/>
      <c r="U37" s="76"/>
      <c r="V37" s="76"/>
      <c r="W37" s="76"/>
      <c r="AA37" s="299"/>
      <c r="AB37" s="299"/>
      <c r="AC37" s="299"/>
      <c r="AD37" s="299"/>
      <c r="AE37" s="299"/>
      <c r="AF37" s="299"/>
      <c r="AG37" s="299"/>
    </row>
    <row r="38" spans="2:33" x14ac:dyDescent="0.35">
      <c r="B38" s="76"/>
      <c r="C38" s="76"/>
      <c r="I38" s="76"/>
      <c r="J38" s="76"/>
      <c r="N38" s="76"/>
      <c r="T38" s="76"/>
      <c r="U38" s="76"/>
      <c r="V38" s="76"/>
      <c r="W38" s="76"/>
      <c r="AA38" s="299"/>
      <c r="AB38" s="299"/>
      <c r="AC38" s="299"/>
      <c r="AD38" s="299"/>
      <c r="AE38" s="299"/>
      <c r="AF38" s="299"/>
      <c r="AG38" s="299"/>
    </row>
    <row r="39" spans="2:33" x14ac:dyDescent="0.35">
      <c r="B39" s="76"/>
      <c r="C39" s="76"/>
      <c r="I39" s="76"/>
      <c r="J39" s="76"/>
      <c r="N39" s="76"/>
      <c r="T39" s="76"/>
      <c r="U39" s="76"/>
      <c r="V39" s="76"/>
      <c r="W39" s="76"/>
      <c r="AA39" s="299"/>
      <c r="AB39" s="299"/>
      <c r="AC39" s="299"/>
      <c r="AD39" s="299"/>
      <c r="AE39" s="299"/>
      <c r="AF39" s="299"/>
      <c r="AG39" s="299"/>
    </row>
    <row r="40" spans="2:33" x14ac:dyDescent="0.35">
      <c r="B40" s="76"/>
      <c r="C40" s="76"/>
      <c r="I40" s="76"/>
      <c r="J40" s="76"/>
      <c r="N40" s="76"/>
      <c r="T40" s="76"/>
      <c r="U40" s="76"/>
      <c r="V40" s="76"/>
      <c r="W40" s="76"/>
      <c r="AA40" s="299"/>
      <c r="AB40" s="299"/>
      <c r="AC40" s="299"/>
      <c r="AD40" s="299"/>
      <c r="AE40" s="299"/>
      <c r="AF40" s="299"/>
      <c r="AG40" s="299"/>
    </row>
    <row r="41" spans="2:33" x14ac:dyDescent="0.35">
      <c r="B41" s="76"/>
      <c r="C41" s="76"/>
      <c r="I41" s="76"/>
      <c r="J41" s="76"/>
      <c r="N41" s="76"/>
      <c r="T41" s="76"/>
      <c r="U41" s="76"/>
      <c r="V41" s="76"/>
      <c r="W41" s="76"/>
      <c r="AA41" s="299"/>
      <c r="AB41" s="299"/>
      <c r="AC41" s="299"/>
      <c r="AD41" s="299"/>
      <c r="AE41" s="299"/>
      <c r="AF41" s="299"/>
      <c r="AG41" s="299"/>
    </row>
    <row r="42" spans="2:33" x14ac:dyDescent="0.35">
      <c r="B42" s="76"/>
      <c r="Y42" s="299"/>
      <c r="Z42" s="299"/>
      <c r="AA42" s="299"/>
      <c r="AB42" s="299"/>
      <c r="AC42" s="299"/>
      <c r="AD42" s="299"/>
      <c r="AE42" s="299"/>
      <c r="AF42" s="299"/>
      <c r="AG42" s="299"/>
    </row>
    <row r="43" spans="2:33" x14ac:dyDescent="0.35">
      <c r="B43" s="76"/>
      <c r="Y43" s="299"/>
      <c r="Z43" s="299"/>
      <c r="AA43" s="299"/>
      <c r="AB43" s="299"/>
      <c r="AC43" s="299"/>
      <c r="AD43" s="299"/>
      <c r="AE43" s="299"/>
      <c r="AF43" s="299"/>
      <c r="AG43" s="299"/>
    </row>
    <row r="44" spans="2:33" x14ac:dyDescent="0.35">
      <c r="Y44" s="299"/>
      <c r="Z44" s="299"/>
      <c r="AA44" s="299"/>
      <c r="AB44" s="299"/>
      <c r="AC44" s="299"/>
      <c r="AD44" s="299"/>
      <c r="AE44" s="299"/>
      <c r="AF44" s="299"/>
      <c r="AG44" s="299"/>
    </row>
    <row r="45" spans="2:33" x14ac:dyDescent="0.35">
      <c r="Y45" s="299"/>
      <c r="Z45" s="299"/>
      <c r="AA45" s="299"/>
      <c r="AB45" s="299"/>
      <c r="AC45" s="299"/>
      <c r="AD45" s="299"/>
      <c r="AE45" s="299"/>
      <c r="AF45" s="299"/>
      <c r="AG45" s="299"/>
    </row>
    <row r="46" spans="2:33" x14ac:dyDescent="0.35">
      <c r="Y46" s="299"/>
      <c r="Z46" s="299"/>
      <c r="AA46" s="299"/>
      <c r="AB46" s="299"/>
      <c r="AC46" s="299"/>
      <c r="AD46" s="299"/>
      <c r="AE46" s="299"/>
      <c r="AF46" s="299"/>
      <c r="AG46" s="299"/>
    </row>
    <row r="47" spans="2:33" x14ac:dyDescent="0.35">
      <c r="Y47" s="299"/>
      <c r="Z47" s="299"/>
      <c r="AA47" s="299"/>
      <c r="AB47" s="299"/>
      <c r="AC47" s="299"/>
      <c r="AD47" s="299"/>
      <c r="AE47" s="299"/>
      <c r="AF47" s="299"/>
      <c r="AG47" s="299"/>
    </row>
    <row r="48" spans="2:33" x14ac:dyDescent="0.35">
      <c r="Y48" s="299"/>
      <c r="Z48" s="299"/>
      <c r="AA48" s="299"/>
      <c r="AB48" s="299"/>
      <c r="AC48" s="299"/>
      <c r="AD48" s="299"/>
      <c r="AE48" s="299"/>
      <c r="AF48" s="299"/>
      <c r="AG48" s="299"/>
    </row>
    <row r="49" spans="25:33" x14ac:dyDescent="0.35">
      <c r="Y49" s="299"/>
      <c r="Z49" s="299"/>
      <c r="AA49" s="299"/>
      <c r="AB49" s="299"/>
      <c r="AC49" s="299"/>
      <c r="AD49" s="299"/>
      <c r="AE49" s="299"/>
      <c r="AF49" s="299"/>
      <c r="AG49" s="299"/>
    </row>
    <row r="50" spans="25:33" x14ac:dyDescent="0.35">
      <c r="Y50" s="299"/>
      <c r="Z50" s="299"/>
      <c r="AA50" s="299"/>
      <c r="AB50" s="299"/>
      <c r="AC50" s="299"/>
      <c r="AD50" s="299"/>
      <c r="AE50" s="299"/>
      <c r="AF50" s="299"/>
      <c r="AG50" s="299"/>
    </row>
    <row r="51" spans="25:33" x14ac:dyDescent="0.35">
      <c r="Y51" s="299"/>
      <c r="Z51" s="299"/>
      <c r="AA51" s="299"/>
      <c r="AB51" s="299"/>
      <c r="AC51" s="299"/>
      <c r="AD51" s="299"/>
      <c r="AE51" s="299"/>
      <c r="AF51" s="299"/>
      <c r="AG51" s="299"/>
    </row>
    <row r="52" spans="25:33" x14ac:dyDescent="0.35">
      <c r="Y52" s="299"/>
      <c r="Z52" s="299"/>
      <c r="AA52" s="299"/>
      <c r="AB52" s="299"/>
      <c r="AC52" s="299"/>
      <c r="AD52" s="299"/>
      <c r="AE52" s="299"/>
      <c r="AF52" s="299"/>
      <c r="AG52" s="299"/>
    </row>
    <row r="53" spans="25:33" x14ac:dyDescent="0.35">
      <c r="Y53" s="299"/>
      <c r="Z53" s="299"/>
      <c r="AA53" s="299"/>
      <c r="AB53" s="299"/>
      <c r="AC53" s="299"/>
      <c r="AD53" s="299"/>
      <c r="AE53" s="299"/>
      <c r="AF53" s="299"/>
      <c r="AG53" s="299"/>
    </row>
    <row r="54" spans="25:33" x14ac:dyDescent="0.35">
      <c r="Y54" s="299"/>
      <c r="Z54" s="299"/>
      <c r="AA54" s="299"/>
      <c r="AB54" s="299"/>
      <c r="AC54" s="299"/>
      <c r="AD54" s="299"/>
      <c r="AE54" s="299"/>
      <c r="AF54" s="299"/>
      <c r="AG54" s="299"/>
    </row>
    <row r="55" spans="25:33" x14ac:dyDescent="0.35">
      <c r="Y55" s="299"/>
      <c r="Z55" s="299"/>
      <c r="AA55" s="299"/>
      <c r="AB55" s="299"/>
      <c r="AC55" s="299"/>
      <c r="AD55" s="299"/>
      <c r="AE55" s="299"/>
      <c r="AF55" s="299"/>
      <c r="AG55" s="299"/>
    </row>
    <row r="56" spans="25:33" x14ac:dyDescent="0.35">
      <c r="Y56" s="299"/>
      <c r="Z56" s="299"/>
      <c r="AA56" s="299"/>
      <c r="AB56" s="299"/>
      <c r="AC56" s="299"/>
      <c r="AD56" s="299"/>
      <c r="AE56" s="299"/>
      <c r="AF56" s="299"/>
      <c r="AG56" s="299"/>
    </row>
    <row r="57" spans="25:33" x14ac:dyDescent="0.35">
      <c r="Y57" s="299"/>
      <c r="Z57" s="299"/>
      <c r="AA57" s="299"/>
      <c r="AB57" s="299"/>
      <c r="AC57" s="299"/>
      <c r="AD57" s="299"/>
      <c r="AE57" s="299"/>
      <c r="AF57" s="299"/>
      <c r="AG57" s="299"/>
    </row>
    <row r="58" spans="25:33" x14ac:dyDescent="0.35">
      <c r="Y58" s="299"/>
      <c r="Z58" s="299"/>
      <c r="AA58" s="299"/>
      <c r="AB58" s="299"/>
      <c r="AC58" s="299"/>
      <c r="AD58" s="299"/>
      <c r="AE58" s="299"/>
      <c r="AF58" s="299"/>
      <c r="AG58" s="299"/>
    </row>
    <row r="59" spans="25:33" x14ac:dyDescent="0.35">
      <c r="Y59" s="299"/>
      <c r="Z59" s="299"/>
      <c r="AA59" s="299"/>
      <c r="AB59" s="299"/>
      <c r="AC59" s="299"/>
      <c r="AD59" s="299"/>
      <c r="AE59" s="299"/>
      <c r="AF59" s="299"/>
      <c r="AG59" s="299"/>
    </row>
    <row r="60" spans="25:33" x14ac:dyDescent="0.35">
      <c r="Y60" s="299"/>
      <c r="Z60" s="299"/>
      <c r="AA60" s="299"/>
      <c r="AB60" s="299"/>
      <c r="AC60" s="299"/>
      <c r="AD60" s="299"/>
      <c r="AE60" s="299"/>
      <c r="AF60" s="299"/>
      <c r="AG60" s="299"/>
    </row>
    <row r="61" spans="25:33" x14ac:dyDescent="0.35">
      <c r="Y61" s="299"/>
      <c r="Z61" s="299"/>
      <c r="AA61" s="299"/>
      <c r="AB61" s="299"/>
      <c r="AC61" s="299"/>
      <c r="AD61" s="299"/>
      <c r="AE61" s="299"/>
      <c r="AF61" s="299"/>
      <c r="AG61" s="299"/>
    </row>
    <row r="62" spans="25:33" x14ac:dyDescent="0.35">
      <c r="Y62" s="299"/>
      <c r="Z62" s="299"/>
      <c r="AA62" s="299"/>
      <c r="AB62" s="299"/>
      <c r="AC62" s="299"/>
      <c r="AD62" s="299"/>
      <c r="AE62" s="299"/>
      <c r="AF62" s="299"/>
      <c r="AG62" s="299"/>
    </row>
    <row r="63" spans="25:33" x14ac:dyDescent="0.35">
      <c r="Y63" s="299"/>
      <c r="Z63" s="299"/>
      <c r="AA63" s="299"/>
      <c r="AB63" s="299"/>
      <c r="AC63" s="299"/>
      <c r="AD63" s="299"/>
      <c r="AE63" s="299"/>
      <c r="AF63" s="299"/>
      <c r="AG63" s="299"/>
    </row>
    <row r="64" spans="25:33" x14ac:dyDescent="0.35">
      <c r="Y64" s="299"/>
      <c r="Z64" s="299"/>
      <c r="AA64" s="299"/>
      <c r="AB64" s="299"/>
      <c r="AC64" s="299"/>
      <c r="AD64" s="299"/>
      <c r="AE64" s="299"/>
      <c r="AF64" s="299"/>
      <c r="AG64" s="299"/>
    </row>
    <row r="65" spans="25:33" x14ac:dyDescent="0.35">
      <c r="Y65" s="299"/>
      <c r="Z65" s="299"/>
      <c r="AA65" s="299"/>
      <c r="AB65" s="299"/>
      <c r="AC65" s="299"/>
      <c r="AD65" s="299"/>
      <c r="AE65" s="299"/>
      <c r="AF65" s="299"/>
      <c r="AG65" s="299"/>
    </row>
    <row r="66" spans="25:33" x14ac:dyDescent="0.35">
      <c r="Y66" s="299"/>
      <c r="Z66" s="299"/>
      <c r="AA66" s="299"/>
      <c r="AB66" s="299"/>
      <c r="AC66" s="299"/>
      <c r="AD66" s="299"/>
      <c r="AE66" s="299"/>
      <c r="AF66" s="299"/>
      <c r="AG66" s="299"/>
    </row>
    <row r="67" spans="25:33" x14ac:dyDescent="0.35">
      <c r="Y67" s="299"/>
      <c r="Z67" s="299"/>
      <c r="AA67" s="299"/>
      <c r="AB67" s="299"/>
      <c r="AC67" s="299"/>
      <c r="AD67" s="299"/>
      <c r="AE67" s="299"/>
      <c r="AF67" s="299"/>
      <c r="AG67" s="299"/>
    </row>
    <row r="68" spans="25:33" x14ac:dyDescent="0.35">
      <c r="Y68" s="299"/>
      <c r="Z68" s="299"/>
      <c r="AA68" s="299"/>
      <c r="AB68" s="299"/>
      <c r="AC68" s="299"/>
      <c r="AD68" s="299"/>
      <c r="AE68" s="299"/>
      <c r="AF68" s="299"/>
      <c r="AG68" s="299"/>
    </row>
    <row r="69" spans="25:33" x14ac:dyDescent="0.35">
      <c r="Y69" s="299"/>
      <c r="Z69" s="299"/>
      <c r="AA69" s="299"/>
      <c r="AB69" s="299"/>
      <c r="AC69" s="299"/>
      <c r="AD69" s="299"/>
      <c r="AE69" s="299"/>
      <c r="AF69" s="299"/>
      <c r="AG69" s="299"/>
    </row>
    <row r="70" spans="25:33" x14ac:dyDescent="0.35">
      <c r="Y70" s="299"/>
      <c r="Z70" s="299"/>
      <c r="AA70" s="299"/>
      <c r="AB70" s="299"/>
      <c r="AC70" s="299"/>
      <c r="AD70" s="299"/>
      <c r="AE70" s="299"/>
      <c r="AF70" s="299"/>
      <c r="AG70" s="299"/>
    </row>
    <row r="71" spans="25:33" x14ac:dyDescent="0.35">
      <c r="Y71" s="299"/>
      <c r="Z71" s="299"/>
      <c r="AA71" s="299"/>
      <c r="AB71" s="299"/>
      <c r="AC71" s="299"/>
      <c r="AD71" s="299"/>
      <c r="AE71" s="299"/>
      <c r="AF71" s="299"/>
      <c r="AG71" s="299"/>
    </row>
    <row r="72" spans="25:33" x14ac:dyDescent="0.35">
      <c r="Y72" s="299"/>
      <c r="Z72" s="299"/>
      <c r="AA72" s="299"/>
      <c r="AB72" s="299"/>
      <c r="AC72" s="299"/>
      <c r="AD72" s="299"/>
      <c r="AE72" s="299"/>
      <c r="AF72" s="299"/>
      <c r="AG72" s="299"/>
    </row>
    <row r="73" spans="25:33" x14ac:dyDescent="0.35">
      <c r="Y73" s="299"/>
      <c r="Z73" s="299"/>
      <c r="AA73" s="299"/>
      <c r="AB73" s="299"/>
      <c r="AC73" s="299"/>
      <c r="AD73" s="299"/>
      <c r="AE73" s="299"/>
      <c r="AF73" s="299"/>
      <c r="AG73" s="299"/>
    </row>
    <row r="74" spans="25:33" x14ac:dyDescent="0.35">
      <c r="Y74" s="299"/>
      <c r="Z74" s="299"/>
      <c r="AA74" s="299"/>
      <c r="AB74" s="299"/>
      <c r="AC74" s="299"/>
      <c r="AD74" s="299"/>
      <c r="AE74" s="299"/>
      <c r="AF74" s="299"/>
      <c r="AG74" s="299"/>
    </row>
    <row r="75" spans="25:33" x14ac:dyDescent="0.35">
      <c r="Y75" s="299"/>
      <c r="Z75" s="299"/>
      <c r="AA75" s="299"/>
      <c r="AB75" s="299"/>
      <c r="AC75" s="299"/>
      <c r="AD75" s="299"/>
      <c r="AE75" s="299"/>
      <c r="AF75" s="299"/>
      <c r="AG75" s="299"/>
    </row>
    <row r="76" spans="25:33" x14ac:dyDescent="0.35">
      <c r="Y76" s="299"/>
      <c r="Z76" s="299"/>
      <c r="AA76" s="299"/>
      <c r="AB76" s="299"/>
      <c r="AC76" s="299"/>
      <c r="AD76" s="299"/>
      <c r="AE76" s="299"/>
      <c r="AF76" s="299"/>
      <c r="AG76" s="299"/>
    </row>
    <row r="77" spans="25:33" x14ac:dyDescent="0.35">
      <c r="Y77" s="299"/>
      <c r="Z77" s="299"/>
      <c r="AA77" s="299"/>
      <c r="AB77" s="299"/>
      <c r="AC77" s="299"/>
      <c r="AD77" s="299"/>
      <c r="AE77" s="299"/>
      <c r="AF77" s="299"/>
      <c r="AG77" s="299"/>
    </row>
    <row r="78" spans="25:33" x14ac:dyDescent="0.35">
      <c r="Y78" s="299"/>
      <c r="Z78" s="299"/>
      <c r="AA78" s="299"/>
      <c r="AB78" s="299"/>
      <c r="AC78" s="299"/>
      <c r="AD78" s="299"/>
      <c r="AE78" s="299"/>
      <c r="AF78" s="299"/>
      <c r="AG78" s="299"/>
    </row>
    <row r="79" spans="25:33" x14ac:dyDescent="0.35">
      <c r="Y79" s="299"/>
      <c r="Z79" s="299"/>
      <c r="AA79" s="299"/>
      <c r="AB79" s="299"/>
      <c r="AC79" s="299"/>
      <c r="AD79" s="299"/>
      <c r="AE79" s="299"/>
      <c r="AF79" s="299"/>
      <c r="AG79" s="299"/>
    </row>
    <row r="80" spans="25:33" x14ac:dyDescent="0.35">
      <c r="Y80" s="299"/>
      <c r="Z80" s="299"/>
      <c r="AA80" s="299"/>
      <c r="AB80" s="299"/>
      <c r="AC80" s="299"/>
      <c r="AD80" s="299"/>
      <c r="AE80" s="299"/>
      <c r="AF80" s="299"/>
      <c r="AG80" s="299"/>
    </row>
    <row r="81" spans="25:33" x14ac:dyDescent="0.35">
      <c r="Y81" s="299"/>
      <c r="Z81" s="299"/>
      <c r="AA81" s="299"/>
      <c r="AB81" s="299"/>
      <c r="AC81" s="299"/>
      <c r="AD81" s="299"/>
      <c r="AE81" s="299"/>
      <c r="AF81" s="299"/>
      <c r="AG81" s="299"/>
    </row>
    <row r="82" spans="25:33" x14ac:dyDescent="0.35">
      <c r="Y82" s="299"/>
      <c r="Z82" s="299"/>
      <c r="AA82" s="299"/>
      <c r="AB82" s="299"/>
      <c r="AC82" s="299"/>
      <c r="AD82" s="299"/>
      <c r="AE82" s="299"/>
      <c r="AF82" s="299"/>
      <c r="AG82" s="299"/>
    </row>
    <row r="83" spans="25:33" x14ac:dyDescent="0.35">
      <c r="Y83" s="299"/>
      <c r="Z83" s="299"/>
      <c r="AA83" s="299"/>
      <c r="AB83" s="299"/>
      <c r="AC83" s="299"/>
      <c r="AD83" s="299"/>
      <c r="AE83" s="299"/>
      <c r="AF83" s="299"/>
      <c r="AG83" s="299"/>
    </row>
    <row r="84" spans="25:33" x14ac:dyDescent="0.35">
      <c r="Y84" s="299"/>
      <c r="Z84" s="299"/>
      <c r="AA84" s="299"/>
      <c r="AB84" s="299"/>
      <c r="AC84" s="299"/>
      <c r="AD84" s="299"/>
      <c r="AE84" s="299"/>
      <c r="AF84" s="299"/>
      <c r="AG84" s="299"/>
    </row>
    <row r="85" spans="25:33" x14ac:dyDescent="0.35">
      <c r="Y85" s="299"/>
      <c r="Z85" s="299"/>
      <c r="AA85" s="299"/>
      <c r="AB85" s="299"/>
      <c r="AC85" s="299"/>
      <c r="AD85" s="299"/>
      <c r="AE85" s="299"/>
      <c r="AF85" s="299"/>
      <c r="AG85" s="299"/>
    </row>
    <row r="86" spans="25:33" x14ac:dyDescent="0.35">
      <c r="Y86" s="299"/>
      <c r="Z86" s="299"/>
      <c r="AA86" s="299"/>
      <c r="AB86" s="299"/>
      <c r="AC86" s="299"/>
      <c r="AD86" s="299"/>
      <c r="AE86" s="299"/>
      <c r="AF86" s="299"/>
      <c r="AG86" s="299"/>
    </row>
    <row r="87" spans="25:33" x14ac:dyDescent="0.35">
      <c r="Y87" s="299"/>
      <c r="Z87" s="299"/>
      <c r="AA87" s="299"/>
      <c r="AB87" s="299"/>
      <c r="AC87" s="299"/>
      <c r="AD87" s="299"/>
      <c r="AE87" s="299"/>
      <c r="AF87" s="299"/>
      <c r="AG87" s="299"/>
    </row>
    <row r="88" spans="25:33" x14ac:dyDescent="0.35">
      <c r="Y88" s="299"/>
      <c r="Z88" s="299"/>
      <c r="AA88" s="299"/>
      <c r="AB88" s="299"/>
      <c r="AC88" s="299"/>
      <c r="AD88" s="299"/>
      <c r="AE88" s="299"/>
      <c r="AF88" s="299"/>
      <c r="AG88" s="299"/>
    </row>
    <row r="89" spans="25:33" x14ac:dyDescent="0.35">
      <c r="Y89" s="299"/>
      <c r="Z89" s="299"/>
      <c r="AA89" s="299"/>
      <c r="AB89" s="299"/>
      <c r="AC89" s="299"/>
      <c r="AD89" s="299"/>
      <c r="AE89" s="299"/>
      <c r="AF89" s="299"/>
      <c r="AG89" s="299"/>
    </row>
    <row r="90" spans="25:33" x14ac:dyDescent="0.35">
      <c r="Y90" s="299"/>
      <c r="Z90" s="299"/>
      <c r="AA90" s="299"/>
      <c r="AB90" s="299"/>
      <c r="AC90" s="299"/>
      <c r="AD90" s="299"/>
      <c r="AE90" s="299"/>
      <c r="AF90" s="299"/>
      <c r="AG90" s="299"/>
    </row>
    <row r="91" spans="25:33" x14ac:dyDescent="0.35">
      <c r="Y91" s="299"/>
      <c r="Z91" s="299"/>
      <c r="AA91" s="299"/>
      <c r="AB91" s="299"/>
      <c r="AC91" s="299"/>
      <c r="AD91" s="299"/>
      <c r="AE91" s="299"/>
      <c r="AF91" s="299"/>
      <c r="AG91" s="299"/>
    </row>
    <row r="92" spans="25:33" x14ac:dyDescent="0.35">
      <c r="Y92" s="299"/>
      <c r="Z92" s="299"/>
      <c r="AA92" s="299"/>
      <c r="AB92" s="299"/>
      <c r="AC92" s="299"/>
      <c r="AD92" s="299"/>
      <c r="AE92" s="299"/>
      <c r="AF92" s="299"/>
      <c r="AG92" s="299"/>
    </row>
    <row r="93" spans="25:33" x14ac:dyDescent="0.35">
      <c r="Y93" s="299"/>
      <c r="Z93" s="299"/>
      <c r="AA93" s="299"/>
      <c r="AB93" s="299"/>
      <c r="AC93" s="299"/>
      <c r="AD93" s="299"/>
      <c r="AE93" s="299"/>
      <c r="AF93" s="299"/>
      <c r="AG93" s="299"/>
    </row>
    <row r="94" spans="25:33" x14ac:dyDescent="0.35">
      <c r="Y94" s="299"/>
      <c r="Z94" s="299"/>
      <c r="AA94" s="299"/>
      <c r="AB94" s="299"/>
      <c r="AC94" s="299"/>
      <c r="AD94" s="299"/>
      <c r="AE94" s="299"/>
      <c r="AF94" s="299"/>
      <c r="AG94" s="299"/>
    </row>
    <row r="95" spans="25:33" x14ac:dyDescent="0.35">
      <c r="Y95" s="299"/>
      <c r="Z95" s="299"/>
      <c r="AA95" s="299"/>
      <c r="AB95" s="299"/>
      <c r="AC95" s="299"/>
      <c r="AD95" s="299"/>
      <c r="AE95" s="299"/>
      <c r="AF95" s="299"/>
      <c r="AG95" s="299"/>
    </row>
    <row r="96" spans="25:33" x14ac:dyDescent="0.35">
      <c r="Y96" s="299"/>
      <c r="Z96" s="299"/>
      <c r="AA96" s="299"/>
      <c r="AB96" s="299"/>
      <c r="AC96" s="299"/>
      <c r="AD96" s="299"/>
      <c r="AE96" s="299"/>
      <c r="AF96" s="299"/>
      <c r="AG96" s="299"/>
    </row>
    <row r="97" spans="25:33" x14ac:dyDescent="0.35">
      <c r="Y97" s="299"/>
      <c r="Z97" s="299"/>
      <c r="AA97" s="299"/>
      <c r="AB97" s="299"/>
      <c r="AC97" s="299"/>
      <c r="AD97" s="299"/>
      <c r="AE97" s="299"/>
      <c r="AF97" s="299"/>
      <c r="AG97" s="299"/>
    </row>
    <row r="98" spans="25:33" x14ac:dyDescent="0.35">
      <c r="Y98" s="299"/>
      <c r="Z98" s="299"/>
      <c r="AA98" s="299"/>
      <c r="AB98" s="299"/>
      <c r="AC98" s="299"/>
      <c r="AD98" s="299"/>
      <c r="AE98" s="299"/>
      <c r="AF98" s="299"/>
      <c r="AG98" s="299"/>
    </row>
    <row r="99" spans="25:33" x14ac:dyDescent="0.35">
      <c r="Y99" s="299"/>
      <c r="Z99" s="299"/>
      <c r="AA99" s="299"/>
      <c r="AB99" s="299"/>
      <c r="AC99" s="299"/>
      <c r="AD99" s="299"/>
      <c r="AE99" s="299"/>
      <c r="AF99" s="299"/>
      <c r="AG99" s="299"/>
    </row>
    <row r="100" spans="25:33" x14ac:dyDescent="0.35">
      <c r="Y100" s="299"/>
      <c r="Z100" s="299"/>
      <c r="AA100" s="299"/>
      <c r="AB100" s="299"/>
      <c r="AC100" s="299"/>
      <c r="AD100" s="299"/>
      <c r="AE100" s="299"/>
      <c r="AF100" s="299"/>
      <c r="AG100" s="299"/>
    </row>
    <row r="101" spans="25:33" x14ac:dyDescent="0.35">
      <c r="Y101" s="299"/>
      <c r="Z101" s="299"/>
      <c r="AA101" s="299"/>
      <c r="AB101" s="299"/>
      <c r="AC101" s="299"/>
      <c r="AD101" s="299"/>
      <c r="AE101" s="299"/>
      <c r="AF101" s="299"/>
      <c r="AG101" s="299"/>
    </row>
    <row r="102" spans="25:33" x14ac:dyDescent="0.35">
      <c r="Y102" s="299"/>
      <c r="Z102" s="299"/>
      <c r="AA102" s="299"/>
      <c r="AB102" s="299"/>
      <c r="AC102" s="299"/>
      <c r="AD102" s="299"/>
      <c r="AE102" s="299"/>
      <c r="AF102" s="299"/>
      <c r="AG102" s="299"/>
    </row>
    <row r="103" spans="25:33" x14ac:dyDescent="0.35">
      <c r="Y103" s="299"/>
      <c r="Z103" s="299"/>
      <c r="AA103" s="299"/>
      <c r="AB103" s="299"/>
      <c r="AC103" s="299"/>
      <c r="AD103" s="299"/>
      <c r="AE103" s="299"/>
      <c r="AF103" s="299"/>
      <c r="AG103" s="299"/>
    </row>
    <row r="104" spans="25:33" x14ac:dyDescent="0.35">
      <c r="Y104" s="299"/>
      <c r="Z104" s="299"/>
      <c r="AA104" s="299"/>
      <c r="AB104" s="299"/>
      <c r="AC104" s="299"/>
      <c r="AD104" s="299"/>
      <c r="AE104" s="299"/>
      <c r="AF104" s="299"/>
      <c r="AG104" s="299"/>
    </row>
    <row r="105" spans="25:33" x14ac:dyDescent="0.35">
      <c r="Y105" s="299"/>
      <c r="Z105" s="299"/>
      <c r="AA105" s="299"/>
      <c r="AB105" s="299"/>
      <c r="AC105" s="299"/>
      <c r="AD105" s="299"/>
      <c r="AE105" s="299"/>
      <c r="AF105" s="299"/>
      <c r="AG105" s="299"/>
    </row>
    <row r="106" spans="25:33" x14ac:dyDescent="0.35">
      <c r="Y106" s="299"/>
      <c r="Z106" s="299"/>
      <c r="AA106" s="299"/>
      <c r="AB106" s="299"/>
      <c r="AC106" s="299"/>
      <c r="AD106" s="299"/>
      <c r="AE106" s="299"/>
      <c r="AF106" s="299"/>
      <c r="AG106" s="299"/>
    </row>
    <row r="107" spans="25:33" x14ac:dyDescent="0.35">
      <c r="Y107" s="299"/>
      <c r="Z107" s="299"/>
      <c r="AA107" s="299"/>
      <c r="AB107" s="299"/>
      <c r="AC107" s="299"/>
      <c r="AD107" s="299"/>
      <c r="AE107" s="299"/>
      <c r="AF107" s="299"/>
      <c r="AG107" s="299"/>
    </row>
    <row r="108" spans="25:33" x14ac:dyDescent="0.35">
      <c r="Y108" s="299"/>
      <c r="Z108" s="299"/>
      <c r="AA108" s="299"/>
      <c r="AB108" s="299"/>
      <c r="AC108" s="299"/>
      <c r="AD108" s="299"/>
      <c r="AE108" s="299"/>
      <c r="AF108" s="299"/>
      <c r="AG108" s="299"/>
    </row>
    <row r="109" spans="25:33" x14ac:dyDescent="0.35">
      <c r="Y109" s="299"/>
      <c r="Z109" s="299"/>
      <c r="AA109" s="299"/>
      <c r="AB109" s="299"/>
      <c r="AC109" s="299"/>
      <c r="AD109" s="299"/>
      <c r="AE109" s="299"/>
      <c r="AF109" s="299"/>
      <c r="AG109" s="299"/>
    </row>
    <row r="110" spans="25:33" x14ac:dyDescent="0.35">
      <c r="Y110" s="299"/>
      <c r="Z110" s="299"/>
      <c r="AA110" s="299"/>
      <c r="AB110" s="299"/>
      <c r="AC110" s="299"/>
      <c r="AD110" s="299"/>
      <c r="AE110" s="299"/>
      <c r="AF110" s="299"/>
      <c r="AG110" s="299"/>
    </row>
    <row r="111" spans="25:33" x14ac:dyDescent="0.35">
      <c r="Y111" s="299"/>
      <c r="Z111" s="299"/>
      <c r="AA111" s="299"/>
      <c r="AB111" s="299"/>
      <c r="AC111" s="299"/>
      <c r="AD111" s="299"/>
      <c r="AE111" s="299"/>
      <c r="AF111" s="299"/>
      <c r="AG111" s="299"/>
    </row>
    <row r="112" spans="25:33" x14ac:dyDescent="0.35">
      <c r="Y112" s="299"/>
      <c r="Z112" s="299"/>
      <c r="AA112" s="299"/>
      <c r="AB112" s="299"/>
      <c r="AC112" s="299"/>
      <c r="AD112" s="299"/>
      <c r="AE112" s="299"/>
      <c r="AF112" s="299"/>
      <c r="AG112" s="299"/>
    </row>
    <row r="113" spans="25:33" x14ac:dyDescent="0.35">
      <c r="Y113" s="299"/>
      <c r="Z113" s="299"/>
      <c r="AA113" s="299"/>
      <c r="AB113" s="299"/>
      <c r="AC113" s="299"/>
      <c r="AD113" s="299"/>
      <c r="AE113" s="299"/>
      <c r="AF113" s="299"/>
      <c r="AG113" s="299"/>
    </row>
    <row r="114" spans="25:33" x14ac:dyDescent="0.35">
      <c r="Y114" s="299"/>
      <c r="Z114" s="299"/>
      <c r="AA114" s="299"/>
      <c r="AB114" s="299"/>
      <c r="AC114" s="299"/>
      <c r="AD114" s="299"/>
      <c r="AE114" s="299"/>
      <c r="AF114" s="299"/>
      <c r="AG114" s="299"/>
    </row>
    <row r="115" spans="25:33" x14ac:dyDescent="0.35">
      <c r="Y115" s="299"/>
      <c r="Z115" s="299"/>
      <c r="AA115" s="299"/>
      <c r="AB115" s="299"/>
      <c r="AC115" s="299"/>
      <c r="AD115" s="299"/>
      <c r="AE115" s="299"/>
      <c r="AF115" s="299"/>
      <c r="AG115" s="299"/>
    </row>
    <row r="116" spans="25:33" x14ac:dyDescent="0.35">
      <c r="Y116" s="299"/>
      <c r="Z116" s="299"/>
      <c r="AA116" s="299"/>
      <c r="AB116" s="299"/>
      <c r="AC116" s="299"/>
      <c r="AD116" s="299"/>
      <c r="AE116" s="299"/>
      <c r="AF116" s="299"/>
      <c r="AG116" s="299"/>
    </row>
    <row r="117" spans="25:33" x14ac:dyDescent="0.35">
      <c r="Y117" s="299"/>
      <c r="Z117" s="299"/>
      <c r="AA117" s="299"/>
      <c r="AB117" s="299"/>
      <c r="AC117" s="299"/>
      <c r="AD117" s="299"/>
      <c r="AE117" s="299"/>
      <c r="AF117" s="299"/>
      <c r="AG117" s="299"/>
    </row>
    <row r="118" spans="25:33" x14ac:dyDescent="0.35">
      <c r="Y118" s="299"/>
      <c r="Z118" s="299"/>
      <c r="AA118" s="299"/>
      <c r="AB118" s="299"/>
      <c r="AC118" s="299"/>
      <c r="AD118" s="299"/>
      <c r="AE118" s="299"/>
      <c r="AF118" s="299"/>
      <c r="AG118" s="299"/>
    </row>
    <row r="119" spans="25:33" x14ac:dyDescent="0.35">
      <c r="Y119" s="299"/>
      <c r="Z119" s="299"/>
      <c r="AA119" s="299"/>
      <c r="AB119" s="299"/>
      <c r="AC119" s="299"/>
      <c r="AD119" s="299"/>
      <c r="AE119" s="299"/>
      <c r="AF119" s="299"/>
      <c r="AG119" s="299"/>
    </row>
    <row r="120" spans="25:33" x14ac:dyDescent="0.35">
      <c r="Y120" s="299"/>
      <c r="Z120" s="299"/>
      <c r="AA120" s="299"/>
      <c r="AB120" s="299"/>
      <c r="AC120" s="299"/>
      <c r="AD120" s="299"/>
      <c r="AE120" s="299"/>
      <c r="AF120" s="299"/>
      <c r="AG120" s="299"/>
    </row>
    <row r="121" spans="25:33" x14ac:dyDescent="0.35">
      <c r="Y121" s="299"/>
      <c r="Z121" s="299"/>
      <c r="AA121" s="299"/>
      <c r="AB121" s="299"/>
      <c r="AC121" s="299"/>
      <c r="AD121" s="299"/>
      <c r="AE121" s="299"/>
      <c r="AF121" s="299"/>
      <c r="AG121" s="299"/>
    </row>
    <row r="122" spans="25:33" x14ac:dyDescent="0.35">
      <c r="Y122" s="299"/>
      <c r="Z122" s="299"/>
      <c r="AA122" s="299"/>
      <c r="AB122" s="299"/>
      <c r="AC122" s="299"/>
      <c r="AD122" s="299"/>
      <c r="AE122" s="299"/>
      <c r="AF122" s="299"/>
      <c r="AG122" s="299"/>
    </row>
    <row r="123" spans="25:33" x14ac:dyDescent="0.35">
      <c r="Y123" s="299"/>
      <c r="Z123" s="299"/>
      <c r="AA123" s="299"/>
      <c r="AB123" s="299"/>
      <c r="AC123" s="299"/>
      <c r="AD123" s="299"/>
      <c r="AE123" s="299"/>
      <c r="AF123" s="299"/>
      <c r="AG123" s="299"/>
    </row>
    <row r="124" spans="25:33" x14ac:dyDescent="0.35">
      <c r="Y124" s="299"/>
      <c r="Z124" s="299"/>
      <c r="AA124" s="299"/>
      <c r="AB124" s="299"/>
      <c r="AC124" s="299"/>
      <c r="AD124" s="299"/>
      <c r="AE124" s="299"/>
      <c r="AF124" s="299"/>
      <c r="AG124" s="299"/>
    </row>
    <row r="125" spans="25:33" x14ac:dyDescent="0.35">
      <c r="Y125" s="299"/>
      <c r="Z125" s="299"/>
      <c r="AA125" s="299"/>
      <c r="AB125" s="299"/>
      <c r="AC125" s="299"/>
      <c r="AD125" s="299"/>
      <c r="AE125" s="299"/>
      <c r="AF125" s="299"/>
      <c r="AG125" s="299"/>
    </row>
    <row r="126" spans="25:33" x14ac:dyDescent="0.35">
      <c r="Y126" s="299"/>
      <c r="Z126" s="299"/>
      <c r="AA126" s="299"/>
      <c r="AB126" s="299"/>
      <c r="AC126" s="299"/>
      <c r="AD126" s="299"/>
      <c r="AE126" s="299"/>
      <c r="AF126" s="299"/>
      <c r="AG126" s="299"/>
    </row>
    <row r="127" spans="25:33" x14ac:dyDescent="0.35">
      <c r="Y127" s="299"/>
      <c r="Z127" s="299"/>
      <c r="AA127" s="299"/>
      <c r="AB127" s="299"/>
      <c r="AC127" s="299"/>
      <c r="AD127" s="299"/>
      <c r="AE127" s="299"/>
      <c r="AF127" s="299"/>
      <c r="AG127" s="299"/>
    </row>
    <row r="128" spans="25:33" x14ac:dyDescent="0.35">
      <c r="Y128" s="299"/>
      <c r="Z128" s="299"/>
      <c r="AA128" s="299"/>
      <c r="AB128" s="299"/>
      <c r="AC128" s="299"/>
      <c r="AD128" s="299"/>
      <c r="AE128" s="299"/>
      <c r="AF128" s="299"/>
      <c r="AG128" s="299"/>
    </row>
    <row r="129" spans="25:33" x14ac:dyDescent="0.35">
      <c r="Y129" s="299"/>
      <c r="Z129" s="299"/>
      <c r="AA129" s="299"/>
      <c r="AB129" s="299"/>
      <c r="AC129" s="299"/>
      <c r="AD129" s="299"/>
      <c r="AE129" s="299"/>
      <c r="AF129" s="299"/>
      <c r="AG129" s="299"/>
    </row>
    <row r="130" spans="25:33" x14ac:dyDescent="0.35">
      <c r="Y130" s="299"/>
      <c r="Z130" s="299"/>
      <c r="AA130" s="299"/>
      <c r="AB130" s="299"/>
      <c r="AC130" s="299"/>
      <c r="AD130" s="299"/>
      <c r="AE130" s="299"/>
      <c r="AF130" s="299"/>
      <c r="AG130" s="299"/>
    </row>
    <row r="131" spans="25:33" x14ac:dyDescent="0.35">
      <c r="Y131" s="299"/>
      <c r="Z131" s="299"/>
      <c r="AA131" s="299"/>
      <c r="AB131" s="299"/>
      <c r="AC131" s="299"/>
      <c r="AD131" s="299"/>
      <c r="AE131" s="299"/>
      <c r="AF131" s="299"/>
      <c r="AG131" s="299"/>
    </row>
    <row r="132" spans="25:33" x14ac:dyDescent="0.35">
      <c r="Y132" s="299"/>
      <c r="Z132" s="299"/>
      <c r="AA132" s="299"/>
      <c r="AB132" s="299"/>
      <c r="AC132" s="299"/>
      <c r="AD132" s="299"/>
      <c r="AE132" s="299"/>
      <c r="AF132" s="299"/>
      <c r="AG132" s="299"/>
    </row>
    <row r="133" spans="25:33" x14ac:dyDescent="0.35">
      <c r="Y133" s="299"/>
      <c r="Z133" s="299"/>
      <c r="AA133" s="299"/>
      <c r="AB133" s="299"/>
      <c r="AC133" s="299"/>
      <c r="AD133" s="299"/>
      <c r="AE133" s="299"/>
      <c r="AF133" s="299"/>
      <c r="AG133" s="299"/>
    </row>
    <row r="134" spans="25:33" x14ac:dyDescent="0.35">
      <c r="Y134" s="299"/>
      <c r="Z134" s="299"/>
      <c r="AA134" s="299"/>
      <c r="AB134" s="299"/>
      <c r="AC134" s="299"/>
      <c r="AD134" s="299"/>
      <c r="AE134" s="299"/>
      <c r="AF134" s="299"/>
      <c r="AG134" s="299"/>
    </row>
    <row r="135" spans="25:33" x14ac:dyDescent="0.35">
      <c r="Y135" s="299"/>
      <c r="Z135" s="299"/>
      <c r="AA135" s="299"/>
      <c r="AB135" s="299"/>
      <c r="AC135" s="299"/>
      <c r="AD135" s="299"/>
      <c r="AE135" s="299"/>
      <c r="AF135" s="299"/>
      <c r="AG135" s="299"/>
    </row>
    <row r="136" spans="25:33" x14ac:dyDescent="0.35">
      <c r="Y136" s="299"/>
      <c r="Z136" s="299"/>
      <c r="AA136" s="299"/>
      <c r="AB136" s="299"/>
      <c r="AC136" s="299"/>
      <c r="AD136" s="299"/>
      <c r="AE136" s="299"/>
      <c r="AF136" s="299"/>
      <c r="AG136" s="299"/>
    </row>
    <row r="137" spans="25:33" x14ac:dyDescent="0.35">
      <c r="Y137" s="299"/>
      <c r="Z137" s="299"/>
      <c r="AA137" s="299"/>
      <c r="AB137" s="299"/>
      <c r="AC137" s="299"/>
      <c r="AD137" s="299"/>
      <c r="AE137" s="299"/>
      <c r="AF137" s="299"/>
      <c r="AG137" s="299"/>
    </row>
    <row r="138" spans="25:33" x14ac:dyDescent="0.35">
      <c r="Y138" s="299"/>
      <c r="Z138" s="299"/>
      <c r="AA138" s="299"/>
      <c r="AB138" s="299"/>
      <c r="AC138" s="299"/>
      <c r="AD138" s="299"/>
      <c r="AE138" s="299"/>
      <c r="AF138" s="299"/>
      <c r="AG138" s="299"/>
    </row>
    <row r="139" spans="25:33" x14ac:dyDescent="0.35">
      <c r="Y139" s="299"/>
      <c r="Z139" s="299"/>
      <c r="AA139" s="299"/>
      <c r="AB139" s="299"/>
      <c r="AC139" s="299"/>
      <c r="AD139" s="299"/>
      <c r="AE139" s="299"/>
      <c r="AF139" s="299"/>
      <c r="AG139" s="299"/>
    </row>
    <row r="140" spans="25:33" x14ac:dyDescent="0.35">
      <c r="Y140" s="299"/>
      <c r="Z140" s="299"/>
      <c r="AA140" s="299"/>
      <c r="AB140" s="299"/>
      <c r="AC140" s="299"/>
      <c r="AD140" s="299"/>
      <c r="AE140" s="299"/>
      <c r="AF140" s="299"/>
      <c r="AG140" s="299"/>
    </row>
    <row r="141" spans="25:33" x14ac:dyDescent="0.35">
      <c r="Y141" s="299"/>
      <c r="Z141" s="299"/>
      <c r="AA141" s="299"/>
      <c r="AB141" s="299"/>
      <c r="AC141" s="299"/>
      <c r="AD141" s="299"/>
      <c r="AE141" s="299"/>
      <c r="AF141" s="299"/>
      <c r="AG141" s="299"/>
    </row>
    <row r="142" spans="25:33" x14ac:dyDescent="0.35">
      <c r="Y142" s="299"/>
      <c r="Z142" s="299"/>
      <c r="AA142" s="299"/>
      <c r="AB142" s="299"/>
      <c r="AC142" s="299"/>
      <c r="AD142" s="299"/>
      <c r="AE142" s="299"/>
      <c r="AF142" s="299"/>
      <c r="AG142" s="299"/>
    </row>
    <row r="143" spans="25:33" x14ac:dyDescent="0.35">
      <c r="Y143" s="299"/>
      <c r="Z143" s="299"/>
      <c r="AA143" s="299"/>
      <c r="AB143" s="299"/>
      <c r="AC143" s="299"/>
      <c r="AD143" s="299"/>
      <c r="AE143" s="299"/>
      <c r="AF143" s="299"/>
      <c r="AG143" s="299"/>
    </row>
    <row r="144" spans="25:33" x14ac:dyDescent="0.35">
      <c r="Y144" s="299"/>
      <c r="Z144" s="299"/>
      <c r="AA144" s="299"/>
      <c r="AB144" s="299"/>
      <c r="AC144" s="299"/>
      <c r="AD144" s="299"/>
      <c r="AE144" s="299"/>
      <c r="AF144" s="299"/>
      <c r="AG144" s="299"/>
    </row>
    <row r="145" spans="25:33" x14ac:dyDescent="0.35">
      <c r="Y145" s="299"/>
      <c r="Z145" s="299"/>
      <c r="AA145" s="299"/>
      <c r="AB145" s="299"/>
      <c r="AC145" s="299"/>
      <c r="AD145" s="299"/>
      <c r="AE145" s="299"/>
      <c r="AF145" s="299"/>
      <c r="AG145" s="299"/>
    </row>
    <row r="146" spans="25:33" x14ac:dyDescent="0.35">
      <c r="Y146" s="299"/>
      <c r="Z146" s="299"/>
      <c r="AA146" s="299"/>
      <c r="AB146" s="299"/>
      <c r="AC146" s="299"/>
      <c r="AD146" s="299"/>
      <c r="AE146" s="299"/>
      <c r="AF146" s="299"/>
      <c r="AG146" s="299"/>
    </row>
    <row r="147" spans="25:33" x14ac:dyDescent="0.35">
      <c r="Y147" s="299"/>
      <c r="Z147" s="299"/>
      <c r="AA147" s="299"/>
      <c r="AB147" s="299"/>
      <c r="AC147" s="299"/>
      <c r="AD147" s="299"/>
      <c r="AE147" s="299"/>
      <c r="AF147" s="299"/>
      <c r="AG147" s="299"/>
    </row>
    <row r="148" spans="25:33" x14ac:dyDescent="0.35">
      <c r="Y148" s="299"/>
      <c r="Z148" s="299"/>
      <c r="AA148" s="299"/>
      <c r="AB148" s="299"/>
      <c r="AC148" s="299"/>
      <c r="AD148" s="299"/>
      <c r="AE148" s="299"/>
      <c r="AF148" s="299"/>
      <c r="AG148" s="299"/>
    </row>
    <row r="149" spans="25:33" x14ac:dyDescent="0.35">
      <c r="Y149" s="299"/>
      <c r="Z149" s="299"/>
      <c r="AA149" s="299"/>
      <c r="AB149" s="299"/>
      <c r="AC149" s="299"/>
      <c r="AD149" s="299"/>
      <c r="AE149" s="299"/>
      <c r="AF149" s="299"/>
      <c r="AG149" s="299"/>
    </row>
    <row r="150" spans="25:33" x14ac:dyDescent="0.35">
      <c r="Y150" s="299"/>
      <c r="Z150" s="299"/>
      <c r="AA150" s="299"/>
      <c r="AB150" s="299"/>
      <c r="AC150" s="299"/>
      <c r="AD150" s="299"/>
      <c r="AE150" s="299"/>
      <c r="AF150" s="299"/>
      <c r="AG150" s="299"/>
    </row>
    <row r="151" spans="25:33" x14ac:dyDescent="0.35">
      <c r="Y151" s="299"/>
      <c r="Z151" s="299"/>
      <c r="AA151" s="299"/>
      <c r="AB151" s="299"/>
      <c r="AC151" s="299"/>
      <c r="AD151" s="299"/>
      <c r="AE151" s="299"/>
      <c r="AF151" s="299"/>
      <c r="AG151" s="299"/>
    </row>
    <row r="152" spans="25:33" x14ac:dyDescent="0.35">
      <c r="Y152" s="299"/>
      <c r="Z152" s="299"/>
      <c r="AA152" s="299"/>
      <c r="AB152" s="299"/>
      <c r="AC152" s="299"/>
      <c r="AD152" s="299"/>
      <c r="AE152" s="299"/>
      <c r="AF152" s="299"/>
      <c r="AG152" s="299"/>
    </row>
    <row r="153" spans="25:33" x14ac:dyDescent="0.35">
      <c r="Y153" s="299"/>
      <c r="Z153" s="299"/>
      <c r="AA153" s="299"/>
      <c r="AB153" s="299"/>
      <c r="AC153" s="299"/>
      <c r="AD153" s="299"/>
      <c r="AE153" s="299"/>
      <c r="AF153" s="299"/>
      <c r="AG153" s="299"/>
    </row>
    <row r="154" spans="25:33" x14ac:dyDescent="0.35">
      <c r="Y154" s="299"/>
      <c r="Z154" s="299"/>
      <c r="AA154" s="299"/>
      <c r="AB154" s="299"/>
      <c r="AC154" s="299"/>
      <c r="AD154" s="299"/>
      <c r="AE154" s="299"/>
      <c r="AF154" s="299"/>
      <c r="AG154" s="299"/>
    </row>
    <row r="155" spans="25:33" x14ac:dyDescent="0.35">
      <c r="Y155" s="299"/>
      <c r="Z155" s="299"/>
      <c r="AA155" s="299"/>
      <c r="AB155" s="299"/>
      <c r="AC155" s="299"/>
      <c r="AD155" s="299"/>
      <c r="AE155" s="299"/>
      <c r="AF155" s="299"/>
      <c r="AG155" s="299"/>
    </row>
    <row r="156" spans="25:33" x14ac:dyDescent="0.35">
      <c r="Y156" s="299"/>
      <c r="Z156" s="299"/>
      <c r="AA156" s="299"/>
      <c r="AB156" s="299"/>
      <c r="AC156" s="299"/>
      <c r="AD156" s="299"/>
      <c r="AE156" s="299"/>
      <c r="AF156" s="299"/>
      <c r="AG156" s="299"/>
    </row>
    <row r="157" spans="25:33" x14ac:dyDescent="0.35">
      <c r="Y157" s="299"/>
      <c r="Z157" s="299"/>
      <c r="AA157" s="299"/>
      <c r="AB157" s="299"/>
      <c r="AC157" s="299"/>
      <c r="AD157" s="299"/>
      <c r="AE157" s="299"/>
      <c r="AF157" s="299"/>
      <c r="AG157" s="299"/>
    </row>
    <row r="158" spans="25:33" x14ac:dyDescent="0.35">
      <c r="Y158" s="299"/>
      <c r="Z158" s="299"/>
      <c r="AA158" s="299"/>
      <c r="AB158" s="299"/>
      <c r="AC158" s="299"/>
      <c r="AD158" s="299"/>
      <c r="AE158" s="299"/>
      <c r="AF158" s="299"/>
      <c r="AG158" s="299"/>
    </row>
    <row r="159" spans="25:33" x14ac:dyDescent="0.35">
      <c r="Y159" s="299"/>
      <c r="Z159" s="299"/>
      <c r="AA159" s="299"/>
      <c r="AB159" s="299"/>
      <c r="AC159" s="299"/>
      <c r="AD159" s="299"/>
      <c r="AE159" s="299"/>
      <c r="AF159" s="299"/>
      <c r="AG159" s="299"/>
    </row>
    <row r="160" spans="25:33" x14ac:dyDescent="0.35">
      <c r="Y160" s="299"/>
      <c r="Z160" s="299"/>
      <c r="AA160" s="299"/>
      <c r="AB160" s="299"/>
      <c r="AC160" s="299"/>
      <c r="AD160" s="299"/>
      <c r="AE160" s="299"/>
      <c r="AF160" s="299"/>
      <c r="AG160" s="299"/>
    </row>
    <row r="161" spans="25:33" x14ac:dyDescent="0.35">
      <c r="Y161" s="299"/>
      <c r="Z161" s="299"/>
      <c r="AA161" s="299"/>
      <c r="AB161" s="299"/>
      <c r="AC161" s="299"/>
      <c r="AD161" s="299"/>
      <c r="AE161" s="299"/>
      <c r="AF161" s="299"/>
      <c r="AG161" s="299"/>
    </row>
    <row r="162" spans="25:33" x14ac:dyDescent="0.35">
      <c r="Y162" s="299"/>
      <c r="Z162" s="299"/>
      <c r="AA162" s="299"/>
      <c r="AB162" s="299"/>
      <c r="AC162" s="299"/>
      <c r="AD162" s="299"/>
      <c r="AE162" s="299"/>
      <c r="AF162" s="299"/>
      <c r="AG162" s="299"/>
    </row>
    <row r="163" spans="25:33" x14ac:dyDescent="0.35">
      <c r="Y163" s="299"/>
      <c r="Z163" s="299"/>
      <c r="AA163" s="299"/>
      <c r="AB163" s="299"/>
      <c r="AC163" s="299"/>
      <c r="AD163" s="299"/>
      <c r="AE163" s="299"/>
      <c r="AF163" s="299"/>
      <c r="AG163" s="299"/>
    </row>
    <row r="164" spans="25:33" x14ac:dyDescent="0.35">
      <c r="Y164" s="299"/>
      <c r="Z164" s="299"/>
      <c r="AA164" s="299"/>
      <c r="AB164" s="299"/>
      <c r="AC164" s="299"/>
      <c r="AD164" s="299"/>
      <c r="AE164" s="299"/>
      <c r="AF164" s="299"/>
      <c r="AG164" s="299"/>
    </row>
    <row r="165" spans="25:33" x14ac:dyDescent="0.35">
      <c r="Y165" s="299"/>
      <c r="Z165" s="299"/>
      <c r="AA165" s="299"/>
      <c r="AB165" s="299"/>
      <c r="AC165" s="299"/>
      <c r="AD165" s="299"/>
      <c r="AE165" s="299"/>
      <c r="AF165" s="299"/>
      <c r="AG165" s="299"/>
    </row>
    <row r="166" spans="25:33" x14ac:dyDescent="0.35">
      <c r="Y166" s="299"/>
      <c r="Z166" s="299"/>
      <c r="AA166" s="299"/>
      <c r="AB166" s="299"/>
      <c r="AC166" s="299"/>
      <c r="AD166" s="299"/>
      <c r="AE166" s="299"/>
      <c r="AF166" s="299"/>
      <c r="AG166" s="299"/>
    </row>
    <row r="167" spans="25:33" x14ac:dyDescent="0.35">
      <c r="Y167" s="299"/>
      <c r="Z167" s="299"/>
      <c r="AA167" s="299"/>
      <c r="AB167" s="299"/>
      <c r="AC167" s="299"/>
      <c r="AD167" s="299"/>
      <c r="AE167" s="299"/>
      <c r="AF167" s="299"/>
      <c r="AG167" s="299"/>
    </row>
    <row r="168" spans="25:33" x14ac:dyDescent="0.35">
      <c r="Y168" s="299"/>
      <c r="Z168" s="299"/>
      <c r="AA168" s="299"/>
      <c r="AB168" s="299"/>
      <c r="AC168" s="299"/>
      <c r="AD168" s="299"/>
      <c r="AE168" s="299"/>
      <c r="AF168" s="299"/>
      <c r="AG168" s="299"/>
    </row>
    <row r="169" spans="25:33" x14ac:dyDescent="0.35">
      <c r="Y169" s="299"/>
      <c r="Z169" s="299"/>
      <c r="AA169" s="299"/>
      <c r="AB169" s="299"/>
      <c r="AC169" s="299"/>
      <c r="AD169" s="299"/>
      <c r="AE169" s="299"/>
      <c r="AF169" s="299"/>
      <c r="AG169" s="299"/>
    </row>
    <row r="170" spans="25:33" x14ac:dyDescent="0.35">
      <c r="Y170" s="299"/>
      <c r="Z170" s="299"/>
      <c r="AA170" s="299"/>
      <c r="AB170" s="299"/>
      <c r="AC170" s="299"/>
      <c r="AD170" s="299"/>
      <c r="AE170" s="299"/>
      <c r="AF170" s="299"/>
      <c r="AG170" s="299"/>
    </row>
    <row r="171" spans="25:33" x14ac:dyDescent="0.35">
      <c r="Y171" s="299"/>
      <c r="Z171" s="299"/>
      <c r="AA171" s="299"/>
      <c r="AB171" s="299"/>
      <c r="AC171" s="299"/>
      <c r="AD171" s="299"/>
      <c r="AE171" s="299"/>
      <c r="AF171" s="299"/>
      <c r="AG171" s="299"/>
    </row>
    <row r="172" spans="25:33" x14ac:dyDescent="0.35">
      <c r="Y172" s="299"/>
      <c r="Z172" s="299"/>
      <c r="AA172" s="299"/>
      <c r="AB172" s="299"/>
      <c r="AC172" s="299"/>
      <c r="AD172" s="299"/>
      <c r="AE172" s="299"/>
      <c r="AF172" s="299"/>
      <c r="AG172" s="299"/>
    </row>
    <row r="173" spans="25:33" x14ac:dyDescent="0.35">
      <c r="Y173" s="299"/>
      <c r="Z173" s="299"/>
      <c r="AA173" s="299"/>
      <c r="AB173" s="299"/>
      <c r="AC173" s="299"/>
      <c r="AD173" s="299"/>
      <c r="AE173" s="299"/>
      <c r="AF173" s="299"/>
      <c r="AG173" s="299"/>
    </row>
    <row r="174" spans="25:33" x14ac:dyDescent="0.35">
      <c r="Y174" s="299"/>
      <c r="Z174" s="299"/>
      <c r="AA174" s="299"/>
      <c r="AB174" s="299"/>
      <c r="AC174" s="299"/>
      <c r="AD174" s="299"/>
      <c r="AE174" s="299"/>
      <c r="AF174" s="299"/>
      <c r="AG174" s="299"/>
    </row>
    <row r="175" spans="25:33" x14ac:dyDescent="0.35">
      <c r="Y175" s="299"/>
      <c r="Z175" s="299"/>
      <c r="AA175" s="299"/>
      <c r="AB175" s="299"/>
      <c r="AC175" s="299"/>
      <c r="AD175" s="299"/>
      <c r="AE175" s="299"/>
      <c r="AF175" s="299"/>
      <c r="AG175" s="299"/>
    </row>
    <row r="176" spans="25:33" x14ac:dyDescent="0.35">
      <c r="Y176" s="299"/>
      <c r="Z176" s="299"/>
      <c r="AA176" s="299"/>
      <c r="AB176" s="299"/>
      <c r="AC176" s="299"/>
      <c r="AD176" s="299"/>
      <c r="AE176" s="299"/>
      <c r="AF176" s="299"/>
      <c r="AG176" s="299"/>
    </row>
    <row r="177" spans="25:33" x14ac:dyDescent="0.35">
      <c r="Y177" s="299"/>
      <c r="Z177" s="299"/>
      <c r="AA177" s="299"/>
      <c r="AB177" s="299"/>
      <c r="AC177" s="299"/>
      <c r="AD177" s="299"/>
      <c r="AE177" s="299"/>
      <c r="AF177" s="299"/>
      <c r="AG177" s="299"/>
    </row>
    <row r="178" spans="25:33" x14ac:dyDescent="0.35">
      <c r="Y178" s="299"/>
      <c r="Z178" s="299"/>
      <c r="AA178" s="299"/>
      <c r="AB178" s="299"/>
      <c r="AC178" s="299"/>
      <c r="AD178" s="299"/>
      <c r="AE178" s="299"/>
      <c r="AF178" s="299"/>
      <c r="AG178" s="299"/>
    </row>
    <row r="179" spans="25:33" x14ac:dyDescent="0.35">
      <c r="Y179" s="299"/>
      <c r="Z179" s="299"/>
      <c r="AA179" s="299"/>
      <c r="AB179" s="299"/>
      <c r="AC179" s="299"/>
      <c r="AD179" s="299"/>
      <c r="AE179" s="299"/>
      <c r="AF179" s="299"/>
      <c r="AG179" s="299"/>
    </row>
    <row r="180" spans="25:33" x14ac:dyDescent="0.35">
      <c r="Y180" s="299"/>
      <c r="Z180" s="299"/>
      <c r="AA180" s="299"/>
      <c r="AB180" s="299"/>
      <c r="AC180" s="299"/>
      <c r="AD180" s="299"/>
      <c r="AE180" s="299"/>
      <c r="AF180" s="299"/>
      <c r="AG180" s="299"/>
    </row>
    <row r="181" spans="25:33" x14ac:dyDescent="0.35">
      <c r="Y181" s="299"/>
      <c r="Z181" s="299"/>
      <c r="AA181" s="299"/>
      <c r="AB181" s="299"/>
      <c r="AC181" s="299"/>
      <c r="AD181" s="299"/>
      <c r="AE181" s="299"/>
      <c r="AF181" s="299"/>
      <c r="AG181" s="299"/>
    </row>
    <row r="182" spans="25:33" x14ac:dyDescent="0.35">
      <c r="Y182" s="299"/>
      <c r="Z182" s="299"/>
      <c r="AA182" s="299"/>
      <c r="AB182" s="299"/>
      <c r="AC182" s="299"/>
      <c r="AD182" s="299"/>
      <c r="AE182" s="299"/>
      <c r="AF182" s="299"/>
      <c r="AG182" s="299"/>
    </row>
    <row r="183" spans="25:33" x14ac:dyDescent="0.35">
      <c r="Y183" s="299"/>
      <c r="Z183" s="299"/>
      <c r="AA183" s="299"/>
      <c r="AB183" s="299"/>
      <c r="AC183" s="299"/>
      <c r="AD183" s="299"/>
      <c r="AE183" s="299"/>
      <c r="AF183" s="299"/>
      <c r="AG183" s="299"/>
    </row>
    <row r="184" spans="25:33" x14ac:dyDescent="0.35">
      <c r="Y184" s="299"/>
      <c r="Z184" s="299"/>
      <c r="AA184" s="299"/>
      <c r="AB184" s="299"/>
      <c r="AC184" s="299"/>
      <c r="AD184" s="299"/>
      <c r="AE184" s="299"/>
      <c r="AF184" s="299"/>
      <c r="AG184" s="299"/>
    </row>
    <row r="185" spans="25:33" x14ac:dyDescent="0.35">
      <c r="Y185" s="299"/>
      <c r="Z185" s="299"/>
      <c r="AA185" s="299"/>
      <c r="AB185" s="299"/>
      <c r="AC185" s="299"/>
      <c r="AD185" s="299"/>
      <c r="AE185" s="299"/>
      <c r="AF185" s="299"/>
      <c r="AG185" s="299"/>
    </row>
    <row r="186" spans="25:33" x14ac:dyDescent="0.35">
      <c r="Y186" s="299"/>
      <c r="Z186" s="299"/>
      <c r="AA186" s="299"/>
      <c r="AB186" s="299"/>
      <c r="AC186" s="299"/>
      <c r="AD186" s="299"/>
      <c r="AE186" s="299"/>
      <c r="AF186" s="299"/>
      <c r="AG186" s="299"/>
    </row>
    <row r="187" spans="25:33" x14ac:dyDescent="0.35">
      <c r="Y187" s="299"/>
      <c r="Z187" s="299"/>
      <c r="AA187" s="299"/>
      <c r="AB187" s="299"/>
      <c r="AC187" s="299"/>
      <c r="AD187" s="299"/>
      <c r="AE187" s="299"/>
      <c r="AF187" s="299"/>
      <c r="AG187" s="299"/>
    </row>
    <row r="188" spans="25:33" x14ac:dyDescent="0.35">
      <c r="Y188" s="299"/>
      <c r="Z188" s="299"/>
      <c r="AA188" s="299"/>
      <c r="AB188" s="299"/>
      <c r="AC188" s="299"/>
      <c r="AD188" s="299"/>
      <c r="AE188" s="299"/>
      <c r="AF188" s="299"/>
      <c r="AG188" s="299"/>
    </row>
    <row r="189" spans="25:33" x14ac:dyDescent="0.35">
      <c r="Y189" s="299"/>
      <c r="Z189" s="299"/>
      <c r="AA189" s="299"/>
      <c r="AB189" s="299"/>
      <c r="AC189" s="299"/>
      <c r="AD189" s="299"/>
      <c r="AE189" s="299"/>
      <c r="AF189" s="299"/>
      <c r="AG189" s="299"/>
    </row>
    <row r="190" spans="25:33" x14ac:dyDescent="0.35">
      <c r="Y190" s="299"/>
      <c r="Z190" s="299"/>
      <c r="AA190" s="299"/>
      <c r="AB190" s="299"/>
      <c r="AC190" s="299"/>
      <c r="AD190" s="299"/>
      <c r="AE190" s="299"/>
      <c r="AF190" s="299"/>
      <c r="AG190" s="299"/>
    </row>
    <row r="191" spans="25:33" x14ac:dyDescent="0.35">
      <c r="Y191" s="299"/>
      <c r="Z191" s="299"/>
      <c r="AA191" s="299"/>
      <c r="AB191" s="299"/>
      <c r="AC191" s="299"/>
      <c r="AD191" s="299"/>
      <c r="AE191" s="299"/>
      <c r="AF191" s="299"/>
      <c r="AG191" s="299"/>
    </row>
    <row r="192" spans="25:33" x14ac:dyDescent="0.35">
      <c r="Y192" s="299"/>
      <c r="Z192" s="299"/>
      <c r="AA192" s="299"/>
      <c r="AB192" s="299"/>
      <c r="AC192" s="299"/>
      <c r="AD192" s="299"/>
      <c r="AE192" s="299"/>
      <c r="AF192" s="299"/>
      <c r="AG192" s="299"/>
    </row>
    <row r="193" spans="25:33" x14ac:dyDescent="0.35">
      <c r="Y193" s="299"/>
      <c r="Z193" s="299"/>
      <c r="AA193" s="299"/>
      <c r="AB193" s="299"/>
      <c r="AC193" s="299"/>
      <c r="AD193" s="299"/>
      <c r="AE193" s="299"/>
      <c r="AF193" s="299"/>
      <c r="AG193" s="299"/>
    </row>
    <row r="194" spans="25:33" x14ac:dyDescent="0.35">
      <c r="Y194" s="299"/>
      <c r="Z194" s="299"/>
      <c r="AA194" s="299"/>
      <c r="AB194" s="299"/>
      <c r="AC194" s="299"/>
      <c r="AD194" s="299"/>
      <c r="AE194" s="299"/>
      <c r="AF194" s="299"/>
      <c r="AG194" s="299"/>
    </row>
    <row r="195" spans="25:33" x14ac:dyDescent="0.35">
      <c r="Y195" s="299"/>
      <c r="Z195" s="299"/>
      <c r="AA195" s="299"/>
      <c r="AB195" s="299"/>
      <c r="AC195" s="299"/>
      <c r="AD195" s="299"/>
      <c r="AE195" s="299"/>
      <c r="AF195" s="299"/>
      <c r="AG195" s="299"/>
    </row>
    <row r="196" spans="25:33" x14ac:dyDescent="0.35">
      <c r="Y196" s="299"/>
      <c r="Z196" s="299"/>
      <c r="AA196" s="299"/>
      <c r="AB196" s="299"/>
      <c r="AC196" s="299"/>
      <c r="AD196" s="299"/>
      <c r="AE196" s="299"/>
      <c r="AF196" s="299"/>
      <c r="AG196" s="299"/>
    </row>
    <row r="197" spans="25:33" x14ac:dyDescent="0.35">
      <c r="Y197" s="299"/>
      <c r="Z197" s="299"/>
      <c r="AA197" s="299"/>
      <c r="AB197" s="299"/>
      <c r="AC197" s="299"/>
      <c r="AD197" s="299"/>
      <c r="AE197" s="299"/>
      <c r="AF197" s="299"/>
      <c r="AG197" s="299"/>
    </row>
    <row r="198" spans="25:33" x14ac:dyDescent="0.35">
      <c r="Y198" s="299"/>
      <c r="Z198" s="299"/>
      <c r="AA198" s="299"/>
      <c r="AB198" s="299"/>
      <c r="AC198" s="299"/>
      <c r="AD198" s="299"/>
      <c r="AE198" s="299"/>
      <c r="AF198" s="299"/>
      <c r="AG198" s="299"/>
    </row>
    <row r="199" spans="25:33" x14ac:dyDescent="0.35">
      <c r="Y199" s="299"/>
      <c r="Z199" s="299"/>
      <c r="AA199" s="299"/>
      <c r="AB199" s="299"/>
      <c r="AC199" s="299"/>
      <c r="AD199" s="299"/>
      <c r="AE199" s="299"/>
      <c r="AF199" s="299"/>
      <c r="AG199" s="299"/>
    </row>
    <row r="200" spans="25:33" x14ac:dyDescent="0.35">
      <c r="Y200" s="299"/>
      <c r="Z200" s="299"/>
      <c r="AA200" s="299"/>
      <c r="AB200" s="299"/>
      <c r="AC200" s="299"/>
      <c r="AD200" s="299"/>
      <c r="AE200" s="299"/>
      <c r="AF200" s="299"/>
      <c r="AG200" s="299"/>
    </row>
    <row r="201" spans="25:33" x14ac:dyDescent="0.35">
      <c r="Y201" s="299"/>
      <c r="Z201" s="299"/>
      <c r="AA201" s="299"/>
      <c r="AB201" s="299"/>
      <c r="AC201" s="299"/>
      <c r="AD201" s="299"/>
      <c r="AE201" s="299"/>
      <c r="AF201" s="299"/>
      <c r="AG201" s="299"/>
    </row>
    <row r="202" spans="25:33" x14ac:dyDescent="0.35">
      <c r="Y202" s="299"/>
      <c r="Z202" s="299"/>
      <c r="AA202" s="299"/>
      <c r="AB202" s="299"/>
      <c r="AC202" s="299"/>
      <c r="AD202" s="299"/>
      <c r="AE202" s="299"/>
      <c r="AF202" s="299"/>
      <c r="AG202" s="299"/>
    </row>
    <row r="203" spans="25:33" x14ac:dyDescent="0.35">
      <c r="Y203" s="299"/>
      <c r="Z203" s="299"/>
      <c r="AA203" s="299"/>
      <c r="AB203" s="299"/>
      <c r="AC203" s="299"/>
      <c r="AD203" s="299"/>
      <c r="AE203" s="299"/>
      <c r="AF203" s="299"/>
      <c r="AG203" s="299"/>
    </row>
    <row r="204" spans="25:33" x14ac:dyDescent="0.35">
      <c r="Y204" s="299"/>
      <c r="Z204" s="299"/>
      <c r="AA204" s="299"/>
      <c r="AB204" s="299"/>
      <c r="AC204" s="299"/>
      <c r="AD204" s="299"/>
      <c r="AE204" s="299"/>
      <c r="AF204" s="299"/>
      <c r="AG204" s="299"/>
    </row>
    <row r="205" spans="25:33" x14ac:dyDescent="0.35">
      <c r="Y205" s="299"/>
      <c r="Z205" s="299"/>
      <c r="AA205" s="299"/>
      <c r="AB205" s="299"/>
      <c r="AC205" s="299"/>
      <c r="AD205" s="299"/>
      <c r="AE205" s="299"/>
      <c r="AF205" s="299"/>
      <c r="AG205" s="299"/>
    </row>
    <row r="206" spans="25:33" x14ac:dyDescent="0.35">
      <c r="Y206" s="299"/>
      <c r="Z206" s="299"/>
      <c r="AA206" s="299"/>
      <c r="AB206" s="299"/>
      <c r="AC206" s="299"/>
      <c r="AD206" s="299"/>
      <c r="AE206" s="299"/>
      <c r="AF206" s="299"/>
      <c r="AG206" s="299"/>
    </row>
    <row r="207" spans="25:33" x14ac:dyDescent="0.35">
      <c r="Y207" s="299"/>
      <c r="Z207" s="299"/>
      <c r="AA207" s="299"/>
      <c r="AB207" s="299"/>
      <c r="AC207" s="299"/>
      <c r="AD207" s="299"/>
      <c r="AE207" s="299"/>
      <c r="AF207" s="299"/>
      <c r="AG207" s="299"/>
    </row>
    <row r="208" spans="25:33" x14ac:dyDescent="0.35">
      <c r="Y208" s="299"/>
      <c r="Z208" s="299"/>
      <c r="AA208" s="299"/>
      <c r="AB208" s="299"/>
      <c r="AC208" s="299"/>
      <c r="AD208" s="299"/>
      <c r="AE208" s="299"/>
      <c r="AF208" s="299"/>
      <c r="AG208" s="299"/>
    </row>
    <row r="209" spans="25:33" x14ac:dyDescent="0.35">
      <c r="Y209" s="299"/>
      <c r="Z209" s="299"/>
      <c r="AA209" s="299"/>
      <c r="AB209" s="299"/>
      <c r="AC209" s="299"/>
      <c r="AD209" s="299"/>
      <c r="AE209" s="299"/>
      <c r="AF209" s="299"/>
      <c r="AG209" s="299"/>
    </row>
    <row r="210" spans="25:33" x14ac:dyDescent="0.35">
      <c r="Y210" s="299"/>
      <c r="Z210" s="299"/>
      <c r="AA210" s="299"/>
      <c r="AB210" s="299"/>
      <c r="AC210" s="299"/>
      <c r="AD210" s="299"/>
      <c r="AE210" s="299"/>
      <c r="AF210" s="299"/>
      <c r="AG210" s="299"/>
    </row>
    <row r="211" spans="25:33" x14ac:dyDescent="0.35">
      <c r="Y211" s="299"/>
      <c r="Z211" s="299"/>
      <c r="AA211" s="299"/>
      <c r="AB211" s="299"/>
      <c r="AC211" s="299"/>
      <c r="AD211" s="299"/>
      <c r="AE211" s="299"/>
      <c r="AF211" s="299"/>
      <c r="AG211" s="299"/>
    </row>
    <row r="212" spans="25:33" x14ac:dyDescent="0.35">
      <c r="Y212" s="299"/>
      <c r="Z212" s="299"/>
      <c r="AA212" s="299"/>
      <c r="AB212" s="299"/>
      <c r="AC212" s="299"/>
      <c r="AD212" s="299"/>
      <c r="AE212" s="299"/>
      <c r="AF212" s="299"/>
      <c r="AG212" s="299"/>
    </row>
    <row r="213" spans="25:33" x14ac:dyDescent="0.35">
      <c r="Y213" s="299"/>
      <c r="Z213" s="299"/>
      <c r="AA213" s="299"/>
      <c r="AB213" s="299"/>
      <c r="AC213" s="299"/>
      <c r="AD213" s="299"/>
      <c r="AE213" s="299"/>
      <c r="AF213" s="299"/>
      <c r="AG213" s="299"/>
    </row>
    <row r="214" spans="25:33" x14ac:dyDescent="0.35">
      <c r="Y214" s="299"/>
      <c r="Z214" s="299"/>
      <c r="AA214" s="299"/>
      <c r="AB214" s="299"/>
      <c r="AC214" s="299"/>
      <c r="AD214" s="299"/>
      <c r="AE214" s="299"/>
      <c r="AF214" s="299"/>
      <c r="AG214" s="299"/>
    </row>
    <row r="215" spans="25:33" x14ac:dyDescent="0.35">
      <c r="Y215" s="299"/>
      <c r="Z215" s="299"/>
      <c r="AA215" s="299"/>
      <c r="AB215" s="299"/>
      <c r="AC215" s="299"/>
      <c r="AD215" s="299"/>
      <c r="AE215" s="299"/>
      <c r="AF215" s="299"/>
      <c r="AG215" s="299"/>
    </row>
    <row r="216" spans="25:33" x14ac:dyDescent="0.35">
      <c r="Y216" s="299"/>
      <c r="Z216" s="299"/>
      <c r="AA216" s="299"/>
      <c r="AB216" s="299"/>
      <c r="AC216" s="299"/>
      <c r="AD216" s="299"/>
      <c r="AE216" s="299"/>
      <c r="AF216" s="299"/>
      <c r="AG216" s="299"/>
    </row>
    <row r="217" spans="25:33" x14ac:dyDescent="0.35">
      <c r="Y217" s="299"/>
      <c r="Z217" s="299"/>
      <c r="AA217" s="299"/>
      <c r="AB217" s="299"/>
      <c r="AC217" s="299"/>
      <c r="AD217" s="299"/>
      <c r="AE217" s="299"/>
      <c r="AF217" s="299"/>
      <c r="AG217" s="299"/>
    </row>
    <row r="218" spans="25:33" x14ac:dyDescent="0.35">
      <c r="Y218" s="299"/>
      <c r="Z218" s="299"/>
      <c r="AA218" s="299"/>
      <c r="AB218" s="299"/>
      <c r="AC218" s="299"/>
      <c r="AD218" s="299"/>
      <c r="AE218" s="299"/>
      <c r="AF218" s="299"/>
      <c r="AG218" s="299"/>
    </row>
    <row r="219" spans="25:33" x14ac:dyDescent="0.35">
      <c r="Y219" s="299"/>
      <c r="Z219" s="299"/>
      <c r="AA219" s="299"/>
      <c r="AB219" s="299"/>
      <c r="AC219" s="299"/>
      <c r="AD219" s="299"/>
      <c r="AE219" s="299"/>
      <c r="AF219" s="299"/>
      <c r="AG219" s="299"/>
    </row>
    <row r="220" spans="25:33" x14ac:dyDescent="0.35">
      <c r="Y220" s="299"/>
      <c r="Z220" s="299"/>
      <c r="AA220" s="299"/>
      <c r="AB220" s="299"/>
      <c r="AC220" s="299"/>
      <c r="AD220" s="299"/>
      <c r="AE220" s="299"/>
      <c r="AF220" s="299"/>
      <c r="AG220" s="299"/>
    </row>
    <row r="221" spans="25:33" x14ac:dyDescent="0.35">
      <c r="Y221" s="299"/>
      <c r="Z221" s="299"/>
      <c r="AA221" s="299"/>
      <c r="AB221" s="299"/>
      <c r="AC221" s="299"/>
      <c r="AD221" s="299"/>
      <c r="AE221" s="299"/>
      <c r="AF221" s="299"/>
      <c r="AG221" s="299"/>
    </row>
    <row r="222" spans="25:33" x14ac:dyDescent="0.35">
      <c r="Y222" s="299"/>
      <c r="Z222" s="299"/>
      <c r="AA222" s="299"/>
      <c r="AB222" s="299"/>
      <c r="AC222" s="299"/>
      <c r="AD222" s="299"/>
      <c r="AE222" s="299"/>
      <c r="AF222" s="299"/>
      <c r="AG222" s="299"/>
    </row>
    <row r="223" spans="25:33" x14ac:dyDescent="0.35">
      <c r="Y223" s="299"/>
      <c r="Z223" s="299"/>
      <c r="AA223" s="299"/>
      <c r="AB223" s="299"/>
      <c r="AC223" s="299"/>
      <c r="AD223" s="299"/>
      <c r="AE223" s="299"/>
      <c r="AF223" s="299"/>
      <c r="AG223" s="299"/>
    </row>
    <row r="224" spans="25:33" x14ac:dyDescent="0.35">
      <c r="Y224" s="299"/>
      <c r="Z224" s="299"/>
      <c r="AA224" s="299"/>
      <c r="AB224" s="299"/>
      <c r="AC224" s="299"/>
      <c r="AD224" s="299"/>
      <c r="AE224" s="299"/>
      <c r="AF224" s="299"/>
      <c r="AG224" s="299"/>
    </row>
    <row r="225" spans="25:33" x14ac:dyDescent="0.35">
      <c r="Y225" s="299"/>
      <c r="Z225" s="299"/>
      <c r="AA225" s="299"/>
      <c r="AB225" s="299"/>
      <c r="AC225" s="299"/>
      <c r="AD225" s="299"/>
      <c r="AE225" s="299"/>
      <c r="AF225" s="299"/>
      <c r="AG225" s="299"/>
    </row>
    <row r="226" spans="25:33" x14ac:dyDescent="0.35">
      <c r="Y226" s="299"/>
      <c r="Z226" s="299"/>
      <c r="AA226" s="299"/>
      <c r="AB226" s="299"/>
      <c r="AC226" s="299"/>
      <c r="AD226" s="299"/>
      <c r="AE226" s="299"/>
      <c r="AF226" s="299"/>
      <c r="AG226" s="299"/>
    </row>
    <row r="227" spans="25:33" x14ac:dyDescent="0.35">
      <c r="Y227" s="299"/>
      <c r="Z227" s="299"/>
      <c r="AA227" s="299"/>
      <c r="AB227" s="299"/>
      <c r="AC227" s="299"/>
      <c r="AD227" s="299"/>
      <c r="AE227" s="299"/>
      <c r="AF227" s="299"/>
      <c r="AG227" s="299"/>
    </row>
    <row r="228" spans="25:33" x14ac:dyDescent="0.35">
      <c r="Y228" s="299"/>
      <c r="Z228" s="299"/>
      <c r="AA228" s="299"/>
      <c r="AB228" s="299"/>
      <c r="AC228" s="299"/>
      <c r="AD228" s="299"/>
      <c r="AE228" s="299"/>
      <c r="AF228" s="299"/>
      <c r="AG228" s="299"/>
    </row>
    <row r="229" spans="25:33" x14ac:dyDescent="0.35">
      <c r="Y229" s="299"/>
      <c r="Z229" s="299"/>
      <c r="AA229" s="299"/>
      <c r="AB229" s="299"/>
      <c r="AC229" s="299"/>
      <c r="AD229" s="299"/>
      <c r="AE229" s="299"/>
      <c r="AF229" s="299"/>
      <c r="AG229" s="299"/>
    </row>
    <row r="230" spans="25:33" x14ac:dyDescent="0.35">
      <c r="Y230" s="299"/>
      <c r="Z230" s="299"/>
      <c r="AA230" s="299"/>
      <c r="AB230" s="299"/>
      <c r="AC230" s="299"/>
      <c r="AD230" s="299"/>
      <c r="AE230" s="299"/>
      <c r="AF230" s="299"/>
      <c r="AG230" s="299"/>
    </row>
    <row r="231" spans="25:33" x14ac:dyDescent="0.35">
      <c r="Y231" s="299"/>
      <c r="Z231" s="299"/>
      <c r="AA231" s="299"/>
      <c r="AB231" s="299"/>
      <c r="AC231" s="299"/>
      <c r="AD231" s="299"/>
      <c r="AE231" s="299"/>
      <c r="AF231" s="299"/>
      <c r="AG231" s="299"/>
    </row>
    <row r="232" spans="25:33" x14ac:dyDescent="0.35">
      <c r="Y232" s="299"/>
      <c r="Z232" s="299"/>
      <c r="AA232" s="299"/>
      <c r="AB232" s="299"/>
      <c r="AC232" s="299"/>
      <c r="AD232" s="299"/>
      <c r="AE232" s="299"/>
      <c r="AF232" s="299"/>
      <c r="AG232" s="299"/>
    </row>
    <row r="233" spans="25:33" x14ac:dyDescent="0.35">
      <c r="Y233" s="299"/>
      <c r="Z233" s="299"/>
      <c r="AA233" s="299"/>
      <c r="AB233" s="299"/>
      <c r="AC233" s="299"/>
      <c r="AD233" s="299"/>
      <c r="AE233" s="299"/>
      <c r="AF233" s="299"/>
      <c r="AG233" s="299"/>
    </row>
    <row r="234" spans="25:33" x14ac:dyDescent="0.35">
      <c r="Y234" s="299"/>
      <c r="Z234" s="299"/>
      <c r="AA234" s="299"/>
      <c r="AB234" s="299"/>
      <c r="AC234" s="299"/>
      <c r="AD234" s="299"/>
      <c r="AE234" s="299"/>
      <c r="AF234" s="299"/>
      <c r="AG234" s="299"/>
    </row>
    <row r="235" spans="25:33" x14ac:dyDescent="0.35">
      <c r="Y235" s="299"/>
      <c r="Z235" s="299"/>
      <c r="AA235" s="299"/>
      <c r="AB235" s="299"/>
      <c r="AC235" s="299"/>
      <c r="AD235" s="299"/>
      <c r="AE235" s="299"/>
      <c r="AF235" s="299"/>
      <c r="AG235" s="299"/>
    </row>
    <row r="236" spans="25:33" x14ac:dyDescent="0.35">
      <c r="Y236" s="299"/>
      <c r="Z236" s="299"/>
      <c r="AA236" s="299"/>
      <c r="AB236" s="299"/>
      <c r="AC236" s="299"/>
      <c r="AD236" s="299"/>
      <c r="AE236" s="299"/>
      <c r="AF236" s="299"/>
      <c r="AG236" s="299"/>
    </row>
    <row r="237" spans="25:33" x14ac:dyDescent="0.35">
      <c r="Y237" s="299"/>
      <c r="Z237" s="299"/>
      <c r="AA237" s="299"/>
      <c r="AB237" s="299"/>
      <c r="AC237" s="299"/>
      <c r="AD237" s="299"/>
      <c r="AE237" s="299"/>
      <c r="AF237" s="299"/>
      <c r="AG237" s="299"/>
    </row>
    <row r="238" spans="25:33" x14ac:dyDescent="0.35">
      <c r="Y238" s="299"/>
      <c r="Z238" s="299"/>
      <c r="AA238" s="299"/>
      <c r="AB238" s="299"/>
      <c r="AC238" s="299"/>
      <c r="AD238" s="299"/>
      <c r="AE238" s="299"/>
      <c r="AF238" s="299"/>
      <c r="AG238" s="299"/>
    </row>
    <row r="239" spans="25:33" x14ac:dyDescent="0.35">
      <c r="Y239" s="299"/>
      <c r="Z239" s="299"/>
      <c r="AA239" s="299"/>
      <c r="AB239" s="299"/>
      <c r="AC239" s="299"/>
      <c r="AD239" s="299"/>
      <c r="AE239" s="299"/>
      <c r="AF239" s="299"/>
      <c r="AG239" s="299"/>
    </row>
    <row r="240" spans="25:33" x14ac:dyDescent="0.35">
      <c r="Y240" s="299"/>
      <c r="Z240" s="299"/>
      <c r="AA240" s="299"/>
      <c r="AB240" s="299"/>
      <c r="AC240" s="299"/>
      <c r="AD240" s="299"/>
      <c r="AE240" s="299"/>
      <c r="AF240" s="299"/>
      <c r="AG240" s="299"/>
    </row>
    <row r="241" spans="25:33" x14ac:dyDescent="0.35">
      <c r="Y241" s="299"/>
      <c r="Z241" s="299"/>
      <c r="AA241" s="299"/>
      <c r="AB241" s="299"/>
      <c r="AC241" s="299"/>
      <c r="AD241" s="299"/>
      <c r="AE241" s="299"/>
      <c r="AF241" s="299"/>
      <c r="AG241" s="299"/>
    </row>
    <row r="242" spans="25:33" x14ac:dyDescent="0.35">
      <c r="Y242" s="299"/>
      <c r="Z242" s="299"/>
      <c r="AA242" s="299"/>
      <c r="AB242" s="299"/>
      <c r="AC242" s="299"/>
      <c r="AD242" s="299"/>
      <c r="AE242" s="299"/>
      <c r="AF242" s="299"/>
      <c r="AG242" s="299"/>
    </row>
    <row r="243" spans="25:33" x14ac:dyDescent="0.35">
      <c r="Y243" s="299"/>
      <c r="Z243" s="299"/>
      <c r="AA243" s="299"/>
      <c r="AB243" s="299"/>
      <c r="AC243" s="299"/>
      <c r="AD243" s="299"/>
      <c r="AE243" s="299"/>
      <c r="AF243" s="299"/>
      <c r="AG243" s="299"/>
    </row>
    <row r="244" spans="25:33" x14ac:dyDescent="0.35">
      <c r="Y244" s="299"/>
      <c r="Z244" s="299"/>
      <c r="AA244" s="299"/>
      <c r="AB244" s="299"/>
      <c r="AC244" s="299"/>
      <c r="AD244" s="299"/>
      <c r="AE244" s="299"/>
      <c r="AF244" s="299"/>
      <c r="AG244" s="299"/>
    </row>
    <row r="245" spans="25:33" x14ac:dyDescent="0.35">
      <c r="Y245" s="299"/>
      <c r="Z245" s="299"/>
      <c r="AA245" s="299"/>
      <c r="AB245" s="299"/>
      <c r="AC245" s="299"/>
      <c r="AD245" s="299"/>
      <c r="AE245" s="299"/>
      <c r="AF245" s="299"/>
      <c r="AG245" s="299"/>
    </row>
    <row r="246" spans="25:33" x14ac:dyDescent="0.35">
      <c r="Y246" s="299"/>
      <c r="Z246" s="299"/>
      <c r="AA246" s="299"/>
      <c r="AB246" s="299"/>
      <c r="AC246" s="299"/>
      <c r="AD246" s="299"/>
      <c r="AE246" s="299"/>
      <c r="AF246" s="299"/>
      <c r="AG246" s="299"/>
    </row>
    <row r="247" spans="25:33" x14ac:dyDescent="0.35">
      <c r="Y247" s="299"/>
      <c r="Z247" s="299"/>
      <c r="AA247" s="299"/>
      <c r="AB247" s="299"/>
      <c r="AC247" s="299"/>
      <c r="AD247" s="299"/>
      <c r="AE247" s="299"/>
      <c r="AF247" s="299"/>
      <c r="AG247" s="299"/>
    </row>
    <row r="248" spans="25:33" x14ac:dyDescent="0.35">
      <c r="Y248" s="299"/>
      <c r="Z248" s="299"/>
      <c r="AA248" s="299"/>
      <c r="AB248" s="299"/>
      <c r="AC248" s="299"/>
      <c r="AD248" s="299"/>
      <c r="AE248" s="299"/>
      <c r="AF248" s="299"/>
      <c r="AG248" s="299"/>
    </row>
    <row r="249" spans="25:33" x14ac:dyDescent="0.35">
      <c r="Y249" s="299"/>
      <c r="Z249" s="299"/>
      <c r="AA249" s="299"/>
      <c r="AB249" s="299"/>
      <c r="AC249" s="299"/>
      <c r="AD249" s="299"/>
      <c r="AE249" s="299"/>
      <c r="AF249" s="299"/>
      <c r="AG249" s="299"/>
    </row>
    <row r="250" spans="25:33" x14ac:dyDescent="0.35">
      <c r="Y250" s="299"/>
      <c r="Z250" s="299"/>
      <c r="AA250" s="299"/>
      <c r="AB250" s="299"/>
      <c r="AC250" s="299"/>
      <c r="AD250" s="299"/>
      <c r="AE250" s="299"/>
      <c r="AF250" s="299"/>
      <c r="AG250" s="299"/>
    </row>
    <row r="251" spans="25:33" x14ac:dyDescent="0.35">
      <c r="Y251" s="299"/>
      <c r="Z251" s="299"/>
      <c r="AA251" s="299"/>
      <c r="AB251" s="299"/>
      <c r="AC251" s="299"/>
      <c r="AD251" s="299"/>
      <c r="AE251" s="299"/>
      <c r="AF251" s="299"/>
      <c r="AG251" s="299"/>
    </row>
    <row r="252" spans="25:33" x14ac:dyDescent="0.35">
      <c r="Y252" s="299"/>
      <c r="Z252" s="299"/>
      <c r="AA252" s="299"/>
      <c r="AB252" s="299"/>
      <c r="AC252" s="299"/>
      <c r="AD252" s="299"/>
      <c r="AE252" s="299"/>
      <c r="AF252" s="299"/>
      <c r="AG252" s="299"/>
    </row>
    <row r="253" spans="25:33" x14ac:dyDescent="0.35">
      <c r="Y253" s="299"/>
      <c r="Z253" s="299"/>
      <c r="AA253" s="299"/>
      <c r="AB253" s="299"/>
      <c r="AC253" s="299"/>
      <c r="AD253" s="299"/>
      <c r="AE253" s="299"/>
      <c r="AF253" s="299"/>
      <c r="AG253" s="299"/>
    </row>
    <row r="254" spans="25:33" x14ac:dyDescent="0.35">
      <c r="Y254" s="299"/>
      <c r="Z254" s="299"/>
      <c r="AA254" s="299"/>
      <c r="AB254" s="299"/>
      <c r="AC254" s="299"/>
      <c r="AD254" s="299"/>
      <c r="AE254" s="299"/>
      <c r="AF254" s="299"/>
      <c r="AG254" s="299"/>
    </row>
    <row r="255" spans="25:33" x14ac:dyDescent="0.35">
      <c r="Y255" s="299"/>
      <c r="Z255" s="299"/>
      <c r="AA255" s="299"/>
      <c r="AB255" s="299"/>
      <c r="AC255" s="299"/>
      <c r="AD255" s="299"/>
      <c r="AE255" s="299"/>
      <c r="AF255" s="299"/>
      <c r="AG255" s="299"/>
    </row>
    <row r="256" spans="25:33" x14ac:dyDescent="0.35">
      <c r="Y256" s="299"/>
      <c r="Z256" s="299"/>
      <c r="AA256" s="299"/>
      <c r="AB256" s="299"/>
      <c r="AC256" s="299"/>
      <c r="AD256" s="299"/>
      <c r="AE256" s="299"/>
      <c r="AF256" s="299"/>
      <c r="AG256" s="299"/>
    </row>
    <row r="257" spans="25:33" x14ac:dyDescent="0.35">
      <c r="Y257" s="299"/>
      <c r="Z257" s="299"/>
      <c r="AA257" s="299"/>
      <c r="AB257" s="299"/>
      <c r="AC257" s="299"/>
      <c r="AD257" s="299"/>
      <c r="AE257" s="299"/>
      <c r="AF257" s="299"/>
      <c r="AG257" s="299"/>
    </row>
    <row r="258" spans="25:33" x14ac:dyDescent="0.35">
      <c r="Y258" s="299"/>
      <c r="Z258" s="299"/>
      <c r="AA258" s="299"/>
      <c r="AB258" s="299"/>
      <c r="AC258" s="299"/>
      <c r="AD258" s="299"/>
      <c r="AE258" s="299"/>
      <c r="AF258" s="299"/>
      <c r="AG258" s="299"/>
    </row>
    <row r="259" spans="25:33" x14ac:dyDescent="0.35">
      <c r="Y259" s="299"/>
      <c r="Z259" s="299"/>
      <c r="AA259" s="299"/>
      <c r="AB259" s="299"/>
      <c r="AC259" s="299"/>
      <c r="AD259" s="299"/>
      <c r="AE259" s="299"/>
      <c r="AF259" s="299"/>
      <c r="AG259" s="299"/>
    </row>
    <row r="260" spans="25:33" x14ac:dyDescent="0.35">
      <c r="Y260" s="299"/>
      <c r="Z260" s="299"/>
      <c r="AA260" s="299"/>
      <c r="AB260" s="299"/>
      <c r="AC260" s="299"/>
      <c r="AD260" s="299"/>
      <c r="AE260" s="299"/>
      <c r="AF260" s="299"/>
      <c r="AG260" s="299"/>
    </row>
    <row r="261" spans="25:33" x14ac:dyDescent="0.35">
      <c r="Y261" s="299"/>
      <c r="Z261" s="299"/>
      <c r="AA261" s="299"/>
      <c r="AB261" s="299"/>
      <c r="AC261" s="299"/>
      <c r="AD261" s="299"/>
      <c r="AE261" s="299"/>
      <c r="AF261" s="299"/>
      <c r="AG261" s="299"/>
    </row>
    <row r="262" spans="25:33" x14ac:dyDescent="0.35">
      <c r="Y262" s="299"/>
      <c r="Z262" s="299"/>
      <c r="AA262" s="299"/>
      <c r="AB262" s="299"/>
      <c r="AC262" s="299"/>
      <c r="AD262" s="299"/>
      <c r="AE262" s="299"/>
      <c r="AF262" s="299"/>
      <c r="AG262" s="299"/>
    </row>
    <row r="263" spans="25:33" x14ac:dyDescent="0.35">
      <c r="Y263" s="299"/>
      <c r="Z263" s="299"/>
      <c r="AA263" s="299"/>
      <c r="AB263" s="299"/>
      <c r="AC263" s="299"/>
      <c r="AD263" s="299"/>
      <c r="AE263" s="299"/>
      <c r="AF263" s="299"/>
      <c r="AG263" s="299"/>
    </row>
    <row r="264" spans="25:33" x14ac:dyDescent="0.35">
      <c r="Y264" s="299"/>
      <c r="Z264" s="299"/>
      <c r="AA264" s="299"/>
      <c r="AB264" s="299"/>
      <c r="AC264" s="299"/>
      <c r="AD264" s="299"/>
      <c r="AE264" s="299"/>
      <c r="AF264" s="299"/>
      <c r="AG264" s="299"/>
    </row>
    <row r="265" spans="25:33" x14ac:dyDescent="0.35">
      <c r="Y265" s="299"/>
      <c r="Z265" s="299"/>
      <c r="AA265" s="299"/>
      <c r="AB265" s="299"/>
      <c r="AC265" s="299"/>
      <c r="AD265" s="299"/>
      <c r="AE265" s="299"/>
      <c r="AF265" s="299"/>
      <c r="AG265" s="299"/>
    </row>
    <row r="266" spans="25:33" x14ac:dyDescent="0.35">
      <c r="Y266" s="299"/>
      <c r="Z266" s="299"/>
      <c r="AA266" s="299"/>
      <c r="AB266" s="299"/>
      <c r="AC266" s="299"/>
      <c r="AD266" s="299"/>
      <c r="AE266" s="299"/>
      <c r="AF266" s="299"/>
      <c r="AG266" s="299"/>
    </row>
    <row r="267" spans="25:33" x14ac:dyDescent="0.35">
      <c r="Y267" s="299"/>
      <c r="Z267" s="299"/>
      <c r="AA267" s="299"/>
      <c r="AB267" s="299"/>
      <c r="AC267" s="299"/>
      <c r="AD267" s="299"/>
      <c r="AE267" s="299"/>
      <c r="AF267" s="299"/>
      <c r="AG267" s="299"/>
    </row>
    <row r="268" spans="25:33" x14ac:dyDescent="0.35">
      <c r="Y268" s="299"/>
      <c r="Z268" s="299"/>
      <c r="AA268" s="299"/>
      <c r="AB268" s="299"/>
      <c r="AC268" s="299"/>
      <c r="AD268" s="299"/>
      <c r="AE268" s="299"/>
      <c r="AF268" s="299"/>
      <c r="AG268" s="299"/>
    </row>
    <row r="269" spans="25:33" x14ac:dyDescent="0.35">
      <c r="Y269" s="299"/>
      <c r="Z269" s="299"/>
      <c r="AA269" s="299"/>
      <c r="AB269" s="299"/>
      <c r="AC269" s="299"/>
      <c r="AD269" s="299"/>
      <c r="AE269" s="299"/>
      <c r="AF269" s="299"/>
      <c r="AG269" s="299"/>
    </row>
    <row r="270" spans="25:33" x14ac:dyDescent="0.35">
      <c r="Y270" s="299"/>
      <c r="Z270" s="299"/>
      <c r="AA270" s="299"/>
      <c r="AB270" s="299"/>
      <c r="AC270" s="299"/>
      <c r="AD270" s="299"/>
      <c r="AE270" s="299"/>
      <c r="AF270" s="299"/>
      <c r="AG270" s="299"/>
    </row>
    <row r="271" spans="25:33" x14ac:dyDescent="0.35">
      <c r="Y271" s="299"/>
      <c r="Z271" s="299"/>
      <c r="AA271" s="299"/>
      <c r="AB271" s="299"/>
      <c r="AC271" s="299"/>
      <c r="AD271" s="299"/>
      <c r="AE271" s="299"/>
      <c r="AF271" s="299"/>
      <c r="AG271" s="299"/>
    </row>
    <row r="272" spans="25:33" x14ac:dyDescent="0.35">
      <c r="Y272" s="299"/>
      <c r="Z272" s="299"/>
      <c r="AA272" s="299"/>
      <c r="AB272" s="299"/>
      <c r="AC272" s="299"/>
      <c r="AD272" s="299"/>
      <c r="AE272" s="299"/>
      <c r="AF272" s="299"/>
      <c r="AG272" s="299"/>
    </row>
    <row r="273" spans="25:33" x14ac:dyDescent="0.35">
      <c r="Y273" s="299"/>
      <c r="Z273" s="299"/>
      <c r="AA273" s="299"/>
      <c r="AB273" s="299"/>
      <c r="AC273" s="299"/>
      <c r="AD273" s="299"/>
      <c r="AE273" s="299"/>
      <c r="AF273" s="299"/>
      <c r="AG273" s="299"/>
    </row>
    <row r="274" spans="25:33" x14ac:dyDescent="0.35">
      <c r="Y274" s="299"/>
      <c r="Z274" s="299"/>
      <c r="AA274" s="299"/>
      <c r="AB274" s="299"/>
      <c r="AC274" s="299"/>
      <c r="AD274" s="299"/>
      <c r="AE274" s="299"/>
      <c r="AF274" s="299"/>
      <c r="AG274" s="299"/>
    </row>
    <row r="275" spans="25:33" x14ac:dyDescent="0.35">
      <c r="Y275" s="299"/>
      <c r="Z275" s="299"/>
      <c r="AA275" s="299"/>
      <c r="AB275" s="299"/>
      <c r="AC275" s="299"/>
      <c r="AD275" s="299"/>
      <c r="AE275" s="299"/>
      <c r="AF275" s="299"/>
      <c r="AG275" s="299"/>
    </row>
    <row r="276" spans="25:33" x14ac:dyDescent="0.35">
      <c r="Y276" s="299"/>
      <c r="Z276" s="299"/>
      <c r="AA276" s="299"/>
      <c r="AB276" s="299"/>
      <c r="AC276" s="299"/>
      <c r="AD276" s="299"/>
      <c r="AE276" s="299"/>
      <c r="AF276" s="299"/>
      <c r="AG276" s="299"/>
    </row>
    <row r="277" spans="25:33" x14ac:dyDescent="0.35">
      <c r="Y277" s="299"/>
      <c r="Z277" s="299"/>
      <c r="AA277" s="299"/>
      <c r="AB277" s="299"/>
      <c r="AC277" s="299"/>
      <c r="AD277" s="299"/>
      <c r="AE277" s="299"/>
      <c r="AF277" s="299"/>
      <c r="AG277" s="299"/>
    </row>
    <row r="278" spans="25:33" x14ac:dyDescent="0.35">
      <c r="Y278" s="299"/>
      <c r="Z278" s="299"/>
      <c r="AA278" s="299"/>
      <c r="AB278" s="299"/>
      <c r="AC278" s="299"/>
      <c r="AD278" s="299"/>
      <c r="AE278" s="299"/>
      <c r="AF278" s="299"/>
      <c r="AG278" s="299"/>
    </row>
    <row r="279" spans="25:33" x14ac:dyDescent="0.35">
      <c r="Y279" s="299"/>
      <c r="Z279" s="299"/>
      <c r="AA279" s="299"/>
      <c r="AB279" s="299"/>
      <c r="AC279" s="299"/>
      <c r="AD279" s="299"/>
      <c r="AE279" s="299"/>
      <c r="AF279" s="299"/>
      <c r="AG279" s="299"/>
    </row>
    <row r="280" spans="25:33" x14ac:dyDescent="0.35">
      <c r="Y280" s="299"/>
      <c r="Z280" s="299"/>
      <c r="AA280" s="299"/>
      <c r="AB280" s="299"/>
      <c r="AC280" s="299"/>
      <c r="AD280" s="299"/>
      <c r="AE280" s="299"/>
      <c r="AF280" s="299"/>
      <c r="AG280" s="299"/>
    </row>
  </sheetData>
  <mergeCells count="16">
    <mergeCell ref="O10:O29"/>
    <mergeCell ref="P10:P29"/>
    <mergeCell ref="Q10:Q29"/>
    <mergeCell ref="R10:R29"/>
    <mergeCell ref="S10:S29"/>
    <mergeCell ref="R8:R9"/>
    <mergeCell ref="S8:S9"/>
    <mergeCell ref="O8:O9"/>
    <mergeCell ref="P8:P9"/>
    <mergeCell ref="Q8:Q9"/>
    <mergeCell ref="A1:Z1"/>
    <mergeCell ref="O4:O7"/>
    <mergeCell ref="P4:P7"/>
    <mergeCell ref="Q4:Q7"/>
    <mergeCell ref="R4:R7"/>
    <mergeCell ref="S4:S7"/>
  </mergeCells>
  <conditionalFormatting sqref="R42:R1048576">
    <cfRule type="containsText" dxfId="59" priority="4" operator="containsText" text="No">
      <formula>NOT(ISERROR(SEARCH("No",R42)))</formula>
    </cfRule>
    <cfRule type="containsText" dxfId="58" priority="5" operator="containsText" text="Yes">
      <formula>NOT(ISERROR(SEARCH("Yes",R42)))</formula>
    </cfRule>
  </conditionalFormatting>
  <conditionalFormatting sqref="S42:S1048576">
    <cfRule type="containsText" dxfId="57" priority="1" operator="containsText" text="Rejected">
      <formula>NOT(ISERROR(SEARCH("Rejected",S42)))</formula>
    </cfRule>
    <cfRule type="containsText" dxfId="56" priority="2" operator="containsText" text="Revisions Needed">
      <formula>NOT(ISERROR(SEARCH("Revisions Needed",S42)))</formula>
    </cfRule>
    <cfRule type="containsText" dxfId="55" priority="3" operator="containsText" text="Approved">
      <formula>NOT(ISERROR(SEARCH("Approved",S42)))</formula>
    </cfRule>
  </conditionalFormatting>
  <dataValidations count="3">
    <dataValidation type="list" allowBlank="1" showInputMessage="1" showErrorMessage="1" sqref="C281:C1048576" xr:uid="{7E79CCAE-F719-4BF4-A7F5-56DB9CFF03E9}">
      <formula1>"Monthly, Yearly"</formula1>
    </dataValidation>
    <dataValidation type="list" allowBlank="1" sqref="S281:S1048576" xr:uid="{CE1CF34D-4EA1-4ED5-81A1-4EBD6BCE44C0}">
      <formula1>"Approved,Revisions Needed, Rejected"</formula1>
    </dataValidation>
    <dataValidation type="list" allowBlank="1" showInputMessage="1" showErrorMessage="1" sqref="O281:Q1048576" xr:uid="{E0816D99-8AA4-4BEB-94A4-0D282B1E475C}">
      <formula1>"No, Yes"</formula1>
    </dataValidation>
  </dataValidation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5D8D-9A48-4532-8D30-08311D8BF9F0}">
  <sheetPr>
    <tabColor theme="6"/>
  </sheetPr>
  <dimension ref="A1:W359"/>
  <sheetViews>
    <sheetView showGridLines="0" topLeftCell="A12" zoomScale="60" zoomScaleNormal="60" workbookViewId="0">
      <selection activeCell="T14" sqref="T14"/>
    </sheetView>
  </sheetViews>
  <sheetFormatPr defaultColWidth="8.54296875" defaultRowHeight="14.5" x14ac:dyDescent="0.35"/>
  <cols>
    <col min="1" max="1" width="9" style="76" customWidth="1"/>
    <col min="2" max="3" width="12" style="14" customWidth="1"/>
    <col min="4" max="4" width="18.81640625" style="2" customWidth="1"/>
    <col min="5" max="5" width="21.453125" style="2" customWidth="1"/>
    <col min="6" max="6" width="15.54296875" style="2" customWidth="1"/>
    <col min="7" max="7" width="13.1796875" style="2" hidden="1" customWidth="1"/>
    <col min="8" max="8" width="12.453125" style="76" customWidth="1"/>
    <col min="9" max="9" width="11.81640625" style="29" customWidth="1"/>
    <col min="10" max="10" width="11.453125" style="29" customWidth="1"/>
    <col min="11" max="11" width="15.54296875" style="76" customWidth="1"/>
    <col min="12" max="12" width="12.81640625" style="76" customWidth="1"/>
    <col min="13" max="13" width="36" style="1" customWidth="1"/>
    <col min="14" max="14" width="46.1796875" style="143" customWidth="1"/>
    <col min="15" max="15" width="12.81640625" style="76" customWidth="1"/>
    <col min="16" max="16" width="10.81640625" style="76" customWidth="1"/>
    <col min="17" max="17" width="13.1796875" style="76" customWidth="1"/>
    <col min="18" max="18" width="45.26953125" style="76" customWidth="1"/>
    <col min="19" max="19" width="20.54296875" style="76" customWidth="1"/>
    <col min="20" max="20" width="76.54296875" style="236" customWidth="1"/>
    <col min="21" max="21" width="53.726562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780</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50" t="s">
        <v>2</v>
      </c>
      <c r="B3" s="550"/>
      <c r="C3" s="550"/>
      <c r="D3" s="550"/>
      <c r="E3" s="550"/>
      <c r="F3" s="550"/>
      <c r="G3" s="550"/>
      <c r="H3" s="550"/>
      <c r="I3" s="550"/>
      <c r="J3" s="550"/>
      <c r="K3" s="550"/>
      <c r="L3" s="550"/>
      <c r="M3" s="550"/>
      <c r="N3" s="550"/>
      <c r="O3" s="550"/>
      <c r="P3" s="550"/>
      <c r="Q3" s="550"/>
      <c r="R3" s="550"/>
      <c r="S3" s="550"/>
      <c r="T3" s="550"/>
      <c r="U3" s="82"/>
      <c r="V3" s="82"/>
      <c r="W3" s="82"/>
    </row>
    <row r="4" spans="1:23" s="4" customFormat="1" ht="27.75" customHeight="1" thickTop="1" thickBot="1" x14ac:dyDescent="0.45">
      <c r="A4" s="516" t="s">
        <v>3</v>
      </c>
      <c r="B4" s="516"/>
      <c r="C4" s="516"/>
      <c r="D4" s="516"/>
      <c r="E4" s="516"/>
      <c r="F4" s="547" t="s">
        <v>4</v>
      </c>
      <c r="G4" s="548"/>
      <c r="H4" s="548"/>
      <c r="I4" s="548"/>
      <c r="J4" s="548"/>
      <c r="K4" s="548"/>
      <c r="L4" s="549"/>
      <c r="M4" s="516" t="s">
        <v>5</v>
      </c>
      <c r="N4" s="516"/>
      <c r="O4" s="547" t="s">
        <v>6</v>
      </c>
      <c r="P4" s="548"/>
      <c r="Q4" s="549"/>
      <c r="R4" s="154"/>
      <c r="S4" s="547" t="s">
        <v>7</v>
      </c>
      <c r="T4" s="548"/>
      <c r="U4" s="549"/>
      <c r="V4" s="513" t="s">
        <v>396</v>
      </c>
      <c r="W4" s="515"/>
    </row>
    <row r="5" spans="1:23" ht="92.5" customHeight="1" thickTop="1" thickBot="1" x14ac:dyDescent="0.4">
      <c r="A5" s="10" t="s">
        <v>9</v>
      </c>
      <c r="B5" s="10" t="s">
        <v>10</v>
      </c>
      <c r="C5" s="10" t="s">
        <v>11</v>
      </c>
      <c r="D5" s="10" t="s">
        <v>12</v>
      </c>
      <c r="E5" s="10" t="s">
        <v>13</v>
      </c>
      <c r="F5" s="10" t="s">
        <v>14</v>
      </c>
      <c r="G5" s="10" t="s">
        <v>228</v>
      </c>
      <c r="H5" s="10" t="s">
        <v>15</v>
      </c>
      <c r="I5" s="10" t="s">
        <v>16</v>
      </c>
      <c r="J5" s="10" t="s">
        <v>17</v>
      </c>
      <c r="K5" s="10" t="s">
        <v>18</v>
      </c>
      <c r="L5" s="10" t="s">
        <v>19</v>
      </c>
      <c r="M5" s="10" t="s">
        <v>20</v>
      </c>
      <c r="N5" s="10" t="s">
        <v>21</v>
      </c>
      <c r="O5" s="10" t="s">
        <v>22</v>
      </c>
      <c r="P5" s="10" t="s">
        <v>23</v>
      </c>
      <c r="Q5" s="10" t="s">
        <v>24</v>
      </c>
      <c r="R5" s="10" t="s">
        <v>25</v>
      </c>
      <c r="S5" s="165" t="s">
        <v>26</v>
      </c>
      <c r="T5" s="18" t="s">
        <v>27</v>
      </c>
      <c r="U5" s="18" t="s">
        <v>28</v>
      </c>
      <c r="V5" s="85" t="s">
        <v>29</v>
      </c>
      <c r="W5" s="85" t="s">
        <v>30</v>
      </c>
    </row>
    <row r="6" spans="1:23" s="5" customFormat="1" ht="151.5" customHeight="1" thickTop="1" x14ac:dyDescent="0.35">
      <c r="A6" s="275">
        <v>1</v>
      </c>
      <c r="B6" s="276" t="s">
        <v>361</v>
      </c>
      <c r="C6" s="277" t="s">
        <v>46</v>
      </c>
      <c r="D6" s="275" t="s">
        <v>781</v>
      </c>
      <c r="E6" s="278" t="s">
        <v>782</v>
      </c>
      <c r="F6" s="275" t="s">
        <v>70</v>
      </c>
      <c r="G6" s="275"/>
      <c r="H6" s="279" t="s">
        <v>50</v>
      </c>
      <c r="I6" s="280">
        <v>2000</v>
      </c>
      <c r="J6" s="280" t="s">
        <v>52</v>
      </c>
      <c r="K6" s="275" t="s">
        <v>74</v>
      </c>
      <c r="L6" s="120" t="s">
        <v>52</v>
      </c>
      <c r="M6" s="274" t="s">
        <v>783</v>
      </c>
      <c r="N6" s="131" t="s">
        <v>784</v>
      </c>
      <c r="O6" s="544" t="s">
        <v>150</v>
      </c>
      <c r="P6" s="544" t="s">
        <v>150</v>
      </c>
      <c r="Q6" s="544" t="s">
        <v>150</v>
      </c>
      <c r="R6" s="552" t="s">
        <v>785</v>
      </c>
      <c r="S6" s="130"/>
      <c r="T6" s="231"/>
      <c r="U6" s="174"/>
      <c r="V6" s="155" t="s">
        <v>314</v>
      </c>
      <c r="W6" s="195"/>
    </row>
    <row r="7" spans="1:23" s="5" customFormat="1" ht="234" customHeight="1" x14ac:dyDescent="0.4">
      <c r="A7" s="281">
        <v>2</v>
      </c>
      <c r="B7" s="282" t="s">
        <v>361</v>
      </c>
      <c r="C7" s="283" t="s">
        <v>46</v>
      </c>
      <c r="D7" s="281" t="s">
        <v>781</v>
      </c>
      <c r="E7" s="284" t="s">
        <v>786</v>
      </c>
      <c r="F7" s="281" t="s">
        <v>70</v>
      </c>
      <c r="G7" s="281"/>
      <c r="H7" s="285" t="s">
        <v>71</v>
      </c>
      <c r="I7" s="286">
        <v>120</v>
      </c>
      <c r="J7" s="280" t="s">
        <v>52</v>
      </c>
      <c r="K7" s="275" t="s">
        <v>74</v>
      </c>
      <c r="L7" s="120" t="s">
        <v>52</v>
      </c>
      <c r="M7" s="274" t="s">
        <v>787</v>
      </c>
      <c r="N7" s="38" t="s">
        <v>52</v>
      </c>
      <c r="O7" s="545"/>
      <c r="P7" s="545"/>
      <c r="Q7" s="545"/>
      <c r="R7" s="524"/>
      <c r="S7" s="102"/>
      <c r="T7" s="174"/>
      <c r="U7" s="174"/>
      <c r="V7" s="155" t="s">
        <v>314</v>
      </c>
      <c r="W7" s="196"/>
    </row>
    <row r="8" spans="1:23" s="5" customFormat="1" ht="209.5" customHeight="1" x14ac:dyDescent="0.35">
      <c r="A8" s="281">
        <v>3</v>
      </c>
      <c r="B8" s="282" t="s">
        <v>361</v>
      </c>
      <c r="C8" s="283" t="s">
        <v>46</v>
      </c>
      <c r="D8" s="281" t="s">
        <v>781</v>
      </c>
      <c r="E8" s="284" t="s">
        <v>788</v>
      </c>
      <c r="F8" s="281" t="s">
        <v>70</v>
      </c>
      <c r="G8" s="281"/>
      <c r="H8" s="285" t="s">
        <v>50</v>
      </c>
      <c r="I8" s="286">
        <v>500</v>
      </c>
      <c r="J8" s="280" t="s">
        <v>52</v>
      </c>
      <c r="K8" s="275" t="s">
        <v>74</v>
      </c>
      <c r="L8" s="120" t="s">
        <v>52</v>
      </c>
      <c r="M8" s="142" t="s">
        <v>789</v>
      </c>
      <c r="N8" s="131" t="s">
        <v>784</v>
      </c>
      <c r="O8" s="545"/>
      <c r="P8" s="545"/>
      <c r="Q8" s="545"/>
      <c r="R8" s="524"/>
      <c r="S8" s="102"/>
      <c r="T8" s="155"/>
      <c r="U8" s="174"/>
      <c r="V8" s="155" t="s">
        <v>314</v>
      </c>
      <c r="W8" s="192"/>
    </row>
    <row r="9" spans="1:23" s="5" customFormat="1" ht="261" customHeight="1" x14ac:dyDescent="0.35">
      <c r="A9" s="281">
        <v>4</v>
      </c>
      <c r="B9" s="282" t="s">
        <v>361</v>
      </c>
      <c r="C9" s="283" t="s">
        <v>46</v>
      </c>
      <c r="D9" s="281" t="s">
        <v>781</v>
      </c>
      <c r="E9" s="284" t="s">
        <v>790</v>
      </c>
      <c r="F9" s="281" t="s">
        <v>70</v>
      </c>
      <c r="G9" s="281"/>
      <c r="H9" s="285" t="s">
        <v>71</v>
      </c>
      <c r="I9" s="286" t="s">
        <v>791</v>
      </c>
      <c r="J9" s="280" t="s">
        <v>52</v>
      </c>
      <c r="K9" s="275" t="s">
        <v>74</v>
      </c>
      <c r="L9" s="120" t="s">
        <v>52</v>
      </c>
      <c r="M9" s="142" t="s">
        <v>792</v>
      </c>
      <c r="N9" s="38" t="s">
        <v>52</v>
      </c>
      <c r="O9" s="545"/>
      <c r="P9" s="545"/>
      <c r="Q9" s="545"/>
      <c r="R9" s="524"/>
      <c r="S9" s="102"/>
      <c r="T9" s="156"/>
      <c r="U9" s="174"/>
      <c r="V9" s="155" t="s">
        <v>314</v>
      </c>
      <c r="W9" s="16"/>
    </row>
    <row r="10" spans="1:23" s="5" customFormat="1" ht="158.15" customHeight="1" x14ac:dyDescent="0.35">
      <c r="A10" s="281">
        <v>5</v>
      </c>
      <c r="B10" s="282" t="s">
        <v>361</v>
      </c>
      <c r="C10" s="283" t="s">
        <v>46</v>
      </c>
      <c r="D10" s="281" t="s">
        <v>781</v>
      </c>
      <c r="E10" s="284" t="s">
        <v>793</v>
      </c>
      <c r="F10" s="281" t="s">
        <v>70</v>
      </c>
      <c r="G10" s="281"/>
      <c r="H10" s="285" t="s">
        <v>71</v>
      </c>
      <c r="I10" s="286" t="s">
        <v>794</v>
      </c>
      <c r="J10" s="280" t="s">
        <v>52</v>
      </c>
      <c r="K10" s="275" t="s">
        <v>74</v>
      </c>
      <c r="L10" s="120" t="s">
        <v>52</v>
      </c>
      <c r="M10" s="142" t="s">
        <v>664</v>
      </c>
      <c r="N10" s="38" t="s">
        <v>52</v>
      </c>
      <c r="O10" s="545"/>
      <c r="P10" s="545"/>
      <c r="Q10" s="545"/>
      <c r="R10" s="524"/>
      <c r="S10" s="102"/>
      <c r="T10" s="156"/>
      <c r="U10" s="174"/>
      <c r="V10" s="155" t="s">
        <v>314</v>
      </c>
      <c r="W10" s="16"/>
    </row>
    <row r="11" spans="1:23" s="5" customFormat="1" ht="246.65" customHeight="1" x14ac:dyDescent="0.4">
      <c r="A11" s="281">
        <v>6</v>
      </c>
      <c r="B11" s="282" t="s">
        <v>361</v>
      </c>
      <c r="C11" s="283" t="s">
        <v>46</v>
      </c>
      <c r="D11" s="281" t="s">
        <v>781</v>
      </c>
      <c r="E11" s="284" t="s">
        <v>795</v>
      </c>
      <c r="F11" s="281" t="s">
        <v>70</v>
      </c>
      <c r="G11" s="281"/>
      <c r="H11" s="285" t="s">
        <v>50</v>
      </c>
      <c r="I11" s="286" t="s">
        <v>796</v>
      </c>
      <c r="J11" s="280" t="s">
        <v>52</v>
      </c>
      <c r="K11" s="275" t="s">
        <v>74</v>
      </c>
      <c r="L11" s="120" t="s">
        <v>52</v>
      </c>
      <c r="M11" s="142" t="s">
        <v>797</v>
      </c>
      <c r="N11" s="131" t="s">
        <v>798</v>
      </c>
      <c r="O11" s="545"/>
      <c r="P11" s="545"/>
      <c r="Q11" s="545"/>
      <c r="R11" s="524"/>
      <c r="S11" s="102"/>
      <c r="T11" s="156"/>
      <c r="U11" s="174"/>
      <c r="V11" s="155" t="s">
        <v>314</v>
      </c>
      <c r="W11" s="188"/>
    </row>
    <row r="12" spans="1:23" s="5" customFormat="1" ht="215.15" customHeight="1" x14ac:dyDescent="0.35">
      <c r="A12" s="281">
        <v>7</v>
      </c>
      <c r="B12" s="282" t="s">
        <v>361</v>
      </c>
      <c r="C12" s="283" t="s">
        <v>46</v>
      </c>
      <c r="D12" s="281" t="s">
        <v>781</v>
      </c>
      <c r="E12" s="284" t="s">
        <v>799</v>
      </c>
      <c r="F12" s="281" t="s">
        <v>70</v>
      </c>
      <c r="G12" s="281"/>
      <c r="H12" s="285" t="s">
        <v>50</v>
      </c>
      <c r="I12" s="286" t="s">
        <v>800</v>
      </c>
      <c r="J12" s="280" t="s">
        <v>52</v>
      </c>
      <c r="K12" s="275" t="s">
        <v>74</v>
      </c>
      <c r="L12" s="120" t="s">
        <v>52</v>
      </c>
      <c r="M12" s="142" t="s">
        <v>797</v>
      </c>
      <c r="N12" s="131" t="s">
        <v>784</v>
      </c>
      <c r="O12" s="545"/>
      <c r="P12" s="545"/>
      <c r="Q12" s="545"/>
      <c r="R12" s="524"/>
      <c r="S12" s="102"/>
      <c r="T12" s="232"/>
      <c r="U12" s="265"/>
      <c r="V12" s="155" t="s">
        <v>314</v>
      </c>
      <c r="W12" s="34"/>
    </row>
    <row r="13" spans="1:23" s="5" customFormat="1" ht="223.5" customHeight="1" x14ac:dyDescent="0.35">
      <c r="A13" s="281">
        <v>8</v>
      </c>
      <c r="B13" s="282" t="s">
        <v>361</v>
      </c>
      <c r="C13" s="283" t="s">
        <v>46</v>
      </c>
      <c r="D13" s="281" t="s">
        <v>781</v>
      </c>
      <c r="E13" s="284" t="s">
        <v>801</v>
      </c>
      <c r="F13" s="281" t="s">
        <v>70</v>
      </c>
      <c r="G13" s="281"/>
      <c r="H13" s="285" t="s">
        <v>50</v>
      </c>
      <c r="I13" s="286" t="s">
        <v>802</v>
      </c>
      <c r="J13" s="280" t="s">
        <v>52</v>
      </c>
      <c r="K13" s="275" t="s">
        <v>74</v>
      </c>
      <c r="L13" s="120" t="s">
        <v>52</v>
      </c>
      <c r="M13" s="142" t="s">
        <v>797</v>
      </c>
      <c r="N13" s="131" t="s">
        <v>784</v>
      </c>
      <c r="O13" s="545"/>
      <c r="P13" s="545"/>
      <c r="Q13" s="545"/>
      <c r="R13" s="524"/>
      <c r="S13" s="102"/>
      <c r="T13" s="232"/>
      <c r="U13" s="265"/>
      <c r="V13" s="155" t="s">
        <v>314</v>
      </c>
      <c r="W13" s="34"/>
    </row>
    <row r="14" spans="1:23" s="5" customFormat="1" ht="225" customHeight="1" x14ac:dyDescent="0.35">
      <c r="A14" s="281">
        <v>9</v>
      </c>
      <c r="B14" s="282" t="s">
        <v>361</v>
      </c>
      <c r="C14" s="283" t="s">
        <v>46</v>
      </c>
      <c r="D14" s="281" t="s">
        <v>781</v>
      </c>
      <c r="E14" s="284" t="s">
        <v>803</v>
      </c>
      <c r="F14" s="281" t="s">
        <v>70</v>
      </c>
      <c r="G14" s="281"/>
      <c r="H14" s="285" t="s">
        <v>50</v>
      </c>
      <c r="I14" s="286" t="s">
        <v>800</v>
      </c>
      <c r="J14" s="280" t="s">
        <v>52</v>
      </c>
      <c r="K14" s="275" t="s">
        <v>74</v>
      </c>
      <c r="L14" s="120" t="s">
        <v>52</v>
      </c>
      <c r="M14" s="142" t="s">
        <v>797</v>
      </c>
      <c r="N14" s="131" t="s">
        <v>784</v>
      </c>
      <c r="O14" s="545"/>
      <c r="P14" s="545"/>
      <c r="Q14" s="545"/>
      <c r="R14" s="524"/>
      <c r="S14" s="102"/>
      <c r="T14" s="233"/>
      <c r="U14" s="174"/>
      <c r="V14" s="155" t="s">
        <v>314</v>
      </c>
      <c r="W14" s="34"/>
    </row>
    <row r="15" spans="1:23" s="5" customFormat="1" ht="227.5" customHeight="1" x14ac:dyDescent="0.35">
      <c r="A15" s="281">
        <v>10</v>
      </c>
      <c r="B15" s="282" t="s">
        <v>361</v>
      </c>
      <c r="C15" s="283" t="s">
        <v>46</v>
      </c>
      <c r="D15" s="281" t="s">
        <v>781</v>
      </c>
      <c r="E15" s="284" t="s">
        <v>804</v>
      </c>
      <c r="F15" s="281" t="s">
        <v>70</v>
      </c>
      <c r="G15" s="281"/>
      <c r="H15" s="285" t="s">
        <v>50</v>
      </c>
      <c r="I15" s="286" t="s">
        <v>805</v>
      </c>
      <c r="J15" s="280" t="s">
        <v>52</v>
      </c>
      <c r="K15" s="275" t="s">
        <v>74</v>
      </c>
      <c r="L15" s="120" t="s">
        <v>52</v>
      </c>
      <c r="M15" s="142" t="s">
        <v>797</v>
      </c>
      <c r="N15" s="131" t="s">
        <v>784</v>
      </c>
      <c r="O15" s="545"/>
      <c r="P15" s="545"/>
      <c r="Q15" s="545"/>
      <c r="R15" s="524"/>
      <c r="S15" s="102"/>
      <c r="T15" s="233"/>
      <c r="U15" s="174"/>
      <c r="V15" s="155" t="s">
        <v>314</v>
      </c>
      <c r="W15" s="34"/>
    </row>
    <row r="16" spans="1:23" s="5" customFormat="1" ht="138" customHeight="1" x14ac:dyDescent="0.35">
      <c r="A16" s="281">
        <v>11</v>
      </c>
      <c r="B16" s="282" t="s">
        <v>361</v>
      </c>
      <c r="C16" s="283" t="s">
        <v>46</v>
      </c>
      <c r="D16" s="281" t="s">
        <v>781</v>
      </c>
      <c r="E16" s="284" t="s">
        <v>806</v>
      </c>
      <c r="F16" s="281" t="s">
        <v>70</v>
      </c>
      <c r="G16" s="281"/>
      <c r="H16" s="285" t="s">
        <v>71</v>
      </c>
      <c r="I16" s="286" t="s">
        <v>800</v>
      </c>
      <c r="J16" s="287">
        <v>250</v>
      </c>
      <c r="K16" s="275" t="s">
        <v>74</v>
      </c>
      <c r="L16" s="120" t="s">
        <v>52</v>
      </c>
      <c r="M16" s="75" t="s">
        <v>807</v>
      </c>
      <c r="N16" s="38" t="s">
        <v>52</v>
      </c>
      <c r="O16" s="545"/>
      <c r="P16" s="545"/>
      <c r="Q16" s="545"/>
      <c r="R16" s="524"/>
      <c r="S16" s="102"/>
      <c r="T16" s="233"/>
      <c r="U16" s="174"/>
      <c r="V16" s="155" t="s">
        <v>314</v>
      </c>
      <c r="W16" s="34"/>
    </row>
    <row r="17" spans="1:23" s="5" customFormat="1" ht="125.15" customHeight="1" x14ac:dyDescent="0.35">
      <c r="A17" s="281">
        <v>12</v>
      </c>
      <c r="B17" s="282" t="s">
        <v>361</v>
      </c>
      <c r="C17" s="283" t="s">
        <v>46</v>
      </c>
      <c r="D17" s="281" t="s">
        <v>781</v>
      </c>
      <c r="E17" s="284" t="s">
        <v>808</v>
      </c>
      <c r="F17" s="281" t="s">
        <v>70</v>
      </c>
      <c r="G17" s="281"/>
      <c r="H17" s="285" t="s">
        <v>71</v>
      </c>
      <c r="I17" s="286" t="s">
        <v>809</v>
      </c>
      <c r="J17" s="287">
        <v>550</v>
      </c>
      <c r="K17" s="275" t="s">
        <v>74</v>
      </c>
      <c r="L17" s="120" t="s">
        <v>52</v>
      </c>
      <c r="M17" s="142" t="s">
        <v>797</v>
      </c>
      <c r="N17" s="38" t="s">
        <v>52</v>
      </c>
      <c r="O17" s="545"/>
      <c r="P17" s="545"/>
      <c r="Q17" s="545"/>
      <c r="R17" s="524"/>
      <c r="S17" s="102"/>
      <c r="T17" s="233"/>
      <c r="U17" s="174"/>
      <c r="V17" s="155" t="s">
        <v>314</v>
      </c>
      <c r="W17" s="34"/>
    </row>
    <row r="18" spans="1:23" s="3" customFormat="1" ht="180" customHeight="1" x14ac:dyDescent="0.35">
      <c r="A18" s="281">
        <v>13</v>
      </c>
      <c r="B18" s="282" t="s">
        <v>361</v>
      </c>
      <c r="C18" s="283" t="s">
        <v>46</v>
      </c>
      <c r="D18" s="281" t="s">
        <v>781</v>
      </c>
      <c r="E18" s="284" t="s">
        <v>810</v>
      </c>
      <c r="F18" s="281" t="s">
        <v>70</v>
      </c>
      <c r="G18" s="281"/>
      <c r="H18" s="285" t="s">
        <v>71</v>
      </c>
      <c r="I18" s="286" t="s">
        <v>811</v>
      </c>
      <c r="J18" s="287">
        <v>70</v>
      </c>
      <c r="K18" s="275" t="s">
        <v>74</v>
      </c>
      <c r="L18" s="275" t="s">
        <v>52</v>
      </c>
      <c r="M18" s="75" t="s">
        <v>807</v>
      </c>
      <c r="N18" s="38" t="s">
        <v>52</v>
      </c>
      <c r="O18" s="545"/>
      <c r="P18" s="545"/>
      <c r="Q18" s="545"/>
      <c r="R18" s="524"/>
      <c r="S18" s="102"/>
      <c r="T18" s="233"/>
      <c r="U18" s="174"/>
      <c r="V18" s="155" t="s">
        <v>314</v>
      </c>
      <c r="W18" s="34"/>
    </row>
    <row r="19" spans="1:23" s="3" customFormat="1" ht="208.5" customHeight="1" x14ac:dyDescent="0.35">
      <c r="A19" s="281">
        <v>14</v>
      </c>
      <c r="B19" s="282" t="s">
        <v>361</v>
      </c>
      <c r="C19" s="283" t="s">
        <v>46</v>
      </c>
      <c r="D19" s="281" t="s">
        <v>781</v>
      </c>
      <c r="E19" s="284" t="s">
        <v>812</v>
      </c>
      <c r="F19" s="281" t="s">
        <v>70</v>
      </c>
      <c r="G19" s="281"/>
      <c r="H19" s="285" t="s">
        <v>71</v>
      </c>
      <c r="I19" s="286" t="s">
        <v>813</v>
      </c>
      <c r="J19" s="287">
        <v>320</v>
      </c>
      <c r="K19" s="275" t="s">
        <v>74</v>
      </c>
      <c r="L19" s="120" t="s">
        <v>52</v>
      </c>
      <c r="M19" s="142" t="s">
        <v>797</v>
      </c>
      <c r="N19" s="38" t="s">
        <v>52</v>
      </c>
      <c r="O19" s="545"/>
      <c r="P19" s="545"/>
      <c r="Q19" s="545"/>
      <c r="R19" s="524"/>
      <c r="S19" s="102"/>
      <c r="T19" s="233"/>
      <c r="U19" s="174"/>
      <c r="V19" s="155" t="s">
        <v>314</v>
      </c>
      <c r="W19" s="34"/>
    </row>
    <row r="20" spans="1:23" s="3" customFormat="1" ht="223" customHeight="1" x14ac:dyDescent="0.35">
      <c r="A20" s="281">
        <v>15</v>
      </c>
      <c r="B20" s="282" t="s">
        <v>361</v>
      </c>
      <c r="C20" s="283" t="s">
        <v>46</v>
      </c>
      <c r="D20" s="281" t="s">
        <v>781</v>
      </c>
      <c r="E20" s="284" t="s">
        <v>814</v>
      </c>
      <c r="F20" s="281" t="s">
        <v>70</v>
      </c>
      <c r="G20" s="281"/>
      <c r="H20" s="285" t="s">
        <v>71</v>
      </c>
      <c r="I20" s="286" t="s">
        <v>815</v>
      </c>
      <c r="J20" s="287">
        <v>600</v>
      </c>
      <c r="K20" s="275" t="s">
        <v>74</v>
      </c>
      <c r="L20" s="120" t="s">
        <v>52</v>
      </c>
      <c r="M20" s="142" t="s">
        <v>797</v>
      </c>
      <c r="N20" s="38" t="s">
        <v>52</v>
      </c>
      <c r="O20" s="545"/>
      <c r="P20" s="545"/>
      <c r="Q20" s="545"/>
      <c r="R20" s="524"/>
      <c r="S20" s="102"/>
      <c r="T20" s="233"/>
      <c r="U20" s="174"/>
      <c r="V20" s="155" t="s">
        <v>314</v>
      </c>
      <c r="W20" s="34"/>
    </row>
    <row r="21" spans="1:23" s="3" customFormat="1" ht="226.5" customHeight="1" x14ac:dyDescent="0.35">
      <c r="A21" s="281">
        <v>16</v>
      </c>
      <c r="B21" s="282" t="s">
        <v>361</v>
      </c>
      <c r="C21" s="283" t="s">
        <v>46</v>
      </c>
      <c r="D21" s="281" t="s">
        <v>781</v>
      </c>
      <c r="E21" s="284" t="s">
        <v>816</v>
      </c>
      <c r="F21" s="281" t="s">
        <v>70</v>
      </c>
      <c r="G21" s="281"/>
      <c r="H21" s="285" t="s">
        <v>71</v>
      </c>
      <c r="I21" s="286" t="s">
        <v>800</v>
      </c>
      <c r="J21" s="287">
        <v>250</v>
      </c>
      <c r="K21" s="275" t="s">
        <v>74</v>
      </c>
      <c r="L21" s="120" t="s">
        <v>52</v>
      </c>
      <c r="M21" s="142" t="s">
        <v>797</v>
      </c>
      <c r="N21" s="38" t="s">
        <v>52</v>
      </c>
      <c r="O21" s="545"/>
      <c r="P21" s="545"/>
      <c r="Q21" s="545"/>
      <c r="R21" s="524"/>
      <c r="S21" s="102"/>
      <c r="T21" s="233"/>
      <c r="U21" s="174"/>
      <c r="V21" s="155" t="s">
        <v>314</v>
      </c>
      <c r="W21" s="34"/>
    </row>
    <row r="22" spans="1:23" s="3" customFormat="1" ht="242.5" customHeight="1" x14ac:dyDescent="0.35">
      <c r="A22" s="281">
        <v>17</v>
      </c>
      <c r="B22" s="282" t="s">
        <v>361</v>
      </c>
      <c r="C22" s="283" t="s">
        <v>46</v>
      </c>
      <c r="D22" s="281" t="s">
        <v>781</v>
      </c>
      <c r="E22" s="284" t="s">
        <v>817</v>
      </c>
      <c r="F22" s="281" t="s">
        <v>70</v>
      </c>
      <c r="G22" s="281"/>
      <c r="H22" s="285" t="s">
        <v>71</v>
      </c>
      <c r="I22" s="286" t="s">
        <v>818</v>
      </c>
      <c r="J22" s="287">
        <v>600</v>
      </c>
      <c r="K22" s="275" t="s">
        <v>74</v>
      </c>
      <c r="L22" s="120" t="s">
        <v>52</v>
      </c>
      <c r="M22" s="142" t="s">
        <v>797</v>
      </c>
      <c r="N22" s="38" t="s">
        <v>52</v>
      </c>
      <c r="O22" s="545"/>
      <c r="P22" s="545"/>
      <c r="Q22" s="545"/>
      <c r="R22" s="524"/>
      <c r="S22" s="102"/>
      <c r="T22" s="233"/>
      <c r="U22" s="174"/>
      <c r="V22" s="155" t="s">
        <v>314</v>
      </c>
      <c r="W22" s="34"/>
    </row>
    <row r="23" spans="1:23" s="3" customFormat="1" ht="233.5" customHeight="1" x14ac:dyDescent="0.35">
      <c r="A23" s="281">
        <v>18</v>
      </c>
      <c r="B23" s="282" t="s">
        <v>361</v>
      </c>
      <c r="C23" s="283" t="s">
        <v>46</v>
      </c>
      <c r="D23" s="281" t="s">
        <v>781</v>
      </c>
      <c r="E23" s="284" t="s">
        <v>819</v>
      </c>
      <c r="F23" s="281" t="s">
        <v>70</v>
      </c>
      <c r="G23" s="281"/>
      <c r="H23" s="285" t="s">
        <v>71</v>
      </c>
      <c r="I23" s="286" t="s">
        <v>820</v>
      </c>
      <c r="J23" s="287">
        <v>600</v>
      </c>
      <c r="K23" s="275" t="s">
        <v>74</v>
      </c>
      <c r="L23" s="120" t="s">
        <v>52</v>
      </c>
      <c r="M23" s="142" t="s">
        <v>797</v>
      </c>
      <c r="N23" s="38" t="s">
        <v>52</v>
      </c>
      <c r="O23" s="545"/>
      <c r="P23" s="545"/>
      <c r="Q23" s="545"/>
      <c r="R23" s="524"/>
      <c r="S23" s="102"/>
      <c r="T23" s="233"/>
      <c r="U23" s="174"/>
      <c r="V23" s="155" t="s">
        <v>314</v>
      </c>
      <c r="W23" s="34"/>
    </row>
    <row r="24" spans="1:23" s="3" customFormat="1" ht="261.64999999999998" customHeight="1" x14ac:dyDescent="0.35">
      <c r="A24" s="281">
        <v>19</v>
      </c>
      <c r="B24" s="282" t="s">
        <v>361</v>
      </c>
      <c r="C24" s="283" t="s">
        <v>46</v>
      </c>
      <c r="D24" s="281" t="s">
        <v>781</v>
      </c>
      <c r="E24" s="284" t="s">
        <v>821</v>
      </c>
      <c r="F24" s="281" t="s">
        <v>70</v>
      </c>
      <c r="G24" s="281"/>
      <c r="H24" s="285" t="s">
        <v>71</v>
      </c>
      <c r="I24" s="286" t="s">
        <v>822</v>
      </c>
      <c r="J24" s="287">
        <v>1249</v>
      </c>
      <c r="K24" s="275" t="s">
        <v>74</v>
      </c>
      <c r="L24" s="120" t="s">
        <v>52</v>
      </c>
      <c r="M24" s="142" t="s">
        <v>797</v>
      </c>
      <c r="N24" s="38" t="s">
        <v>52</v>
      </c>
      <c r="O24" s="545"/>
      <c r="P24" s="545"/>
      <c r="Q24" s="545"/>
      <c r="R24" s="524"/>
      <c r="S24" s="102"/>
      <c r="T24" s="233"/>
      <c r="U24" s="174"/>
      <c r="V24" s="155" t="s">
        <v>314</v>
      </c>
      <c r="W24" s="34"/>
    </row>
    <row r="25" spans="1:23" s="3" customFormat="1" ht="232" customHeight="1" x14ac:dyDescent="0.35">
      <c r="A25" s="281">
        <v>20</v>
      </c>
      <c r="B25" s="282" t="s">
        <v>361</v>
      </c>
      <c r="C25" s="283" t="s">
        <v>46</v>
      </c>
      <c r="D25" s="281" t="s">
        <v>781</v>
      </c>
      <c r="E25" s="284" t="s">
        <v>823</v>
      </c>
      <c r="F25" s="281" t="s">
        <v>70</v>
      </c>
      <c r="G25" s="281"/>
      <c r="H25" s="285" t="s">
        <v>71</v>
      </c>
      <c r="I25" s="286" t="s">
        <v>822</v>
      </c>
      <c r="J25" s="280" t="s">
        <v>52</v>
      </c>
      <c r="K25" s="275" t="s">
        <v>74</v>
      </c>
      <c r="L25" s="120" t="s">
        <v>52</v>
      </c>
      <c r="M25" s="142" t="s">
        <v>797</v>
      </c>
      <c r="N25" s="38" t="s">
        <v>52</v>
      </c>
      <c r="O25" s="545"/>
      <c r="P25" s="545"/>
      <c r="Q25" s="545"/>
      <c r="R25" s="524"/>
      <c r="S25" s="102"/>
      <c r="T25" s="233"/>
      <c r="U25" s="174"/>
      <c r="V25" s="155" t="s">
        <v>314</v>
      </c>
      <c r="W25" s="34"/>
    </row>
    <row r="26" spans="1:23" s="3" customFormat="1" ht="191.5" customHeight="1" x14ac:dyDescent="0.35">
      <c r="A26" s="281">
        <v>21</v>
      </c>
      <c r="B26" s="282" t="s">
        <v>361</v>
      </c>
      <c r="C26" s="283" t="s">
        <v>46</v>
      </c>
      <c r="D26" s="281" t="s">
        <v>781</v>
      </c>
      <c r="E26" s="288" t="s">
        <v>824</v>
      </c>
      <c r="F26" s="281" t="s">
        <v>70</v>
      </c>
      <c r="G26" s="289"/>
      <c r="H26" s="289" t="s">
        <v>71</v>
      </c>
      <c r="I26" s="290">
        <v>6500</v>
      </c>
      <c r="J26" s="290">
        <v>3999</v>
      </c>
      <c r="K26" s="275" t="s">
        <v>74</v>
      </c>
      <c r="L26" s="120" t="s">
        <v>52</v>
      </c>
      <c r="M26" s="142" t="s">
        <v>281</v>
      </c>
      <c r="N26" s="38" t="s">
        <v>52</v>
      </c>
      <c r="O26" s="545"/>
      <c r="P26" s="545"/>
      <c r="Q26" s="545"/>
      <c r="R26" s="524"/>
      <c r="S26" s="102"/>
      <c r="T26" s="233"/>
      <c r="U26" s="174"/>
      <c r="V26" s="155" t="s">
        <v>314</v>
      </c>
      <c r="W26" s="34"/>
    </row>
    <row r="27" spans="1:23" ht="197.5" customHeight="1" x14ac:dyDescent="0.4">
      <c r="A27" s="281">
        <v>22</v>
      </c>
      <c r="B27" s="282" t="s">
        <v>361</v>
      </c>
      <c r="C27" s="283" t="s">
        <v>46</v>
      </c>
      <c r="D27" s="281" t="s">
        <v>781</v>
      </c>
      <c r="E27" s="291" t="s">
        <v>825</v>
      </c>
      <c r="F27" s="281" t="s">
        <v>70</v>
      </c>
      <c r="G27" s="292"/>
      <c r="H27" s="289" t="s">
        <v>71</v>
      </c>
      <c r="I27" s="293">
        <v>3000</v>
      </c>
      <c r="J27" s="293" t="s">
        <v>52</v>
      </c>
      <c r="K27" s="275" t="s">
        <v>74</v>
      </c>
      <c r="L27" s="120" t="s">
        <v>52</v>
      </c>
      <c r="M27" s="142" t="s">
        <v>664</v>
      </c>
      <c r="N27" s="38" t="s">
        <v>52</v>
      </c>
      <c r="O27" s="545"/>
      <c r="P27" s="545"/>
      <c r="Q27" s="545"/>
      <c r="R27" s="524"/>
      <c r="S27" s="215"/>
      <c r="T27" s="234"/>
      <c r="U27" s="174"/>
      <c r="V27" s="155" t="s">
        <v>314</v>
      </c>
      <c r="W27" s="210"/>
    </row>
    <row r="28" spans="1:23" ht="187" customHeight="1" x14ac:dyDescent="0.35">
      <c r="A28" s="38">
        <v>23</v>
      </c>
      <c r="B28" s="282" t="s">
        <v>361</v>
      </c>
      <c r="C28" s="283" t="s">
        <v>46</v>
      </c>
      <c r="D28" s="281" t="s">
        <v>781</v>
      </c>
      <c r="E28" s="291" t="s">
        <v>826</v>
      </c>
      <c r="F28" s="281" t="s">
        <v>70</v>
      </c>
      <c r="G28" s="294"/>
      <c r="H28" s="289" t="s">
        <v>71</v>
      </c>
      <c r="I28" s="295">
        <v>2000</v>
      </c>
      <c r="J28" s="295">
        <v>999</v>
      </c>
      <c r="K28" s="275" t="s">
        <v>74</v>
      </c>
      <c r="L28" s="275" t="s">
        <v>52</v>
      </c>
      <c r="M28" s="142" t="s">
        <v>281</v>
      </c>
      <c r="N28" s="38" t="s">
        <v>52</v>
      </c>
      <c r="O28" s="546"/>
      <c r="P28" s="546"/>
      <c r="Q28" s="546"/>
      <c r="R28" s="518"/>
      <c r="S28" s="46"/>
      <c r="T28" s="235"/>
      <c r="U28" s="235"/>
      <c r="V28" s="155" t="s">
        <v>314</v>
      </c>
      <c r="W28" s="34"/>
    </row>
    <row r="29" spans="1:23" ht="16" x14ac:dyDescent="0.4">
      <c r="A29" s="8"/>
      <c r="B29" s="227"/>
      <c r="C29" s="144"/>
      <c r="D29" s="190"/>
      <c r="E29" s="103"/>
      <c r="F29" s="215"/>
      <c r="G29" s="33"/>
      <c r="H29" s="46"/>
      <c r="I29" s="216"/>
      <c r="J29" s="212"/>
      <c r="K29" s="80"/>
      <c r="L29" s="46"/>
      <c r="M29" s="206"/>
      <c r="N29" s="222"/>
      <c r="O29" s="75"/>
      <c r="P29" s="75"/>
      <c r="Q29" s="75"/>
      <c r="R29" s="75"/>
      <c r="S29" s="46"/>
      <c r="T29" s="235"/>
      <c r="U29" s="235"/>
      <c r="V29" s="155"/>
      <c r="W29" s="34"/>
    </row>
    <row r="30" spans="1:23" ht="188.5" customHeight="1" x14ac:dyDescent="0.35">
      <c r="A30" s="46"/>
      <c r="B30" s="227"/>
      <c r="C30" s="144"/>
      <c r="D30" s="46"/>
      <c r="E30" s="46"/>
      <c r="F30" s="46"/>
      <c r="G30" s="33"/>
      <c r="H30" s="46"/>
      <c r="I30" s="218"/>
      <c r="J30" s="212"/>
      <c r="K30" s="46"/>
      <c r="L30" s="46"/>
      <c r="M30" s="200"/>
      <c r="N30" s="200"/>
      <c r="O30" s="38"/>
      <c r="P30" s="38"/>
      <c r="Q30" s="38"/>
      <c r="R30" s="38"/>
      <c r="S30" s="46"/>
      <c r="T30" s="235"/>
      <c r="U30" s="235"/>
      <c r="V30" s="155"/>
      <c r="W30" s="34"/>
    </row>
    <row r="31" spans="1:23" ht="16" x14ac:dyDescent="0.35">
      <c r="A31" s="46"/>
      <c r="B31" s="211"/>
      <c r="C31" s="211"/>
      <c r="D31" s="33"/>
      <c r="E31" s="33"/>
      <c r="F31" s="33"/>
      <c r="G31" s="33"/>
      <c r="H31" s="46"/>
      <c r="I31" s="212"/>
      <c r="J31" s="212"/>
      <c r="K31" s="46"/>
      <c r="L31" s="46"/>
      <c r="M31" s="213"/>
      <c r="N31" s="200"/>
      <c r="O31" s="38"/>
      <c r="P31" s="38"/>
      <c r="Q31" s="38"/>
      <c r="R31" s="38"/>
      <c r="S31" s="46"/>
      <c r="T31" s="235"/>
      <c r="U31" s="235"/>
      <c r="V31" s="214"/>
      <c r="W31" s="34"/>
    </row>
    <row r="32" spans="1:23" ht="16" x14ac:dyDescent="0.35">
      <c r="A32" s="46"/>
      <c r="B32" s="211"/>
      <c r="C32" s="211"/>
      <c r="D32" s="33"/>
      <c r="E32" s="33"/>
      <c r="F32" s="33"/>
      <c r="G32" s="33"/>
      <c r="H32" s="46"/>
      <c r="I32" s="212"/>
      <c r="J32" s="212"/>
      <c r="K32" s="46"/>
      <c r="L32" s="46"/>
      <c r="M32" s="213"/>
      <c r="N32" s="200"/>
      <c r="O32" s="38"/>
      <c r="P32" s="38"/>
      <c r="Q32" s="38"/>
      <c r="R32" s="38"/>
      <c r="S32" s="46"/>
      <c r="T32" s="235"/>
      <c r="U32" s="235"/>
      <c r="V32" s="214"/>
      <c r="W32" s="34"/>
    </row>
    <row r="33" spans="1:23" ht="16" x14ac:dyDescent="0.35">
      <c r="A33" s="46"/>
      <c r="B33" s="211"/>
      <c r="C33" s="211"/>
      <c r="D33" s="33"/>
      <c r="E33" s="33"/>
      <c r="F33" s="33"/>
      <c r="G33" s="33"/>
      <c r="H33" s="46"/>
      <c r="I33" s="212"/>
      <c r="J33" s="212"/>
      <c r="K33" s="46"/>
      <c r="L33" s="46"/>
      <c r="M33" s="213"/>
      <c r="N33" s="200"/>
      <c r="O33" s="38"/>
      <c r="P33" s="38"/>
      <c r="Q33" s="38"/>
      <c r="R33" s="38"/>
      <c r="S33" s="46"/>
      <c r="T33" s="235"/>
      <c r="U33" s="235"/>
      <c r="V33" s="214"/>
      <c r="W33" s="34"/>
    </row>
    <row r="34" spans="1:23" ht="16" x14ac:dyDescent="0.35">
      <c r="A34" s="46"/>
      <c r="B34" s="211"/>
      <c r="C34" s="211"/>
      <c r="D34" s="33"/>
      <c r="E34" s="33"/>
      <c r="F34" s="33"/>
      <c r="G34" s="33"/>
      <c r="H34" s="46"/>
      <c r="I34" s="212"/>
      <c r="J34" s="212"/>
      <c r="K34" s="46"/>
      <c r="L34" s="46"/>
      <c r="M34" s="213"/>
      <c r="N34" s="200"/>
      <c r="O34" s="38"/>
      <c r="P34" s="38"/>
      <c r="Q34" s="38"/>
      <c r="R34" s="38"/>
      <c r="S34" s="46"/>
      <c r="T34" s="235"/>
      <c r="U34" s="235"/>
      <c r="V34" s="214"/>
      <c r="W34" s="34"/>
    </row>
    <row r="35" spans="1:23" ht="16" x14ac:dyDescent="0.35">
      <c r="A35" s="46"/>
      <c r="B35" s="211"/>
      <c r="C35" s="211"/>
      <c r="D35" s="33"/>
      <c r="E35" s="33"/>
      <c r="F35" s="33"/>
      <c r="G35" s="33"/>
      <c r="H35" s="46"/>
      <c r="I35" s="212"/>
      <c r="J35" s="212"/>
      <c r="K35" s="46"/>
      <c r="L35" s="46"/>
      <c r="M35" s="213"/>
      <c r="N35" s="200"/>
      <c r="O35" s="38"/>
      <c r="P35" s="38"/>
      <c r="Q35" s="38"/>
      <c r="R35" s="38"/>
      <c r="S35" s="46"/>
      <c r="T35" s="235"/>
      <c r="U35" s="235"/>
      <c r="V35" s="214"/>
      <c r="W35" s="34"/>
    </row>
    <row r="36" spans="1:23" ht="16" x14ac:dyDescent="0.35">
      <c r="A36" s="46"/>
      <c r="B36" s="211"/>
      <c r="C36" s="211"/>
      <c r="D36" s="33"/>
      <c r="E36" s="33"/>
      <c r="F36" s="33"/>
      <c r="G36" s="33"/>
      <c r="H36" s="46"/>
      <c r="I36" s="212"/>
      <c r="J36" s="212"/>
      <c r="K36" s="46"/>
      <c r="L36" s="46"/>
      <c r="M36" s="213"/>
      <c r="N36" s="200"/>
      <c r="O36" s="38"/>
      <c r="P36" s="38"/>
      <c r="Q36" s="38"/>
      <c r="R36" s="38"/>
      <c r="S36" s="46"/>
      <c r="T36" s="235"/>
      <c r="U36" s="235"/>
      <c r="V36" s="214"/>
      <c r="W36" s="34"/>
    </row>
    <row r="37" spans="1:23" ht="16" x14ac:dyDescent="0.35">
      <c r="A37" s="46"/>
      <c r="B37" s="211"/>
      <c r="C37" s="211"/>
      <c r="D37" s="33"/>
      <c r="E37" s="33"/>
      <c r="F37" s="33"/>
      <c r="G37" s="33"/>
      <c r="H37" s="46"/>
      <c r="I37" s="212"/>
      <c r="J37" s="212"/>
      <c r="K37" s="46"/>
      <c r="L37" s="46"/>
      <c r="M37" s="213"/>
      <c r="N37" s="200"/>
      <c r="O37" s="38"/>
      <c r="P37" s="38"/>
      <c r="Q37" s="38"/>
      <c r="R37" s="38"/>
      <c r="S37" s="46"/>
      <c r="T37" s="235"/>
      <c r="U37" s="235"/>
      <c r="V37" s="214"/>
      <c r="W37" s="34"/>
    </row>
    <row r="38" spans="1:23" ht="16" x14ac:dyDescent="0.35">
      <c r="A38" s="46"/>
      <c r="B38" s="211"/>
      <c r="C38" s="211"/>
      <c r="D38" s="33"/>
      <c r="E38" s="33"/>
      <c r="F38" s="33"/>
      <c r="G38" s="33"/>
      <c r="H38" s="46"/>
      <c r="I38" s="212"/>
      <c r="J38" s="212"/>
      <c r="K38" s="46"/>
      <c r="L38" s="46"/>
      <c r="M38" s="213"/>
      <c r="N38" s="200"/>
      <c r="O38" s="38"/>
      <c r="P38" s="38"/>
      <c r="Q38" s="38"/>
      <c r="R38" s="38"/>
      <c r="S38" s="46"/>
      <c r="T38" s="235"/>
      <c r="U38" s="235"/>
      <c r="V38" s="214"/>
      <c r="W38" s="34"/>
    </row>
    <row r="39" spans="1:23" ht="16" x14ac:dyDescent="0.35">
      <c r="A39" s="46"/>
      <c r="B39" s="211"/>
      <c r="C39" s="211"/>
      <c r="D39" s="33"/>
      <c r="E39" s="33"/>
      <c r="F39" s="33"/>
      <c r="G39" s="33"/>
      <c r="H39" s="46"/>
      <c r="I39" s="212"/>
      <c r="J39" s="212"/>
      <c r="K39" s="46"/>
      <c r="L39" s="46"/>
      <c r="M39" s="213"/>
      <c r="N39" s="200"/>
      <c r="O39" s="38"/>
      <c r="P39" s="38"/>
      <c r="Q39" s="38"/>
      <c r="R39" s="38"/>
      <c r="S39" s="46"/>
      <c r="T39" s="235"/>
      <c r="U39" s="235"/>
      <c r="V39" s="214"/>
      <c r="W39" s="34"/>
    </row>
    <row r="40" spans="1:23" ht="16" x14ac:dyDescent="0.35">
      <c r="A40" s="46"/>
      <c r="B40" s="211"/>
      <c r="C40" s="211"/>
      <c r="D40" s="33"/>
      <c r="E40" s="33"/>
      <c r="F40" s="33"/>
      <c r="G40" s="33"/>
      <c r="H40" s="46"/>
      <c r="I40" s="212"/>
      <c r="J40" s="212"/>
      <c r="K40" s="46"/>
      <c r="L40" s="46"/>
      <c r="M40" s="213"/>
      <c r="N40" s="200"/>
      <c r="O40" s="38"/>
      <c r="P40" s="38"/>
      <c r="Q40" s="38"/>
      <c r="R40" s="38"/>
      <c r="S40" s="46"/>
      <c r="T40" s="235"/>
      <c r="U40" s="235"/>
      <c r="V40" s="214"/>
      <c r="W40" s="34"/>
    </row>
    <row r="41" spans="1:23" ht="16" x14ac:dyDescent="0.35">
      <c r="A41" s="46"/>
      <c r="B41" s="211"/>
      <c r="C41" s="211"/>
      <c r="D41" s="33"/>
      <c r="E41" s="33"/>
      <c r="F41" s="33"/>
      <c r="G41" s="33"/>
      <c r="H41" s="46"/>
      <c r="I41" s="212"/>
      <c r="J41" s="212"/>
      <c r="K41" s="46"/>
      <c r="L41" s="46"/>
      <c r="M41" s="213"/>
      <c r="N41" s="200"/>
      <c r="O41" s="38"/>
      <c r="P41" s="38"/>
      <c r="Q41" s="38"/>
      <c r="R41" s="38"/>
      <c r="S41" s="46"/>
      <c r="T41" s="235"/>
      <c r="U41" s="235"/>
      <c r="V41" s="214"/>
      <c r="W41" s="34"/>
    </row>
    <row r="42" spans="1:23" ht="16" x14ac:dyDescent="0.35">
      <c r="A42" s="46"/>
      <c r="B42" s="211"/>
      <c r="C42" s="211"/>
      <c r="D42" s="33"/>
      <c r="E42" s="33"/>
      <c r="F42" s="33"/>
      <c r="G42" s="33"/>
      <c r="H42" s="46"/>
      <c r="I42" s="212"/>
      <c r="J42" s="212"/>
      <c r="K42" s="46"/>
      <c r="L42" s="46"/>
      <c r="M42" s="213"/>
      <c r="N42" s="200"/>
      <c r="O42" s="38"/>
      <c r="P42" s="38"/>
      <c r="Q42" s="38"/>
      <c r="R42" s="38"/>
      <c r="S42" s="46"/>
      <c r="T42" s="235"/>
      <c r="U42" s="235"/>
      <c r="V42" s="214"/>
      <c r="W42" s="34"/>
    </row>
    <row r="43" spans="1:23" ht="16" x14ac:dyDescent="0.35">
      <c r="A43" s="46"/>
      <c r="B43" s="211"/>
      <c r="C43" s="211"/>
      <c r="D43" s="33"/>
      <c r="E43" s="33"/>
      <c r="F43" s="33"/>
      <c r="G43" s="33"/>
      <c r="H43" s="46"/>
      <c r="I43" s="212"/>
      <c r="J43" s="212"/>
      <c r="K43" s="46"/>
      <c r="L43" s="46"/>
      <c r="M43" s="213"/>
      <c r="N43" s="200"/>
      <c r="O43" s="38"/>
      <c r="P43" s="38"/>
      <c r="Q43" s="38"/>
      <c r="R43" s="38"/>
      <c r="S43" s="46"/>
      <c r="T43" s="235"/>
      <c r="U43" s="235"/>
      <c r="V43" s="214"/>
      <c r="W43" s="34"/>
    </row>
    <row r="44" spans="1:23" ht="16" x14ac:dyDescent="0.35">
      <c r="A44" s="46"/>
      <c r="B44" s="211"/>
      <c r="C44" s="211"/>
      <c r="D44" s="33"/>
      <c r="E44" s="33"/>
      <c r="F44" s="33"/>
      <c r="G44" s="33"/>
      <c r="H44" s="46"/>
      <c r="I44" s="212"/>
      <c r="J44" s="212"/>
      <c r="K44" s="46"/>
      <c r="L44" s="46"/>
      <c r="M44" s="213"/>
      <c r="N44" s="200"/>
      <c r="O44" s="38"/>
      <c r="P44" s="38"/>
      <c r="Q44" s="38"/>
      <c r="R44" s="38"/>
      <c r="S44" s="46"/>
      <c r="T44" s="235"/>
      <c r="U44" s="235"/>
      <c r="V44" s="214"/>
      <c r="W44" s="34"/>
    </row>
    <row r="45" spans="1:23" ht="16" x14ac:dyDescent="0.35">
      <c r="A45" s="46"/>
      <c r="B45" s="211"/>
      <c r="C45" s="211"/>
      <c r="D45" s="33"/>
      <c r="E45" s="33"/>
      <c r="F45" s="33"/>
      <c r="G45" s="33"/>
      <c r="H45" s="46"/>
      <c r="I45" s="212"/>
      <c r="J45" s="212"/>
      <c r="K45" s="46"/>
      <c r="L45" s="46"/>
      <c r="M45" s="213"/>
      <c r="N45" s="200"/>
      <c r="O45" s="38"/>
      <c r="P45" s="38"/>
      <c r="Q45" s="38"/>
      <c r="R45" s="38"/>
      <c r="S45" s="46"/>
      <c r="T45" s="235"/>
      <c r="U45" s="235"/>
      <c r="V45" s="214"/>
      <c r="W45" s="34"/>
    </row>
    <row r="46" spans="1:23" ht="16" x14ac:dyDescent="0.35">
      <c r="A46" s="46"/>
      <c r="B46" s="211"/>
      <c r="C46" s="211"/>
      <c r="D46" s="33"/>
      <c r="E46" s="33"/>
      <c r="F46" s="33"/>
      <c r="G46" s="33"/>
      <c r="H46" s="46"/>
      <c r="I46" s="212"/>
      <c r="J46" s="212"/>
      <c r="K46" s="46"/>
      <c r="L46" s="46"/>
      <c r="M46" s="213"/>
      <c r="N46" s="200"/>
      <c r="O46" s="38"/>
      <c r="P46" s="38"/>
      <c r="Q46" s="38"/>
      <c r="R46" s="38"/>
      <c r="S46" s="46"/>
      <c r="T46" s="235"/>
      <c r="U46" s="235"/>
      <c r="V46" s="214"/>
      <c r="W46" s="34"/>
    </row>
    <row r="47" spans="1:23" ht="16" x14ac:dyDescent="0.35">
      <c r="A47" s="46"/>
      <c r="B47" s="211"/>
      <c r="C47" s="211"/>
      <c r="D47" s="33"/>
      <c r="E47" s="33"/>
      <c r="F47" s="33"/>
      <c r="G47" s="33"/>
      <c r="H47" s="46"/>
      <c r="I47" s="212"/>
      <c r="J47" s="212"/>
      <c r="K47" s="46"/>
      <c r="L47" s="46"/>
      <c r="M47" s="213"/>
      <c r="N47" s="200"/>
      <c r="O47" s="38"/>
      <c r="P47" s="38"/>
      <c r="Q47" s="38"/>
      <c r="R47" s="38"/>
      <c r="S47" s="46"/>
      <c r="T47" s="235"/>
      <c r="U47" s="235"/>
      <c r="V47" s="214"/>
      <c r="W47" s="34"/>
    </row>
    <row r="48" spans="1:23" ht="16" x14ac:dyDescent="0.35">
      <c r="A48" s="46"/>
      <c r="B48" s="211"/>
      <c r="C48" s="211"/>
      <c r="D48" s="33"/>
      <c r="E48" s="33"/>
      <c r="F48" s="33"/>
      <c r="G48" s="33"/>
      <c r="H48" s="46"/>
      <c r="I48" s="212"/>
      <c r="J48" s="212"/>
      <c r="K48" s="46"/>
      <c r="L48" s="46"/>
      <c r="M48" s="213"/>
      <c r="N48" s="200"/>
      <c r="O48" s="38"/>
      <c r="P48" s="38"/>
      <c r="Q48" s="38"/>
      <c r="R48" s="38"/>
      <c r="S48" s="46"/>
      <c r="T48" s="235"/>
      <c r="U48" s="235"/>
      <c r="V48" s="214"/>
      <c r="W48" s="34"/>
    </row>
    <row r="49" spans="1:23" ht="16" x14ac:dyDescent="0.35">
      <c r="A49" s="46"/>
      <c r="B49" s="211"/>
      <c r="C49" s="211"/>
      <c r="D49" s="33"/>
      <c r="E49" s="33"/>
      <c r="F49" s="33"/>
      <c r="G49" s="33"/>
      <c r="H49" s="46"/>
      <c r="I49" s="212"/>
      <c r="J49" s="212"/>
      <c r="K49" s="46"/>
      <c r="L49" s="46"/>
      <c r="M49" s="213"/>
      <c r="N49" s="200"/>
      <c r="O49" s="38"/>
      <c r="P49" s="38"/>
      <c r="Q49" s="38"/>
      <c r="R49" s="38"/>
      <c r="S49" s="46"/>
      <c r="T49" s="235"/>
      <c r="U49" s="235"/>
      <c r="V49" s="214"/>
      <c r="W49" s="34"/>
    </row>
    <row r="50" spans="1:23" ht="16" x14ac:dyDescent="0.35">
      <c r="A50" s="46"/>
      <c r="B50" s="211"/>
      <c r="C50" s="211"/>
      <c r="D50" s="33"/>
      <c r="E50" s="33"/>
      <c r="F50" s="33"/>
      <c r="G50" s="33"/>
      <c r="H50" s="46"/>
      <c r="I50" s="212"/>
      <c r="J50" s="212"/>
      <c r="K50" s="46"/>
      <c r="L50" s="46"/>
      <c r="M50" s="213"/>
      <c r="N50" s="200"/>
      <c r="O50" s="38"/>
      <c r="P50" s="38"/>
      <c r="Q50" s="38"/>
      <c r="R50" s="38"/>
      <c r="S50" s="46"/>
      <c r="T50" s="235"/>
      <c r="U50" s="235"/>
      <c r="V50" s="214"/>
      <c r="W50" s="34"/>
    </row>
    <row r="51" spans="1:23" ht="16" x14ac:dyDescent="0.35">
      <c r="A51" s="46"/>
      <c r="B51" s="211"/>
      <c r="C51" s="211"/>
      <c r="D51" s="33"/>
      <c r="E51" s="33"/>
      <c r="F51" s="33"/>
      <c r="G51" s="33"/>
      <c r="H51" s="46"/>
      <c r="I51" s="212"/>
      <c r="J51" s="212"/>
      <c r="K51" s="46"/>
      <c r="L51" s="46"/>
      <c r="M51" s="213"/>
      <c r="N51" s="200"/>
      <c r="O51" s="38"/>
      <c r="P51" s="38"/>
      <c r="Q51" s="38"/>
      <c r="R51" s="38"/>
      <c r="S51" s="46"/>
      <c r="T51" s="235"/>
      <c r="U51" s="235"/>
      <c r="V51" s="214"/>
      <c r="W51" s="34"/>
    </row>
    <row r="52" spans="1:23" ht="16" x14ac:dyDescent="0.35">
      <c r="A52" s="46"/>
      <c r="B52" s="211"/>
      <c r="C52" s="211"/>
      <c r="D52" s="33"/>
      <c r="E52" s="33"/>
      <c r="F52" s="33"/>
      <c r="G52" s="33"/>
      <c r="H52" s="46"/>
      <c r="I52" s="212"/>
      <c r="J52" s="212"/>
      <c r="K52" s="46"/>
      <c r="L52" s="46"/>
      <c r="M52" s="213"/>
      <c r="N52" s="200"/>
      <c r="O52" s="38"/>
      <c r="P52" s="38"/>
      <c r="Q52" s="38"/>
      <c r="R52" s="38"/>
      <c r="S52" s="46"/>
      <c r="T52" s="235"/>
      <c r="U52" s="235"/>
      <c r="V52" s="214"/>
      <c r="W52" s="34"/>
    </row>
    <row r="53" spans="1:23" ht="16" x14ac:dyDescent="0.35">
      <c r="A53" s="46"/>
      <c r="B53" s="211"/>
      <c r="C53" s="211"/>
      <c r="D53" s="33"/>
      <c r="E53" s="33"/>
      <c r="F53" s="33"/>
      <c r="G53" s="33"/>
      <c r="H53" s="46"/>
      <c r="I53" s="212"/>
      <c r="J53" s="212"/>
      <c r="K53" s="46"/>
      <c r="L53" s="46"/>
      <c r="M53" s="213"/>
      <c r="N53" s="200"/>
      <c r="O53" s="38"/>
      <c r="P53" s="38"/>
      <c r="Q53" s="38"/>
      <c r="R53" s="38"/>
      <c r="S53" s="46"/>
      <c r="T53" s="235"/>
      <c r="U53" s="235"/>
      <c r="V53" s="214"/>
      <c r="W53" s="34"/>
    </row>
    <row r="54" spans="1:23" ht="16" x14ac:dyDescent="0.35">
      <c r="A54" s="46"/>
      <c r="B54" s="211"/>
      <c r="C54" s="211"/>
      <c r="D54" s="33"/>
      <c r="E54" s="33"/>
      <c r="F54" s="33"/>
      <c r="G54" s="33"/>
      <c r="H54" s="46"/>
      <c r="I54" s="212"/>
      <c r="J54" s="212"/>
      <c r="K54" s="46"/>
      <c r="L54" s="46"/>
      <c r="M54" s="213"/>
      <c r="N54" s="200"/>
      <c r="O54" s="38"/>
      <c r="P54" s="38"/>
      <c r="Q54" s="38"/>
      <c r="R54" s="38"/>
      <c r="S54" s="46"/>
      <c r="T54" s="235"/>
      <c r="U54" s="235"/>
      <c r="V54" s="214"/>
      <c r="W54" s="34"/>
    </row>
    <row r="55" spans="1:23" ht="16" x14ac:dyDescent="0.35">
      <c r="A55" s="46"/>
      <c r="B55" s="211"/>
      <c r="C55" s="211"/>
      <c r="D55" s="33"/>
      <c r="E55" s="33"/>
      <c r="F55" s="33"/>
      <c r="G55" s="33"/>
      <c r="H55" s="46"/>
      <c r="I55" s="212"/>
      <c r="J55" s="212"/>
      <c r="K55" s="46"/>
      <c r="L55" s="46"/>
      <c r="M55" s="213"/>
      <c r="N55" s="200"/>
      <c r="O55" s="38"/>
      <c r="P55" s="38"/>
      <c r="Q55" s="38"/>
      <c r="R55" s="38"/>
      <c r="S55" s="46"/>
      <c r="T55" s="235"/>
      <c r="U55" s="235"/>
      <c r="V55" s="214"/>
      <c r="W55" s="34"/>
    </row>
    <row r="56" spans="1:23" ht="16" x14ac:dyDescent="0.35">
      <c r="A56" s="46"/>
      <c r="B56" s="211"/>
      <c r="C56" s="211"/>
      <c r="D56" s="33"/>
      <c r="E56" s="33"/>
      <c r="F56" s="33"/>
      <c r="G56" s="33"/>
      <c r="H56" s="46"/>
      <c r="I56" s="212"/>
      <c r="J56" s="212"/>
      <c r="K56" s="46"/>
      <c r="L56" s="46"/>
      <c r="M56" s="213"/>
      <c r="N56" s="200"/>
      <c r="O56" s="38"/>
      <c r="P56" s="38"/>
      <c r="Q56" s="38"/>
      <c r="R56" s="38"/>
      <c r="S56" s="46"/>
      <c r="T56" s="235"/>
      <c r="U56" s="235"/>
      <c r="V56" s="214"/>
      <c r="W56" s="34"/>
    </row>
    <row r="57" spans="1:23" ht="16" x14ac:dyDescent="0.35">
      <c r="A57" s="46"/>
      <c r="B57" s="211"/>
      <c r="C57" s="211"/>
      <c r="D57" s="33"/>
      <c r="E57" s="33"/>
      <c r="F57" s="33"/>
      <c r="G57" s="33"/>
      <c r="H57" s="46"/>
      <c r="I57" s="212"/>
      <c r="J57" s="212"/>
      <c r="K57" s="46"/>
      <c r="L57" s="46"/>
      <c r="M57" s="213"/>
      <c r="N57" s="200"/>
      <c r="O57" s="38"/>
      <c r="P57" s="38"/>
      <c r="Q57" s="38"/>
      <c r="R57" s="38"/>
      <c r="S57" s="46"/>
      <c r="T57" s="235"/>
      <c r="U57" s="235"/>
      <c r="V57" s="214"/>
      <c r="W57" s="34"/>
    </row>
    <row r="58" spans="1:23" ht="16" x14ac:dyDescent="0.35">
      <c r="A58" s="46"/>
      <c r="B58" s="211"/>
      <c r="C58" s="211"/>
      <c r="D58" s="33"/>
      <c r="E58" s="33"/>
      <c r="F58" s="33"/>
      <c r="G58" s="33"/>
      <c r="H58" s="46"/>
      <c r="I58" s="212"/>
      <c r="J58" s="212"/>
      <c r="K58" s="46"/>
      <c r="L58" s="46"/>
      <c r="M58" s="213"/>
      <c r="N58" s="200"/>
      <c r="O58" s="38"/>
      <c r="P58" s="38"/>
      <c r="Q58" s="38"/>
      <c r="R58" s="38"/>
      <c r="S58" s="46"/>
      <c r="T58" s="235"/>
      <c r="U58" s="235"/>
      <c r="V58" s="214"/>
      <c r="W58" s="34"/>
    </row>
    <row r="59" spans="1:23" ht="16" x14ac:dyDescent="0.35">
      <c r="A59" s="46"/>
      <c r="B59" s="211"/>
      <c r="C59" s="211"/>
      <c r="D59" s="33"/>
      <c r="E59" s="33"/>
      <c r="F59" s="33"/>
      <c r="G59" s="33"/>
      <c r="H59" s="46"/>
      <c r="I59" s="212"/>
      <c r="J59" s="212"/>
      <c r="K59" s="46"/>
      <c r="L59" s="46"/>
      <c r="M59" s="213"/>
      <c r="N59" s="200"/>
      <c r="O59" s="38"/>
      <c r="P59" s="38"/>
      <c r="Q59" s="38"/>
      <c r="R59" s="38"/>
      <c r="S59" s="46"/>
      <c r="T59" s="235"/>
      <c r="U59" s="235"/>
      <c r="V59" s="214"/>
      <c r="W59" s="34"/>
    </row>
    <row r="60" spans="1:23" ht="16" x14ac:dyDescent="0.35">
      <c r="A60" s="46"/>
      <c r="B60" s="211"/>
      <c r="C60" s="211"/>
      <c r="D60" s="33"/>
      <c r="E60" s="33"/>
      <c r="F60" s="33"/>
      <c r="G60" s="33"/>
      <c r="H60" s="46"/>
      <c r="I60" s="212"/>
      <c r="J60" s="212"/>
      <c r="K60" s="46"/>
      <c r="L60" s="46"/>
      <c r="M60" s="213"/>
      <c r="N60" s="200"/>
      <c r="O60" s="38"/>
      <c r="P60" s="38"/>
      <c r="Q60" s="38"/>
      <c r="R60" s="38"/>
      <c r="S60" s="46"/>
      <c r="T60" s="235"/>
      <c r="U60" s="235"/>
      <c r="V60" s="214"/>
      <c r="W60" s="34"/>
    </row>
    <row r="61" spans="1:23" ht="16" x14ac:dyDescent="0.35">
      <c r="A61" s="46"/>
      <c r="B61" s="211"/>
      <c r="C61" s="211"/>
      <c r="D61" s="33"/>
      <c r="E61" s="33"/>
      <c r="F61" s="33"/>
      <c r="G61" s="33"/>
      <c r="H61" s="46"/>
      <c r="I61" s="212"/>
      <c r="J61" s="212"/>
      <c r="K61" s="46"/>
      <c r="L61" s="46"/>
      <c r="M61" s="213"/>
      <c r="N61" s="200"/>
      <c r="O61" s="38"/>
      <c r="P61" s="38"/>
      <c r="Q61" s="38"/>
      <c r="R61" s="38"/>
      <c r="S61" s="46"/>
      <c r="T61" s="235"/>
      <c r="U61" s="235"/>
      <c r="V61" s="214"/>
      <c r="W61" s="34"/>
    </row>
    <row r="62" spans="1:23" ht="16" x14ac:dyDescent="0.35">
      <c r="A62" s="46"/>
      <c r="B62" s="211"/>
      <c r="C62" s="211"/>
      <c r="D62" s="33"/>
      <c r="E62" s="33"/>
      <c r="F62" s="33"/>
      <c r="G62" s="33"/>
      <c r="H62" s="46"/>
      <c r="I62" s="212"/>
      <c r="J62" s="212"/>
      <c r="K62" s="46"/>
      <c r="L62" s="46"/>
      <c r="M62" s="213"/>
      <c r="N62" s="200"/>
      <c r="O62" s="38"/>
      <c r="P62" s="38"/>
      <c r="Q62" s="38"/>
      <c r="R62" s="38"/>
      <c r="S62" s="46"/>
      <c r="T62" s="235"/>
      <c r="U62" s="235"/>
      <c r="V62" s="214"/>
      <c r="W62" s="34"/>
    </row>
    <row r="63" spans="1:23" ht="16" x14ac:dyDescent="0.35">
      <c r="A63" s="46"/>
      <c r="B63" s="211"/>
      <c r="C63" s="211"/>
      <c r="D63" s="33"/>
      <c r="E63" s="33"/>
      <c r="F63" s="33"/>
      <c r="G63" s="33"/>
      <c r="H63" s="46"/>
      <c r="I63" s="212"/>
      <c r="J63" s="212"/>
      <c r="K63" s="46"/>
      <c r="L63" s="46"/>
      <c r="M63" s="213"/>
      <c r="N63" s="200"/>
      <c r="O63" s="38"/>
      <c r="P63" s="38"/>
      <c r="Q63" s="38"/>
      <c r="R63" s="38"/>
      <c r="S63" s="46"/>
      <c r="T63" s="235"/>
      <c r="U63" s="235"/>
      <c r="V63" s="214"/>
      <c r="W63" s="34"/>
    </row>
    <row r="64" spans="1:23" ht="16" x14ac:dyDescent="0.35">
      <c r="A64" s="46"/>
      <c r="B64" s="211"/>
      <c r="C64" s="211"/>
      <c r="D64" s="33"/>
      <c r="E64" s="33"/>
      <c r="F64" s="33"/>
      <c r="G64" s="33"/>
      <c r="H64" s="46"/>
      <c r="I64" s="212"/>
      <c r="J64" s="212"/>
      <c r="K64" s="46"/>
      <c r="L64" s="46"/>
      <c r="M64" s="213"/>
      <c r="N64" s="200"/>
      <c r="O64" s="38"/>
      <c r="P64" s="38"/>
      <c r="Q64" s="38"/>
      <c r="R64" s="38"/>
      <c r="S64" s="46"/>
      <c r="T64" s="235"/>
      <c r="U64" s="235"/>
      <c r="V64" s="214"/>
      <c r="W64" s="34"/>
    </row>
    <row r="65" spans="1:23" ht="16" x14ac:dyDescent="0.35">
      <c r="A65" s="46"/>
      <c r="B65" s="211"/>
      <c r="C65" s="211"/>
      <c r="D65" s="33"/>
      <c r="E65" s="33"/>
      <c r="F65" s="33"/>
      <c r="G65" s="33"/>
      <c r="H65" s="46"/>
      <c r="I65" s="212"/>
      <c r="J65" s="212"/>
      <c r="K65" s="46"/>
      <c r="L65" s="46"/>
      <c r="M65" s="213"/>
      <c r="N65" s="200"/>
      <c r="O65" s="38"/>
      <c r="P65" s="38"/>
      <c r="Q65" s="38"/>
      <c r="R65" s="38"/>
      <c r="S65" s="46"/>
      <c r="T65" s="235"/>
      <c r="U65" s="235"/>
      <c r="V65" s="214"/>
      <c r="W65" s="34"/>
    </row>
    <row r="66" spans="1:23" ht="16" x14ac:dyDescent="0.35">
      <c r="A66" s="46"/>
      <c r="B66" s="211"/>
      <c r="C66" s="211"/>
      <c r="D66" s="33"/>
      <c r="E66" s="33"/>
      <c r="F66" s="33"/>
      <c r="G66" s="33"/>
      <c r="H66" s="46"/>
      <c r="I66" s="212"/>
      <c r="J66" s="212"/>
      <c r="K66" s="46"/>
      <c r="L66" s="46"/>
      <c r="M66" s="213"/>
      <c r="N66" s="200"/>
      <c r="O66" s="38"/>
      <c r="P66" s="38"/>
      <c r="Q66" s="38"/>
      <c r="R66" s="38"/>
      <c r="S66" s="46"/>
      <c r="T66" s="235"/>
      <c r="U66" s="235"/>
      <c r="V66" s="214"/>
      <c r="W66" s="34"/>
    </row>
    <row r="67" spans="1:23" ht="16" x14ac:dyDescent="0.35">
      <c r="A67" s="46"/>
      <c r="B67" s="211"/>
      <c r="C67" s="211"/>
      <c r="D67" s="33"/>
      <c r="E67" s="33"/>
      <c r="F67" s="33"/>
      <c r="G67" s="33"/>
      <c r="H67" s="46"/>
      <c r="I67" s="212"/>
      <c r="J67" s="212"/>
      <c r="K67" s="46"/>
      <c r="L67" s="46"/>
      <c r="M67" s="213"/>
      <c r="N67" s="200"/>
      <c r="O67" s="38"/>
      <c r="P67" s="38"/>
      <c r="Q67" s="38"/>
      <c r="R67" s="38"/>
      <c r="S67" s="46"/>
      <c r="T67" s="235"/>
      <c r="U67" s="235"/>
      <c r="V67" s="214"/>
      <c r="W67" s="34"/>
    </row>
    <row r="68" spans="1:23" ht="16" x14ac:dyDescent="0.35">
      <c r="A68" s="46"/>
      <c r="B68" s="211"/>
      <c r="C68" s="211"/>
      <c r="D68" s="33"/>
      <c r="E68" s="33"/>
      <c r="F68" s="33"/>
      <c r="G68" s="33"/>
      <c r="H68" s="46"/>
      <c r="I68" s="212"/>
      <c r="J68" s="212"/>
      <c r="K68" s="46"/>
      <c r="L68" s="46"/>
      <c r="M68" s="213"/>
      <c r="N68" s="200"/>
      <c r="O68" s="38"/>
      <c r="P68" s="38"/>
      <c r="Q68" s="38"/>
      <c r="R68" s="38"/>
      <c r="S68" s="46"/>
      <c r="T68" s="235"/>
      <c r="U68" s="235"/>
      <c r="V68" s="214"/>
      <c r="W68" s="34"/>
    </row>
    <row r="69" spans="1:23" ht="16" x14ac:dyDescent="0.35">
      <c r="A69" s="46"/>
      <c r="B69" s="211"/>
      <c r="C69" s="211"/>
      <c r="D69" s="33"/>
      <c r="E69" s="33"/>
      <c r="F69" s="33"/>
      <c r="G69" s="33"/>
      <c r="H69" s="46"/>
      <c r="I69" s="212"/>
      <c r="J69" s="212"/>
      <c r="K69" s="46"/>
      <c r="L69" s="46"/>
      <c r="M69" s="213"/>
      <c r="N69" s="200"/>
      <c r="O69" s="38"/>
      <c r="P69" s="38"/>
      <c r="Q69" s="38"/>
      <c r="R69" s="38"/>
      <c r="S69" s="46"/>
      <c r="T69" s="235"/>
      <c r="U69" s="235"/>
      <c r="V69" s="214"/>
      <c r="W69" s="34"/>
    </row>
    <row r="70" spans="1:23" ht="16" x14ac:dyDescent="0.35">
      <c r="A70" s="46"/>
      <c r="B70" s="211"/>
      <c r="C70" s="211"/>
      <c r="D70" s="33"/>
      <c r="E70" s="33"/>
      <c r="F70" s="33"/>
      <c r="G70" s="33"/>
      <c r="H70" s="46"/>
      <c r="I70" s="212"/>
      <c r="J70" s="212"/>
      <c r="K70" s="46"/>
      <c r="L70" s="46"/>
      <c r="M70" s="213"/>
      <c r="N70" s="200"/>
      <c r="O70" s="38"/>
      <c r="P70" s="38"/>
      <c r="Q70" s="38"/>
      <c r="R70" s="38"/>
      <c r="S70" s="46"/>
      <c r="T70" s="235"/>
      <c r="U70" s="235"/>
      <c r="V70" s="214"/>
      <c r="W70" s="34"/>
    </row>
    <row r="71" spans="1:23" ht="16" x14ac:dyDescent="0.35">
      <c r="A71" s="46"/>
      <c r="B71" s="211"/>
      <c r="C71" s="211"/>
      <c r="D71" s="33"/>
      <c r="E71" s="33"/>
      <c r="F71" s="33"/>
      <c r="G71" s="33"/>
      <c r="H71" s="46"/>
      <c r="I71" s="212"/>
      <c r="J71" s="212"/>
      <c r="K71" s="46"/>
      <c r="L71" s="46"/>
      <c r="M71" s="213"/>
      <c r="N71" s="200"/>
      <c r="O71" s="38"/>
      <c r="P71" s="38"/>
      <c r="Q71" s="38"/>
      <c r="R71" s="38"/>
      <c r="S71" s="46"/>
      <c r="T71" s="235"/>
      <c r="U71" s="235"/>
      <c r="V71" s="214"/>
      <c r="W71" s="34"/>
    </row>
    <row r="72" spans="1:23" ht="16" x14ac:dyDescent="0.35">
      <c r="A72" s="46"/>
      <c r="B72" s="211"/>
      <c r="C72" s="211"/>
      <c r="D72" s="33"/>
      <c r="E72" s="33"/>
      <c r="F72" s="33"/>
      <c r="G72" s="33"/>
      <c r="H72" s="46"/>
      <c r="I72" s="212"/>
      <c r="J72" s="212"/>
      <c r="K72" s="46"/>
      <c r="L72" s="46"/>
      <c r="M72" s="213"/>
      <c r="N72" s="200"/>
      <c r="O72" s="38"/>
      <c r="P72" s="38"/>
      <c r="Q72" s="38"/>
      <c r="R72" s="38"/>
      <c r="S72" s="46"/>
      <c r="T72" s="235"/>
      <c r="U72" s="235"/>
      <c r="V72" s="214"/>
      <c r="W72" s="34"/>
    </row>
    <row r="73" spans="1:23" ht="16" x14ac:dyDescent="0.35">
      <c r="A73" s="46"/>
      <c r="B73" s="211"/>
      <c r="C73" s="211"/>
      <c r="D73" s="33"/>
      <c r="E73" s="33"/>
      <c r="F73" s="33"/>
      <c r="G73" s="33"/>
      <c r="H73" s="46"/>
      <c r="I73" s="212"/>
      <c r="J73" s="212"/>
      <c r="K73" s="46"/>
      <c r="L73" s="46"/>
      <c r="M73" s="213"/>
      <c r="N73" s="200"/>
      <c r="O73" s="38"/>
      <c r="P73" s="38"/>
      <c r="Q73" s="38"/>
      <c r="R73" s="38"/>
      <c r="S73" s="46"/>
      <c r="T73" s="235"/>
      <c r="U73" s="235"/>
      <c r="V73" s="214"/>
      <c r="W73" s="34"/>
    </row>
    <row r="74" spans="1:23" ht="16" x14ac:dyDescent="0.35">
      <c r="A74" s="46"/>
      <c r="B74" s="211"/>
      <c r="C74" s="211"/>
      <c r="D74" s="33"/>
      <c r="E74" s="33"/>
      <c r="F74" s="33"/>
      <c r="G74" s="33"/>
      <c r="H74" s="46"/>
      <c r="I74" s="212"/>
      <c r="J74" s="212"/>
      <c r="K74" s="46"/>
      <c r="L74" s="46"/>
      <c r="M74" s="213"/>
      <c r="N74" s="200"/>
      <c r="O74" s="38"/>
      <c r="P74" s="38"/>
      <c r="Q74" s="38"/>
      <c r="R74" s="38"/>
      <c r="S74" s="46"/>
      <c r="T74" s="235"/>
      <c r="U74" s="235"/>
      <c r="V74" s="214"/>
      <c r="W74" s="34"/>
    </row>
    <row r="75" spans="1:23" ht="16" x14ac:dyDescent="0.35">
      <c r="A75" s="46"/>
      <c r="B75" s="211"/>
      <c r="C75" s="211"/>
      <c r="D75" s="33"/>
      <c r="E75" s="33"/>
      <c r="F75" s="33"/>
      <c r="G75" s="33"/>
      <c r="H75" s="46"/>
      <c r="I75" s="212"/>
      <c r="J75" s="212"/>
      <c r="K75" s="46"/>
      <c r="L75" s="46"/>
      <c r="M75" s="213"/>
      <c r="N75" s="200"/>
      <c r="O75" s="38"/>
      <c r="P75" s="38"/>
      <c r="Q75" s="38"/>
      <c r="R75" s="38"/>
      <c r="S75" s="46"/>
      <c r="T75" s="235"/>
      <c r="U75" s="235"/>
      <c r="V75" s="214"/>
      <c r="W75" s="34"/>
    </row>
    <row r="76" spans="1:23" x14ac:dyDescent="0.35">
      <c r="A76" s="46"/>
      <c r="B76" s="211"/>
      <c r="C76" s="211"/>
      <c r="D76" s="33"/>
      <c r="E76" s="33"/>
      <c r="F76" s="33"/>
      <c r="G76" s="33"/>
      <c r="H76" s="46"/>
      <c r="I76" s="212"/>
      <c r="J76" s="212"/>
      <c r="K76" s="46"/>
      <c r="L76" s="46"/>
      <c r="M76" s="213"/>
      <c r="N76" s="200"/>
      <c r="O76" s="46"/>
      <c r="P76" s="46"/>
      <c r="Q76" s="46"/>
      <c r="R76" s="46"/>
      <c r="S76" s="46"/>
      <c r="T76" s="235"/>
      <c r="U76" s="235"/>
      <c r="V76" s="214"/>
      <c r="W76" s="34"/>
    </row>
    <row r="77" spans="1:23" x14ac:dyDescent="0.35">
      <c r="A77" s="46"/>
      <c r="B77" s="211"/>
      <c r="C77" s="211"/>
      <c r="D77" s="33"/>
      <c r="E77" s="33"/>
      <c r="F77" s="33"/>
      <c r="G77" s="33"/>
      <c r="H77" s="46"/>
      <c r="I77" s="212"/>
      <c r="J77" s="212"/>
      <c r="K77" s="46"/>
      <c r="L77" s="46"/>
      <c r="M77" s="213"/>
      <c r="N77" s="200"/>
      <c r="O77" s="46"/>
      <c r="P77" s="46"/>
      <c r="Q77" s="46"/>
      <c r="R77" s="46"/>
      <c r="S77" s="46"/>
      <c r="T77" s="235"/>
      <c r="U77" s="235"/>
      <c r="V77" s="214"/>
      <c r="W77" s="34"/>
    </row>
    <row r="78" spans="1:23" x14ac:dyDescent="0.35">
      <c r="A78" s="46"/>
      <c r="B78" s="211"/>
      <c r="C78" s="211"/>
      <c r="D78" s="33"/>
      <c r="E78" s="33"/>
      <c r="F78" s="33"/>
      <c r="G78" s="33"/>
      <c r="H78" s="46"/>
      <c r="I78" s="212"/>
      <c r="J78" s="212"/>
      <c r="K78" s="46"/>
      <c r="L78" s="46"/>
      <c r="M78" s="213"/>
      <c r="N78" s="200"/>
      <c r="O78" s="46"/>
      <c r="P78" s="46"/>
      <c r="Q78" s="46"/>
      <c r="R78" s="46"/>
      <c r="S78" s="46"/>
      <c r="T78" s="235"/>
      <c r="U78" s="235"/>
      <c r="V78" s="214"/>
      <c r="W78" s="34"/>
    </row>
    <row r="79" spans="1:23" x14ac:dyDescent="0.35">
      <c r="A79" s="46"/>
      <c r="B79" s="211"/>
      <c r="C79" s="211"/>
      <c r="D79" s="33"/>
      <c r="E79" s="33"/>
      <c r="F79" s="33"/>
      <c r="G79" s="33"/>
      <c r="H79" s="46"/>
      <c r="I79" s="212"/>
      <c r="J79" s="212"/>
      <c r="K79" s="46"/>
      <c r="L79" s="46"/>
      <c r="M79" s="213"/>
      <c r="N79" s="200"/>
      <c r="O79" s="46"/>
      <c r="P79" s="46"/>
      <c r="Q79" s="46"/>
      <c r="R79" s="46"/>
      <c r="S79" s="46"/>
      <c r="T79" s="235"/>
      <c r="U79" s="235"/>
      <c r="V79" s="214"/>
      <c r="W79" s="34"/>
    </row>
    <row r="80" spans="1:23" x14ac:dyDescent="0.35">
      <c r="A80" s="46"/>
      <c r="B80" s="211"/>
      <c r="C80" s="211"/>
      <c r="D80" s="33"/>
      <c r="E80" s="33"/>
      <c r="F80" s="33"/>
      <c r="G80" s="33"/>
      <c r="H80" s="46"/>
      <c r="I80" s="212"/>
      <c r="J80" s="212"/>
      <c r="K80" s="46"/>
      <c r="L80" s="46"/>
      <c r="M80" s="213"/>
      <c r="N80" s="200"/>
      <c r="O80" s="46"/>
      <c r="P80" s="46"/>
      <c r="Q80" s="46"/>
      <c r="R80" s="46"/>
      <c r="S80" s="46"/>
      <c r="T80" s="235"/>
      <c r="U80" s="235"/>
      <c r="V80" s="214"/>
      <c r="W80" s="34"/>
    </row>
    <row r="81" spans="1:23" x14ac:dyDescent="0.35">
      <c r="A81" s="46"/>
      <c r="B81" s="211"/>
      <c r="C81" s="211"/>
      <c r="D81" s="33"/>
      <c r="E81" s="33"/>
      <c r="F81" s="33"/>
      <c r="G81" s="33"/>
      <c r="H81" s="46"/>
      <c r="I81" s="212"/>
      <c r="J81" s="212"/>
      <c r="K81" s="46"/>
      <c r="L81" s="46"/>
      <c r="M81" s="213"/>
      <c r="N81" s="200"/>
      <c r="O81" s="46"/>
      <c r="P81" s="46"/>
      <c r="Q81" s="46"/>
      <c r="R81" s="46"/>
      <c r="S81" s="46"/>
      <c r="T81" s="235"/>
      <c r="U81" s="235"/>
      <c r="V81" s="214"/>
      <c r="W81" s="34"/>
    </row>
    <row r="82" spans="1:23" x14ac:dyDescent="0.35">
      <c r="A82" s="46"/>
      <c r="B82" s="211"/>
      <c r="C82" s="211"/>
      <c r="D82" s="33"/>
      <c r="E82" s="33"/>
      <c r="F82" s="33"/>
      <c r="G82" s="33"/>
      <c r="H82" s="46"/>
      <c r="I82" s="212"/>
      <c r="J82" s="212"/>
      <c r="K82" s="46"/>
      <c r="L82" s="46"/>
      <c r="M82" s="213"/>
      <c r="N82" s="200"/>
      <c r="O82" s="46"/>
      <c r="P82" s="46"/>
      <c r="Q82" s="46"/>
      <c r="R82" s="46"/>
      <c r="S82" s="46"/>
      <c r="T82" s="235"/>
      <c r="U82" s="235"/>
      <c r="V82" s="214"/>
      <c r="W82" s="34"/>
    </row>
    <row r="83" spans="1:23" x14ac:dyDescent="0.35">
      <c r="A83" s="46"/>
      <c r="B83" s="211"/>
      <c r="C83" s="211"/>
      <c r="D83" s="33"/>
      <c r="E83" s="33"/>
      <c r="F83" s="33"/>
      <c r="G83" s="33"/>
      <c r="H83" s="46"/>
      <c r="I83" s="212"/>
      <c r="J83" s="212"/>
      <c r="K83" s="46"/>
      <c r="L83" s="46"/>
      <c r="M83" s="213"/>
      <c r="N83" s="200"/>
      <c r="O83" s="46"/>
      <c r="P83" s="46"/>
      <c r="Q83" s="46"/>
      <c r="R83" s="46"/>
      <c r="S83" s="46"/>
      <c r="T83" s="235"/>
      <c r="U83" s="235"/>
      <c r="V83" s="214"/>
      <c r="W83" s="34"/>
    </row>
    <row r="84" spans="1:23" x14ac:dyDescent="0.35">
      <c r="A84" s="46"/>
      <c r="B84" s="211"/>
      <c r="C84" s="211"/>
      <c r="D84" s="33"/>
      <c r="E84" s="33"/>
      <c r="F84" s="33"/>
      <c r="G84" s="33"/>
      <c r="H84" s="46"/>
      <c r="I84" s="212"/>
      <c r="J84" s="212"/>
      <c r="K84" s="46"/>
      <c r="L84" s="46"/>
      <c r="M84" s="213"/>
      <c r="N84" s="200"/>
      <c r="O84" s="46"/>
      <c r="P84" s="46"/>
      <c r="Q84" s="46"/>
      <c r="R84" s="46"/>
      <c r="S84" s="46"/>
      <c r="T84" s="235"/>
      <c r="U84" s="235"/>
      <c r="V84" s="214"/>
      <c r="W84" s="34"/>
    </row>
    <row r="85" spans="1:23" x14ac:dyDescent="0.35">
      <c r="A85" s="46"/>
      <c r="B85" s="211"/>
      <c r="C85" s="211"/>
      <c r="D85" s="33"/>
      <c r="E85" s="33"/>
      <c r="F85" s="33"/>
      <c r="G85" s="33"/>
      <c r="H85" s="46"/>
      <c r="I85" s="212"/>
      <c r="J85" s="212"/>
      <c r="K85" s="46"/>
      <c r="L85" s="46"/>
      <c r="M85" s="213"/>
      <c r="N85" s="200"/>
      <c r="O85" s="46"/>
      <c r="P85" s="46"/>
      <c r="Q85" s="46"/>
      <c r="R85" s="46"/>
      <c r="S85" s="46"/>
      <c r="T85" s="235"/>
      <c r="U85" s="235"/>
      <c r="V85" s="214"/>
      <c r="W85" s="34"/>
    </row>
    <row r="86" spans="1:23" x14ac:dyDescent="0.35">
      <c r="A86" s="46"/>
      <c r="B86" s="211"/>
      <c r="C86" s="211"/>
      <c r="D86" s="33"/>
      <c r="E86" s="33"/>
      <c r="F86" s="33"/>
      <c r="G86" s="33"/>
      <c r="H86" s="46"/>
      <c r="I86" s="212"/>
      <c r="J86" s="212"/>
      <c r="K86" s="46"/>
      <c r="L86" s="46"/>
      <c r="M86" s="213"/>
      <c r="N86" s="200"/>
      <c r="O86" s="46"/>
      <c r="P86" s="46"/>
      <c r="Q86" s="46"/>
      <c r="R86" s="46"/>
      <c r="S86" s="46"/>
      <c r="T86" s="235"/>
      <c r="U86" s="235"/>
      <c r="V86" s="214"/>
      <c r="W86" s="34"/>
    </row>
    <row r="87" spans="1:23" x14ac:dyDescent="0.35">
      <c r="A87" s="46"/>
      <c r="B87" s="211"/>
      <c r="C87" s="211"/>
      <c r="D87" s="33"/>
      <c r="E87" s="33"/>
      <c r="F87" s="33"/>
      <c r="G87" s="33"/>
      <c r="H87" s="46"/>
      <c r="I87" s="212"/>
      <c r="J87" s="212"/>
      <c r="K87" s="46"/>
      <c r="L87" s="46"/>
      <c r="M87" s="213"/>
      <c r="N87" s="200"/>
      <c r="O87" s="46"/>
      <c r="P87" s="46"/>
      <c r="Q87" s="46"/>
      <c r="R87" s="46"/>
      <c r="S87" s="46"/>
      <c r="T87" s="235"/>
      <c r="U87" s="235"/>
      <c r="V87" s="214"/>
      <c r="W87" s="34"/>
    </row>
    <row r="88" spans="1:23" x14ac:dyDescent="0.35">
      <c r="A88" s="46"/>
      <c r="B88" s="211"/>
      <c r="C88" s="211"/>
      <c r="D88" s="33"/>
      <c r="E88" s="33"/>
      <c r="F88" s="33"/>
      <c r="G88" s="33"/>
      <c r="H88" s="46"/>
      <c r="I88" s="212"/>
      <c r="J88" s="212"/>
      <c r="K88" s="46"/>
      <c r="L88" s="46"/>
      <c r="M88" s="213"/>
      <c r="N88" s="200"/>
      <c r="O88" s="46"/>
      <c r="P88" s="46"/>
      <c r="Q88" s="46"/>
      <c r="R88" s="46"/>
      <c r="S88" s="46"/>
      <c r="T88" s="235"/>
      <c r="U88" s="235"/>
      <c r="V88" s="214"/>
      <c r="W88" s="34"/>
    </row>
    <row r="89" spans="1:23" x14ac:dyDescent="0.35">
      <c r="A89" s="46"/>
      <c r="B89" s="211"/>
      <c r="C89" s="211"/>
      <c r="D89" s="33"/>
      <c r="E89" s="33"/>
      <c r="F89" s="33"/>
      <c r="G89" s="33"/>
      <c r="H89" s="46"/>
      <c r="I89" s="212"/>
      <c r="J89" s="212"/>
      <c r="K89" s="46"/>
      <c r="L89" s="46"/>
      <c r="M89" s="213"/>
      <c r="N89" s="200"/>
      <c r="O89" s="46"/>
      <c r="P89" s="46"/>
      <c r="Q89" s="46"/>
      <c r="R89" s="46"/>
      <c r="S89" s="46"/>
      <c r="T89" s="235"/>
      <c r="U89" s="235"/>
      <c r="V89" s="214"/>
      <c r="W89" s="34"/>
    </row>
    <row r="90" spans="1:23" x14ac:dyDescent="0.35">
      <c r="A90" s="46"/>
      <c r="B90" s="211"/>
      <c r="C90" s="211"/>
      <c r="D90" s="33"/>
      <c r="E90" s="33"/>
      <c r="F90" s="33"/>
      <c r="G90" s="33"/>
      <c r="H90" s="46"/>
      <c r="I90" s="212"/>
      <c r="J90" s="212"/>
      <c r="K90" s="46"/>
      <c r="L90" s="46"/>
      <c r="M90" s="213"/>
      <c r="N90" s="200"/>
      <c r="O90" s="46"/>
      <c r="P90" s="46"/>
      <c r="Q90" s="46"/>
      <c r="R90" s="46"/>
      <c r="S90" s="46"/>
      <c r="T90" s="235"/>
      <c r="U90" s="235"/>
      <c r="V90" s="214"/>
      <c r="W90" s="34"/>
    </row>
    <row r="91" spans="1:23" x14ac:dyDescent="0.35">
      <c r="A91" s="46"/>
      <c r="B91" s="211"/>
      <c r="C91" s="211"/>
      <c r="D91" s="33"/>
      <c r="E91" s="33"/>
      <c r="F91" s="33"/>
      <c r="G91" s="33"/>
      <c r="H91" s="46"/>
      <c r="I91" s="212"/>
      <c r="J91" s="212"/>
      <c r="K91" s="46"/>
      <c r="L91" s="46"/>
      <c r="M91" s="213"/>
      <c r="N91" s="200"/>
      <c r="O91" s="46"/>
      <c r="P91" s="46"/>
      <c r="Q91" s="46"/>
      <c r="R91" s="46"/>
      <c r="S91" s="46"/>
      <c r="T91" s="235"/>
      <c r="U91" s="235"/>
      <c r="V91" s="214"/>
      <c r="W91" s="34"/>
    </row>
    <row r="92" spans="1:23" x14ac:dyDescent="0.35">
      <c r="A92" s="46"/>
      <c r="B92" s="211"/>
      <c r="C92" s="211"/>
      <c r="D92" s="33"/>
      <c r="E92" s="33"/>
      <c r="F92" s="33"/>
      <c r="G92" s="33"/>
      <c r="H92" s="46"/>
      <c r="I92" s="212"/>
      <c r="J92" s="212"/>
      <c r="K92" s="46"/>
      <c r="L92" s="46"/>
      <c r="M92" s="213"/>
      <c r="N92" s="200"/>
      <c r="O92" s="46"/>
      <c r="P92" s="46"/>
      <c r="Q92" s="46"/>
      <c r="R92" s="46"/>
      <c r="S92" s="46"/>
      <c r="T92" s="235"/>
      <c r="U92" s="235"/>
      <c r="V92" s="214"/>
      <c r="W92" s="34"/>
    </row>
    <row r="93" spans="1:23" x14ac:dyDescent="0.35">
      <c r="A93" s="46"/>
      <c r="B93" s="211"/>
      <c r="C93" s="211"/>
      <c r="D93" s="33"/>
      <c r="E93" s="33"/>
      <c r="F93" s="33"/>
      <c r="G93" s="33"/>
      <c r="H93" s="46"/>
      <c r="I93" s="212"/>
      <c r="J93" s="212"/>
      <c r="K93" s="46"/>
      <c r="L93" s="46"/>
      <c r="M93" s="213"/>
      <c r="N93" s="200"/>
      <c r="O93" s="46"/>
      <c r="P93" s="46"/>
      <c r="Q93" s="46"/>
      <c r="R93" s="46"/>
      <c r="S93" s="46"/>
      <c r="T93" s="235"/>
      <c r="U93" s="235"/>
      <c r="V93" s="214"/>
      <c r="W93" s="34"/>
    </row>
    <row r="94" spans="1:23" x14ac:dyDescent="0.35">
      <c r="A94" s="46"/>
      <c r="B94" s="211"/>
      <c r="C94" s="211"/>
      <c r="D94" s="33"/>
      <c r="E94" s="33"/>
      <c r="F94" s="33"/>
      <c r="G94" s="33"/>
      <c r="H94" s="46"/>
      <c r="I94" s="212"/>
      <c r="J94" s="212"/>
      <c r="K94" s="46"/>
      <c r="L94" s="46"/>
      <c r="M94" s="213"/>
      <c r="N94" s="200"/>
      <c r="O94" s="46"/>
      <c r="P94" s="46"/>
      <c r="Q94" s="46"/>
      <c r="R94" s="46"/>
      <c r="S94" s="46"/>
      <c r="T94" s="235"/>
      <c r="U94" s="235"/>
      <c r="V94" s="214"/>
      <c r="W94" s="34"/>
    </row>
    <row r="95" spans="1:23" x14ac:dyDescent="0.35">
      <c r="A95" s="46"/>
      <c r="B95" s="211"/>
      <c r="C95" s="211"/>
      <c r="D95" s="33"/>
      <c r="E95" s="33"/>
      <c r="F95" s="33"/>
      <c r="G95" s="33"/>
      <c r="H95" s="46"/>
      <c r="I95" s="212"/>
      <c r="J95" s="212"/>
      <c r="K95" s="46"/>
      <c r="L95" s="46"/>
      <c r="M95" s="213"/>
      <c r="N95" s="200"/>
      <c r="O95" s="46"/>
      <c r="P95" s="46"/>
      <c r="Q95" s="46"/>
      <c r="R95" s="46"/>
      <c r="S95" s="46"/>
      <c r="T95" s="235"/>
      <c r="U95" s="235"/>
      <c r="V95" s="214"/>
      <c r="W95" s="34"/>
    </row>
    <row r="96" spans="1:23" x14ac:dyDescent="0.35">
      <c r="A96" s="46"/>
      <c r="B96" s="211"/>
      <c r="C96" s="211"/>
      <c r="D96" s="33"/>
      <c r="E96" s="33"/>
      <c r="F96" s="33"/>
      <c r="G96" s="33"/>
      <c r="H96" s="46"/>
      <c r="I96" s="212"/>
      <c r="J96" s="212"/>
      <c r="K96" s="46"/>
      <c r="L96" s="46"/>
      <c r="M96" s="213"/>
      <c r="N96" s="200"/>
      <c r="O96" s="46"/>
      <c r="P96" s="46"/>
      <c r="Q96" s="46"/>
      <c r="R96" s="46"/>
      <c r="S96" s="46"/>
      <c r="T96" s="235"/>
      <c r="U96" s="235"/>
      <c r="V96" s="214"/>
      <c r="W96" s="34"/>
    </row>
    <row r="97" spans="1:23" x14ac:dyDescent="0.35">
      <c r="A97" s="46"/>
      <c r="B97" s="211"/>
      <c r="C97" s="211"/>
      <c r="D97" s="33"/>
      <c r="E97" s="33"/>
      <c r="F97" s="33"/>
      <c r="G97" s="33"/>
      <c r="H97" s="46"/>
      <c r="I97" s="212"/>
      <c r="J97" s="212"/>
      <c r="K97" s="46"/>
      <c r="L97" s="46"/>
      <c r="M97" s="213"/>
      <c r="N97" s="200"/>
      <c r="O97" s="46"/>
      <c r="P97" s="46"/>
      <c r="Q97" s="46"/>
      <c r="R97" s="46"/>
      <c r="S97" s="46"/>
      <c r="T97" s="235"/>
      <c r="U97" s="235"/>
      <c r="V97" s="214"/>
      <c r="W97" s="34"/>
    </row>
    <row r="98" spans="1:23" x14ac:dyDescent="0.35">
      <c r="A98" s="46"/>
      <c r="B98" s="211"/>
      <c r="C98" s="211"/>
      <c r="D98" s="33"/>
      <c r="E98" s="33"/>
      <c r="F98" s="33"/>
      <c r="G98" s="33"/>
      <c r="H98" s="46"/>
      <c r="I98" s="212"/>
      <c r="J98" s="212"/>
      <c r="K98" s="46"/>
      <c r="L98" s="46"/>
      <c r="M98" s="213"/>
      <c r="N98" s="200"/>
      <c r="O98" s="46"/>
      <c r="P98" s="46"/>
      <c r="Q98" s="46"/>
      <c r="R98" s="46"/>
      <c r="S98" s="46"/>
      <c r="T98" s="235"/>
      <c r="U98" s="235"/>
      <c r="V98" s="214"/>
      <c r="W98" s="34"/>
    </row>
    <row r="99" spans="1:23" x14ac:dyDescent="0.35">
      <c r="A99" s="46"/>
      <c r="B99" s="211"/>
      <c r="C99" s="211"/>
      <c r="D99" s="33"/>
      <c r="E99" s="33"/>
      <c r="F99" s="33"/>
      <c r="G99" s="33"/>
      <c r="H99" s="46"/>
      <c r="I99" s="212"/>
      <c r="J99" s="212"/>
      <c r="K99" s="46"/>
      <c r="L99" s="46"/>
      <c r="M99" s="213"/>
      <c r="N99" s="200"/>
      <c r="O99" s="46"/>
      <c r="P99" s="46"/>
      <c r="Q99" s="46"/>
      <c r="R99" s="46"/>
      <c r="S99" s="46"/>
      <c r="T99" s="235"/>
      <c r="U99" s="235"/>
      <c r="V99" s="214"/>
      <c r="W99" s="34"/>
    </row>
    <row r="100" spans="1:23" x14ac:dyDescent="0.35">
      <c r="A100" s="46"/>
      <c r="B100" s="211"/>
      <c r="C100" s="211"/>
      <c r="D100" s="33"/>
      <c r="E100" s="33"/>
      <c r="F100" s="33"/>
      <c r="G100" s="33"/>
      <c r="H100" s="46"/>
      <c r="I100" s="212"/>
      <c r="J100" s="212"/>
      <c r="K100" s="46"/>
      <c r="L100" s="46"/>
      <c r="M100" s="213"/>
      <c r="N100" s="200"/>
      <c r="O100" s="46"/>
      <c r="P100" s="46"/>
      <c r="Q100" s="46"/>
      <c r="R100" s="46"/>
      <c r="S100" s="46"/>
      <c r="T100" s="235"/>
      <c r="U100" s="235"/>
      <c r="V100" s="214"/>
      <c r="W100" s="34"/>
    </row>
    <row r="101" spans="1:23" x14ac:dyDescent="0.35">
      <c r="A101" s="46"/>
      <c r="B101" s="211"/>
      <c r="C101" s="211"/>
      <c r="D101" s="33"/>
      <c r="E101" s="33"/>
      <c r="F101" s="33"/>
      <c r="G101" s="33"/>
      <c r="H101" s="46"/>
      <c r="I101" s="212"/>
      <c r="J101" s="212"/>
      <c r="K101" s="46"/>
      <c r="L101" s="46"/>
      <c r="M101" s="213"/>
      <c r="N101" s="200"/>
      <c r="O101" s="46"/>
      <c r="P101" s="46"/>
      <c r="Q101" s="46"/>
      <c r="R101" s="46"/>
      <c r="S101" s="46"/>
      <c r="T101" s="235"/>
      <c r="U101" s="235"/>
      <c r="V101" s="214"/>
      <c r="W101" s="34"/>
    </row>
    <row r="102" spans="1:23" x14ac:dyDescent="0.35">
      <c r="A102" s="46"/>
      <c r="B102" s="211"/>
      <c r="C102" s="211"/>
      <c r="D102" s="33"/>
      <c r="E102" s="33"/>
      <c r="F102" s="33"/>
      <c r="G102" s="33"/>
      <c r="H102" s="46"/>
      <c r="I102" s="212"/>
      <c r="J102" s="212"/>
      <c r="K102" s="46"/>
      <c r="L102" s="46"/>
      <c r="M102" s="213"/>
      <c r="N102" s="200"/>
      <c r="O102" s="46"/>
      <c r="P102" s="46"/>
      <c r="Q102" s="46"/>
      <c r="R102" s="46"/>
      <c r="S102" s="46"/>
      <c r="T102" s="235"/>
      <c r="U102" s="235"/>
      <c r="V102" s="214"/>
      <c r="W102" s="34"/>
    </row>
    <row r="103" spans="1:23" x14ac:dyDescent="0.35">
      <c r="A103" s="46"/>
      <c r="B103" s="211"/>
      <c r="C103" s="211"/>
      <c r="D103" s="33"/>
      <c r="E103" s="33"/>
      <c r="F103" s="33"/>
      <c r="G103" s="33"/>
      <c r="H103" s="46"/>
      <c r="I103" s="212"/>
      <c r="J103" s="212"/>
      <c r="K103" s="46"/>
      <c r="L103" s="46"/>
      <c r="M103" s="213"/>
      <c r="N103" s="200"/>
      <c r="O103" s="46"/>
      <c r="P103" s="46"/>
      <c r="Q103" s="46"/>
      <c r="R103" s="46"/>
      <c r="S103" s="46"/>
      <c r="T103" s="235"/>
      <c r="U103" s="235"/>
      <c r="V103" s="214"/>
      <c r="W103" s="34"/>
    </row>
    <row r="104" spans="1:23" x14ac:dyDescent="0.35">
      <c r="A104" s="46"/>
      <c r="B104" s="211"/>
      <c r="C104" s="211"/>
      <c r="D104" s="33"/>
      <c r="E104" s="33"/>
      <c r="F104" s="33"/>
      <c r="G104" s="33"/>
      <c r="H104" s="46"/>
      <c r="I104" s="212"/>
      <c r="J104" s="212"/>
      <c r="K104" s="46"/>
      <c r="L104" s="46"/>
      <c r="M104" s="213"/>
      <c r="N104" s="200"/>
      <c r="O104" s="46"/>
      <c r="P104" s="46"/>
      <c r="Q104" s="46"/>
      <c r="R104" s="46"/>
      <c r="S104" s="46"/>
      <c r="T104" s="235"/>
      <c r="U104" s="235"/>
      <c r="V104" s="214"/>
      <c r="W104" s="34"/>
    </row>
    <row r="105" spans="1:23" x14ac:dyDescent="0.35">
      <c r="A105" s="46"/>
      <c r="B105" s="211"/>
      <c r="C105" s="211"/>
      <c r="D105" s="33"/>
      <c r="E105" s="33"/>
      <c r="F105" s="33"/>
      <c r="G105" s="33"/>
      <c r="H105" s="46"/>
      <c r="I105" s="212"/>
      <c r="J105" s="212"/>
      <c r="K105" s="46"/>
      <c r="L105" s="46"/>
      <c r="M105" s="213"/>
      <c r="N105" s="200"/>
      <c r="O105" s="46"/>
      <c r="P105" s="46"/>
      <c r="Q105" s="46"/>
      <c r="R105" s="46"/>
      <c r="S105" s="46"/>
      <c r="T105" s="235"/>
      <c r="U105" s="235"/>
      <c r="V105" s="214"/>
      <c r="W105" s="34"/>
    </row>
    <row r="106" spans="1:23" x14ac:dyDescent="0.35">
      <c r="A106" s="46"/>
      <c r="B106" s="211"/>
      <c r="C106" s="211"/>
      <c r="D106" s="33"/>
      <c r="E106" s="33"/>
      <c r="F106" s="33"/>
      <c r="G106" s="33"/>
      <c r="H106" s="46"/>
      <c r="I106" s="212"/>
      <c r="J106" s="212"/>
      <c r="K106" s="46"/>
      <c r="L106" s="46"/>
      <c r="M106" s="213"/>
      <c r="N106" s="200"/>
      <c r="O106" s="46"/>
      <c r="P106" s="46"/>
      <c r="Q106" s="46"/>
      <c r="R106" s="46"/>
      <c r="S106" s="46"/>
      <c r="T106" s="235"/>
      <c r="U106" s="235"/>
      <c r="V106" s="214"/>
      <c r="W106" s="34"/>
    </row>
    <row r="107" spans="1:23" x14ac:dyDescent="0.35">
      <c r="A107" s="46"/>
      <c r="B107" s="211"/>
      <c r="C107" s="211"/>
      <c r="D107" s="33"/>
      <c r="E107" s="33"/>
      <c r="F107" s="33"/>
      <c r="G107" s="33"/>
      <c r="H107" s="46"/>
      <c r="I107" s="212"/>
      <c r="J107" s="212"/>
      <c r="K107" s="46"/>
      <c r="L107" s="46"/>
      <c r="M107" s="213"/>
      <c r="N107" s="200"/>
      <c r="O107" s="46"/>
      <c r="P107" s="46"/>
      <c r="Q107" s="46"/>
      <c r="R107" s="46"/>
      <c r="S107" s="46"/>
      <c r="T107" s="235"/>
      <c r="U107" s="235"/>
      <c r="V107" s="214"/>
      <c r="W107" s="34"/>
    </row>
    <row r="108" spans="1:23" x14ac:dyDescent="0.35">
      <c r="A108" s="46"/>
      <c r="B108" s="211"/>
      <c r="C108" s="211"/>
      <c r="D108" s="33"/>
      <c r="E108" s="33"/>
      <c r="F108" s="33"/>
      <c r="G108" s="33"/>
      <c r="H108" s="46"/>
      <c r="I108" s="212"/>
      <c r="J108" s="212"/>
      <c r="K108" s="46"/>
      <c r="L108" s="46"/>
      <c r="M108" s="213"/>
      <c r="N108" s="200"/>
      <c r="O108" s="46"/>
      <c r="P108" s="46"/>
      <c r="Q108" s="46"/>
      <c r="R108" s="46"/>
      <c r="S108" s="46"/>
      <c r="T108" s="235"/>
      <c r="U108" s="235"/>
      <c r="V108" s="214"/>
      <c r="W108" s="34"/>
    </row>
    <row r="109" spans="1:23" x14ac:dyDescent="0.35">
      <c r="A109" s="46"/>
      <c r="B109" s="211"/>
      <c r="C109" s="211"/>
      <c r="D109" s="33"/>
      <c r="E109" s="33"/>
      <c r="F109" s="33"/>
      <c r="G109" s="33"/>
      <c r="H109" s="46"/>
      <c r="I109" s="212"/>
      <c r="J109" s="212"/>
      <c r="K109" s="46"/>
      <c r="L109" s="46"/>
      <c r="M109" s="213"/>
      <c r="N109" s="200"/>
      <c r="O109" s="46"/>
      <c r="P109" s="46"/>
      <c r="Q109" s="46"/>
      <c r="R109" s="46"/>
      <c r="S109" s="46"/>
      <c r="T109" s="235"/>
      <c r="U109" s="235"/>
      <c r="V109" s="214"/>
      <c r="W109" s="34"/>
    </row>
    <row r="110" spans="1:23" x14ac:dyDescent="0.35">
      <c r="A110" s="46"/>
      <c r="B110" s="211"/>
      <c r="C110" s="211"/>
      <c r="D110" s="33"/>
      <c r="E110" s="33"/>
      <c r="F110" s="33"/>
      <c r="G110" s="33"/>
      <c r="H110" s="46"/>
      <c r="I110" s="212"/>
      <c r="J110" s="212"/>
      <c r="K110" s="46"/>
      <c r="L110" s="46"/>
      <c r="M110" s="213"/>
      <c r="N110" s="200"/>
      <c r="O110" s="46"/>
      <c r="P110" s="46"/>
      <c r="Q110" s="46"/>
      <c r="R110" s="46"/>
      <c r="S110" s="46"/>
      <c r="T110" s="235"/>
      <c r="U110" s="235"/>
      <c r="V110" s="214"/>
      <c r="W110" s="34"/>
    </row>
    <row r="111" spans="1:23" x14ac:dyDescent="0.35">
      <c r="A111" s="46"/>
      <c r="B111" s="211"/>
      <c r="C111" s="211"/>
      <c r="D111" s="33"/>
      <c r="E111" s="33"/>
      <c r="F111" s="33"/>
      <c r="G111" s="33"/>
      <c r="H111" s="46"/>
      <c r="I111" s="212"/>
      <c r="J111" s="212"/>
      <c r="K111" s="46"/>
      <c r="L111" s="46"/>
      <c r="M111" s="213"/>
      <c r="N111" s="200"/>
      <c r="O111" s="46"/>
      <c r="P111" s="46"/>
      <c r="Q111" s="46"/>
      <c r="R111" s="46"/>
      <c r="S111" s="46"/>
      <c r="T111" s="235"/>
      <c r="U111" s="235"/>
      <c r="V111" s="214"/>
      <c r="W111" s="34"/>
    </row>
    <row r="112" spans="1:23" x14ac:dyDescent="0.35">
      <c r="A112" s="46"/>
      <c r="B112" s="211"/>
      <c r="C112" s="211"/>
      <c r="D112" s="33"/>
      <c r="E112" s="33"/>
      <c r="F112" s="33"/>
      <c r="G112" s="33"/>
      <c r="H112" s="46"/>
      <c r="I112" s="212"/>
      <c r="J112" s="212"/>
      <c r="K112" s="46"/>
      <c r="L112" s="46"/>
      <c r="M112" s="213"/>
      <c r="N112" s="200"/>
      <c r="O112" s="46"/>
      <c r="P112" s="46"/>
      <c r="Q112" s="46"/>
      <c r="R112" s="46"/>
      <c r="S112" s="46"/>
      <c r="T112" s="235"/>
      <c r="U112" s="235"/>
      <c r="V112" s="214"/>
      <c r="W112" s="34"/>
    </row>
    <row r="113" spans="1:23" x14ac:dyDescent="0.35">
      <c r="A113" s="46"/>
      <c r="B113" s="211"/>
      <c r="C113" s="211"/>
      <c r="D113" s="33"/>
      <c r="E113" s="33"/>
      <c r="F113" s="33"/>
      <c r="G113" s="33"/>
      <c r="H113" s="46"/>
      <c r="I113" s="212"/>
      <c r="J113" s="212"/>
      <c r="K113" s="46"/>
      <c r="L113" s="46"/>
      <c r="M113" s="213"/>
      <c r="N113" s="200"/>
      <c r="O113" s="46"/>
      <c r="P113" s="46"/>
      <c r="Q113" s="46"/>
      <c r="R113" s="46"/>
      <c r="S113" s="46"/>
      <c r="T113" s="235"/>
      <c r="U113" s="235"/>
      <c r="V113" s="214"/>
      <c r="W113" s="34"/>
    </row>
    <row r="114" spans="1:23" x14ac:dyDescent="0.35">
      <c r="A114" s="46"/>
      <c r="B114" s="211"/>
      <c r="C114" s="211"/>
      <c r="D114" s="33"/>
      <c r="E114" s="33"/>
      <c r="F114" s="33"/>
      <c r="G114" s="33"/>
      <c r="H114" s="46"/>
      <c r="I114" s="212"/>
      <c r="J114" s="212"/>
      <c r="K114" s="46"/>
      <c r="L114" s="46"/>
      <c r="M114" s="213"/>
      <c r="N114" s="200"/>
      <c r="O114" s="46"/>
      <c r="P114" s="46"/>
      <c r="Q114" s="46"/>
      <c r="R114" s="46"/>
      <c r="S114" s="46"/>
      <c r="T114" s="235"/>
      <c r="U114" s="235"/>
      <c r="V114" s="214"/>
      <c r="W114" s="34"/>
    </row>
    <row r="115" spans="1:23" x14ac:dyDescent="0.35">
      <c r="A115" s="46"/>
      <c r="B115" s="211"/>
      <c r="C115" s="211"/>
      <c r="D115" s="33"/>
      <c r="E115" s="33"/>
      <c r="F115" s="33"/>
      <c r="G115" s="33"/>
      <c r="H115" s="46"/>
      <c r="I115" s="212"/>
      <c r="J115" s="212"/>
      <c r="K115" s="46"/>
      <c r="L115" s="46"/>
      <c r="M115" s="213"/>
      <c r="N115" s="200"/>
      <c r="O115" s="46"/>
      <c r="P115" s="46"/>
      <c r="Q115" s="46"/>
      <c r="R115" s="46"/>
      <c r="S115" s="46"/>
      <c r="T115" s="235"/>
      <c r="U115" s="235"/>
      <c r="V115" s="214"/>
      <c r="W115" s="34"/>
    </row>
    <row r="116" spans="1:23" x14ac:dyDescent="0.35">
      <c r="A116" s="46"/>
      <c r="B116" s="211"/>
      <c r="C116" s="211"/>
      <c r="D116" s="33"/>
      <c r="E116" s="33"/>
      <c r="F116" s="33"/>
      <c r="G116" s="33"/>
      <c r="H116" s="46"/>
      <c r="I116" s="212"/>
      <c r="J116" s="212"/>
      <c r="K116" s="46"/>
      <c r="L116" s="46"/>
      <c r="M116" s="213"/>
      <c r="N116" s="200"/>
      <c r="O116" s="46"/>
      <c r="P116" s="46"/>
      <c r="Q116" s="46"/>
      <c r="R116" s="46"/>
      <c r="S116" s="46"/>
      <c r="T116" s="235"/>
      <c r="U116" s="235"/>
      <c r="V116" s="214"/>
      <c r="W116" s="34"/>
    </row>
    <row r="117" spans="1:23" x14ac:dyDescent="0.35">
      <c r="A117" s="46"/>
      <c r="B117" s="211"/>
      <c r="C117" s="211"/>
      <c r="D117" s="33"/>
      <c r="E117" s="33"/>
      <c r="F117" s="33"/>
      <c r="G117" s="33"/>
      <c r="H117" s="46"/>
      <c r="I117" s="212"/>
      <c r="J117" s="212"/>
      <c r="K117" s="46"/>
      <c r="L117" s="46"/>
      <c r="M117" s="213"/>
      <c r="N117" s="200"/>
      <c r="O117" s="46"/>
      <c r="P117" s="46"/>
      <c r="Q117" s="46"/>
      <c r="R117" s="46"/>
      <c r="S117" s="46"/>
      <c r="T117" s="235"/>
      <c r="U117" s="235"/>
      <c r="V117" s="214"/>
      <c r="W117" s="34"/>
    </row>
    <row r="118" spans="1:23" x14ac:dyDescent="0.35">
      <c r="A118" s="46"/>
      <c r="B118" s="211"/>
      <c r="C118" s="211"/>
      <c r="D118" s="33"/>
      <c r="E118" s="33"/>
      <c r="F118" s="33"/>
      <c r="G118" s="33"/>
      <c r="H118" s="46"/>
      <c r="I118" s="212"/>
      <c r="J118" s="212"/>
      <c r="K118" s="46"/>
      <c r="L118" s="46"/>
      <c r="M118" s="213"/>
      <c r="N118" s="200"/>
      <c r="O118" s="46"/>
      <c r="P118" s="46"/>
      <c r="Q118" s="46"/>
      <c r="R118" s="46"/>
      <c r="S118" s="46"/>
      <c r="T118" s="235"/>
      <c r="U118" s="235"/>
      <c r="V118" s="214"/>
      <c r="W118" s="34"/>
    </row>
    <row r="119" spans="1:23" x14ac:dyDescent="0.35">
      <c r="A119" s="46"/>
      <c r="B119" s="211"/>
      <c r="C119" s="211"/>
      <c r="D119" s="33"/>
      <c r="E119" s="33"/>
      <c r="F119" s="33"/>
      <c r="G119" s="33"/>
      <c r="H119" s="46"/>
      <c r="I119" s="212"/>
      <c r="J119" s="212"/>
      <c r="K119" s="46"/>
      <c r="L119" s="46"/>
      <c r="M119" s="213"/>
      <c r="N119" s="200"/>
      <c r="O119" s="46"/>
      <c r="P119" s="46"/>
      <c r="Q119" s="46"/>
      <c r="R119" s="46"/>
      <c r="S119" s="46"/>
      <c r="T119" s="235"/>
      <c r="U119" s="235"/>
      <c r="V119" s="214"/>
      <c r="W119" s="34"/>
    </row>
    <row r="120" spans="1:23" x14ac:dyDescent="0.35">
      <c r="A120" s="46"/>
      <c r="B120" s="211"/>
      <c r="C120" s="211"/>
      <c r="D120" s="33"/>
      <c r="E120" s="33"/>
      <c r="F120" s="33"/>
      <c r="G120" s="33"/>
      <c r="H120" s="46"/>
      <c r="I120" s="212"/>
      <c r="J120" s="212"/>
      <c r="K120" s="46"/>
      <c r="L120" s="46"/>
      <c r="M120" s="213"/>
      <c r="N120" s="200"/>
      <c r="O120" s="46"/>
      <c r="P120" s="46"/>
      <c r="Q120" s="46"/>
      <c r="R120" s="46"/>
      <c r="S120" s="46"/>
      <c r="T120" s="235"/>
      <c r="U120" s="235"/>
      <c r="V120" s="214"/>
      <c r="W120" s="34"/>
    </row>
    <row r="121" spans="1:23" x14ac:dyDescent="0.35">
      <c r="A121" s="46"/>
      <c r="B121" s="211"/>
      <c r="C121" s="211"/>
      <c r="D121" s="33"/>
      <c r="E121" s="33"/>
      <c r="F121" s="33"/>
      <c r="G121" s="33"/>
      <c r="H121" s="46"/>
      <c r="I121" s="212"/>
      <c r="J121" s="212"/>
      <c r="K121" s="46"/>
      <c r="L121" s="46"/>
      <c r="M121" s="213"/>
      <c r="N121" s="200"/>
      <c r="O121" s="46"/>
      <c r="P121" s="46"/>
      <c r="Q121" s="46"/>
      <c r="R121" s="46"/>
      <c r="S121" s="46"/>
      <c r="T121" s="235"/>
      <c r="U121" s="235"/>
      <c r="V121" s="214"/>
      <c r="W121" s="34"/>
    </row>
    <row r="122" spans="1:23" x14ac:dyDescent="0.35">
      <c r="A122" s="46"/>
      <c r="B122" s="211"/>
      <c r="C122" s="211"/>
      <c r="D122" s="33"/>
      <c r="E122" s="33"/>
      <c r="F122" s="33"/>
      <c r="G122" s="33"/>
      <c r="H122" s="46"/>
      <c r="I122" s="212"/>
      <c r="J122" s="212"/>
      <c r="K122" s="46"/>
      <c r="L122" s="46"/>
      <c r="M122" s="213"/>
      <c r="N122" s="200"/>
      <c r="O122" s="46"/>
      <c r="P122" s="46"/>
      <c r="Q122" s="46"/>
      <c r="R122" s="46"/>
      <c r="S122" s="46"/>
      <c r="T122" s="235"/>
      <c r="U122" s="235"/>
      <c r="V122" s="214"/>
      <c r="W122" s="34"/>
    </row>
    <row r="123" spans="1:23" x14ac:dyDescent="0.35">
      <c r="A123" s="46"/>
      <c r="B123" s="211"/>
      <c r="C123" s="211"/>
      <c r="D123" s="33"/>
      <c r="E123" s="33"/>
      <c r="F123" s="33"/>
      <c r="G123" s="33"/>
      <c r="H123" s="46"/>
      <c r="I123" s="212"/>
      <c r="J123" s="212"/>
      <c r="K123" s="46"/>
      <c r="L123" s="46"/>
      <c r="M123" s="213"/>
      <c r="N123" s="200"/>
      <c r="O123" s="46"/>
      <c r="P123" s="46"/>
      <c r="Q123" s="46"/>
      <c r="R123" s="46"/>
      <c r="S123" s="46"/>
      <c r="T123" s="235"/>
      <c r="U123" s="235"/>
      <c r="V123" s="214"/>
      <c r="W123" s="34"/>
    </row>
    <row r="124" spans="1:23" x14ac:dyDescent="0.35">
      <c r="A124" s="46"/>
      <c r="B124" s="211"/>
      <c r="C124" s="211"/>
      <c r="D124" s="33"/>
      <c r="E124" s="33"/>
      <c r="F124" s="33"/>
      <c r="G124" s="33"/>
      <c r="H124" s="46"/>
      <c r="I124" s="212"/>
      <c r="J124" s="212"/>
      <c r="K124" s="46"/>
      <c r="L124" s="46"/>
      <c r="M124" s="213"/>
      <c r="N124" s="200"/>
      <c r="O124" s="46"/>
      <c r="P124" s="46"/>
      <c r="Q124" s="46"/>
      <c r="R124" s="46"/>
      <c r="S124" s="46"/>
      <c r="T124" s="235"/>
      <c r="U124" s="235"/>
      <c r="V124" s="214"/>
      <c r="W124" s="34"/>
    </row>
    <row r="125" spans="1:23" x14ac:dyDescent="0.35">
      <c r="A125" s="46"/>
      <c r="B125" s="211"/>
      <c r="C125" s="211"/>
      <c r="D125" s="33"/>
      <c r="E125" s="33"/>
      <c r="F125" s="33"/>
      <c r="G125" s="33"/>
      <c r="H125" s="46"/>
      <c r="I125" s="212"/>
      <c r="J125" s="212"/>
      <c r="K125" s="46"/>
      <c r="L125" s="46"/>
      <c r="M125" s="213"/>
      <c r="N125" s="200"/>
      <c r="O125" s="46"/>
      <c r="P125" s="46"/>
      <c r="Q125" s="46"/>
      <c r="R125" s="46"/>
      <c r="S125" s="46"/>
      <c r="T125" s="235"/>
      <c r="U125" s="235"/>
      <c r="V125" s="214"/>
      <c r="W125" s="34"/>
    </row>
    <row r="126" spans="1:23" x14ac:dyDescent="0.35">
      <c r="A126" s="46"/>
      <c r="B126" s="211"/>
      <c r="C126" s="211"/>
      <c r="D126" s="33"/>
      <c r="E126" s="33"/>
      <c r="F126" s="33"/>
      <c r="G126" s="33"/>
      <c r="H126" s="46"/>
      <c r="I126" s="212"/>
      <c r="J126" s="212"/>
      <c r="K126" s="46"/>
      <c r="L126" s="46"/>
      <c r="M126" s="213"/>
      <c r="N126" s="200"/>
      <c r="O126" s="46"/>
      <c r="P126" s="46"/>
      <c r="Q126" s="46"/>
      <c r="R126" s="46"/>
      <c r="S126" s="46"/>
      <c r="T126" s="235"/>
      <c r="U126" s="235"/>
      <c r="V126" s="214"/>
      <c r="W126" s="34"/>
    </row>
    <row r="127" spans="1:23" x14ac:dyDescent="0.35">
      <c r="A127" s="46"/>
      <c r="B127" s="211"/>
      <c r="C127" s="211"/>
      <c r="D127" s="33"/>
      <c r="E127" s="33"/>
      <c r="F127" s="33"/>
      <c r="G127" s="33"/>
      <c r="H127" s="46"/>
      <c r="I127" s="212"/>
      <c r="J127" s="212"/>
      <c r="K127" s="46"/>
      <c r="L127" s="46"/>
      <c r="M127" s="213"/>
      <c r="N127" s="200"/>
      <c r="O127" s="46"/>
      <c r="P127" s="46"/>
      <c r="Q127" s="46"/>
      <c r="R127" s="46"/>
      <c r="S127" s="46"/>
      <c r="T127" s="235"/>
      <c r="U127" s="235"/>
      <c r="V127" s="214"/>
      <c r="W127" s="34"/>
    </row>
    <row r="128" spans="1:23" x14ac:dyDescent="0.35">
      <c r="A128" s="46"/>
      <c r="B128" s="211"/>
      <c r="C128" s="211"/>
      <c r="D128" s="33"/>
      <c r="E128" s="33"/>
      <c r="F128" s="33"/>
      <c r="G128" s="33"/>
      <c r="H128" s="46"/>
      <c r="I128" s="212"/>
      <c r="J128" s="212"/>
      <c r="K128" s="46"/>
      <c r="L128" s="46"/>
      <c r="M128" s="213"/>
      <c r="N128" s="200"/>
      <c r="O128" s="46"/>
      <c r="P128" s="46"/>
      <c r="Q128" s="46"/>
      <c r="R128" s="46"/>
      <c r="S128" s="46"/>
      <c r="T128" s="235"/>
      <c r="U128" s="235"/>
      <c r="V128" s="214"/>
      <c r="W128" s="34"/>
    </row>
    <row r="129" spans="1:23" x14ac:dyDescent="0.35">
      <c r="A129" s="46"/>
      <c r="B129" s="211"/>
      <c r="C129" s="211"/>
      <c r="D129" s="33"/>
      <c r="E129" s="33"/>
      <c r="F129" s="33"/>
      <c r="G129" s="33"/>
      <c r="H129" s="46"/>
      <c r="I129" s="212"/>
      <c r="J129" s="212"/>
      <c r="K129" s="46"/>
      <c r="L129" s="46"/>
      <c r="M129" s="213"/>
      <c r="N129" s="200"/>
      <c r="O129" s="46"/>
      <c r="P129" s="46"/>
      <c r="Q129" s="46"/>
      <c r="R129" s="46"/>
      <c r="S129" s="46"/>
      <c r="T129" s="235"/>
      <c r="U129" s="235"/>
      <c r="V129" s="214"/>
      <c r="W129" s="34"/>
    </row>
    <row r="130" spans="1:23" x14ac:dyDescent="0.35">
      <c r="A130" s="46"/>
      <c r="B130" s="211"/>
      <c r="C130" s="211"/>
      <c r="D130" s="33"/>
      <c r="E130" s="33"/>
      <c r="F130" s="33"/>
      <c r="G130" s="33"/>
      <c r="H130" s="46"/>
      <c r="I130" s="212"/>
      <c r="J130" s="212"/>
      <c r="K130" s="46"/>
      <c r="L130" s="46"/>
      <c r="M130" s="213"/>
      <c r="N130" s="200"/>
      <c r="O130" s="46"/>
      <c r="P130" s="46"/>
      <c r="Q130" s="46"/>
      <c r="R130" s="46"/>
      <c r="S130" s="46"/>
      <c r="T130" s="235"/>
      <c r="U130" s="235"/>
      <c r="V130" s="214"/>
      <c r="W130" s="34"/>
    </row>
    <row r="131" spans="1:23" x14ac:dyDescent="0.35">
      <c r="A131" s="46"/>
      <c r="B131" s="211"/>
      <c r="C131" s="211"/>
      <c r="D131" s="33"/>
      <c r="E131" s="33"/>
      <c r="F131" s="33"/>
      <c r="G131" s="33"/>
      <c r="H131" s="46"/>
      <c r="I131" s="212"/>
      <c r="J131" s="212"/>
      <c r="K131" s="46"/>
      <c r="L131" s="46"/>
      <c r="M131" s="213"/>
      <c r="N131" s="200"/>
      <c r="O131" s="46"/>
      <c r="P131" s="46"/>
      <c r="Q131" s="46"/>
      <c r="R131" s="46"/>
      <c r="S131" s="46"/>
      <c r="T131" s="235"/>
      <c r="U131" s="235"/>
      <c r="V131" s="214"/>
      <c r="W131" s="34"/>
    </row>
    <row r="132" spans="1:23" x14ac:dyDescent="0.35">
      <c r="A132" s="46"/>
      <c r="B132" s="211"/>
      <c r="C132" s="211"/>
      <c r="D132" s="33"/>
      <c r="E132" s="33"/>
      <c r="F132" s="33"/>
      <c r="G132" s="33"/>
      <c r="H132" s="46"/>
      <c r="I132" s="212"/>
      <c r="J132" s="212"/>
      <c r="K132" s="46"/>
      <c r="L132" s="46"/>
      <c r="M132" s="213"/>
      <c r="N132" s="200"/>
      <c r="O132" s="46"/>
      <c r="P132" s="46"/>
      <c r="Q132" s="46"/>
      <c r="R132" s="46"/>
      <c r="S132" s="46"/>
      <c r="T132" s="235"/>
      <c r="U132" s="235"/>
      <c r="V132" s="214"/>
      <c r="W132" s="34"/>
    </row>
    <row r="133" spans="1:23" x14ac:dyDescent="0.35">
      <c r="A133" s="46"/>
      <c r="B133" s="211"/>
      <c r="C133" s="211"/>
      <c r="D133" s="33"/>
      <c r="E133" s="33"/>
      <c r="F133" s="33"/>
      <c r="G133" s="33"/>
      <c r="H133" s="46"/>
      <c r="I133" s="212"/>
      <c r="J133" s="212"/>
      <c r="K133" s="46"/>
      <c r="L133" s="46"/>
      <c r="M133" s="213"/>
      <c r="N133" s="200"/>
      <c r="O133" s="46"/>
      <c r="P133" s="46"/>
      <c r="Q133" s="46"/>
      <c r="R133" s="46"/>
      <c r="S133" s="46"/>
      <c r="T133" s="235"/>
      <c r="U133" s="235"/>
      <c r="V133" s="214"/>
      <c r="W133" s="34"/>
    </row>
    <row r="134" spans="1:23" x14ac:dyDescent="0.35">
      <c r="A134" s="46"/>
      <c r="B134" s="211"/>
      <c r="C134" s="211"/>
      <c r="D134" s="33"/>
      <c r="E134" s="33"/>
      <c r="F134" s="33"/>
      <c r="G134" s="33"/>
      <c r="H134" s="46"/>
      <c r="I134" s="212"/>
      <c r="J134" s="212"/>
      <c r="K134" s="46"/>
      <c r="L134" s="46"/>
      <c r="M134" s="213"/>
      <c r="N134" s="200"/>
      <c r="O134" s="46"/>
      <c r="P134" s="46"/>
      <c r="Q134" s="46"/>
      <c r="R134" s="46"/>
      <c r="S134" s="46"/>
      <c r="T134" s="235"/>
      <c r="U134" s="235"/>
      <c r="V134" s="214"/>
      <c r="W134" s="34"/>
    </row>
    <row r="135" spans="1:23" x14ac:dyDescent="0.35">
      <c r="A135" s="46"/>
      <c r="B135" s="211"/>
      <c r="C135" s="211"/>
      <c r="D135" s="33"/>
      <c r="E135" s="33"/>
      <c r="F135" s="33"/>
      <c r="G135" s="33"/>
      <c r="H135" s="46"/>
      <c r="I135" s="212"/>
      <c r="J135" s="212"/>
      <c r="K135" s="46"/>
      <c r="L135" s="46"/>
      <c r="M135" s="213"/>
      <c r="N135" s="200"/>
      <c r="O135" s="46"/>
      <c r="P135" s="46"/>
      <c r="Q135" s="46"/>
      <c r="R135" s="46"/>
      <c r="S135" s="46"/>
      <c r="T135" s="235"/>
      <c r="U135" s="235"/>
      <c r="V135" s="214"/>
      <c r="W135" s="34"/>
    </row>
    <row r="136" spans="1:23" x14ac:dyDescent="0.35">
      <c r="A136" s="46"/>
      <c r="B136" s="211"/>
      <c r="C136" s="211"/>
      <c r="D136" s="33"/>
      <c r="E136" s="33"/>
      <c r="F136" s="33"/>
      <c r="G136" s="33"/>
      <c r="H136" s="46"/>
      <c r="I136" s="212"/>
      <c r="J136" s="212"/>
      <c r="K136" s="46"/>
      <c r="L136" s="46"/>
      <c r="M136" s="213"/>
      <c r="N136" s="200"/>
      <c r="O136" s="46"/>
      <c r="P136" s="46"/>
      <c r="Q136" s="46"/>
      <c r="R136" s="46"/>
      <c r="S136" s="46"/>
      <c r="T136" s="235"/>
      <c r="U136" s="235"/>
      <c r="V136" s="214"/>
      <c r="W136" s="34"/>
    </row>
    <row r="137" spans="1:23" x14ac:dyDescent="0.35">
      <c r="A137" s="46"/>
      <c r="B137" s="211"/>
      <c r="C137" s="211"/>
      <c r="D137" s="33"/>
      <c r="E137" s="33"/>
      <c r="F137" s="33"/>
      <c r="G137" s="33"/>
      <c r="H137" s="46"/>
      <c r="I137" s="212"/>
      <c r="J137" s="212"/>
      <c r="K137" s="46"/>
      <c r="L137" s="46"/>
      <c r="M137" s="213"/>
      <c r="N137" s="200"/>
      <c r="O137" s="46"/>
      <c r="P137" s="46"/>
      <c r="Q137" s="46"/>
      <c r="R137" s="46"/>
      <c r="S137" s="46"/>
      <c r="T137" s="235"/>
      <c r="U137" s="235"/>
      <c r="V137" s="214"/>
      <c r="W137" s="34"/>
    </row>
    <row r="138" spans="1:23" x14ac:dyDescent="0.35">
      <c r="A138" s="46"/>
      <c r="B138" s="211"/>
      <c r="C138" s="211"/>
      <c r="D138" s="33"/>
      <c r="E138" s="33"/>
      <c r="F138" s="33"/>
      <c r="G138" s="33"/>
      <c r="H138" s="46"/>
      <c r="I138" s="212"/>
      <c r="J138" s="212"/>
      <c r="K138" s="46"/>
      <c r="L138" s="46"/>
      <c r="M138" s="213"/>
      <c r="N138" s="200"/>
      <c r="O138" s="46"/>
      <c r="P138" s="46"/>
      <c r="Q138" s="46"/>
      <c r="R138" s="46"/>
      <c r="S138" s="46"/>
      <c r="T138" s="235"/>
      <c r="U138" s="235"/>
      <c r="V138" s="214"/>
      <c r="W138" s="34"/>
    </row>
    <row r="139" spans="1:23" x14ac:dyDescent="0.35">
      <c r="A139" s="46"/>
      <c r="B139" s="211"/>
      <c r="C139" s="211"/>
      <c r="D139" s="33"/>
      <c r="E139" s="33"/>
      <c r="F139" s="33"/>
      <c r="G139" s="33"/>
      <c r="H139" s="46"/>
      <c r="I139" s="212"/>
      <c r="J139" s="212"/>
      <c r="K139" s="46"/>
      <c r="L139" s="46"/>
      <c r="M139" s="213"/>
      <c r="N139" s="200"/>
      <c r="O139" s="46"/>
      <c r="P139" s="46"/>
      <c r="Q139" s="46"/>
      <c r="R139" s="46"/>
      <c r="S139" s="46"/>
      <c r="T139" s="235"/>
      <c r="U139" s="235"/>
      <c r="V139" s="214"/>
      <c r="W139" s="34"/>
    </row>
    <row r="140" spans="1:23" x14ac:dyDescent="0.35">
      <c r="A140" s="46"/>
      <c r="B140" s="211"/>
      <c r="C140" s="211"/>
      <c r="D140" s="33"/>
      <c r="E140" s="33"/>
      <c r="F140" s="33"/>
      <c r="G140" s="33"/>
      <c r="H140" s="46"/>
      <c r="I140" s="212"/>
      <c r="J140" s="212"/>
      <c r="K140" s="46"/>
      <c r="L140" s="46"/>
      <c r="M140" s="213"/>
      <c r="N140" s="200"/>
      <c r="O140" s="46"/>
      <c r="P140" s="46"/>
      <c r="Q140" s="46"/>
      <c r="R140" s="46"/>
      <c r="S140" s="46"/>
      <c r="T140" s="235"/>
      <c r="U140" s="235"/>
      <c r="V140" s="214"/>
      <c r="W140" s="34"/>
    </row>
    <row r="141" spans="1:23" x14ac:dyDescent="0.35">
      <c r="A141" s="46"/>
      <c r="B141" s="211"/>
      <c r="C141" s="211"/>
      <c r="D141" s="33"/>
      <c r="E141" s="33"/>
      <c r="F141" s="33"/>
      <c r="G141" s="33"/>
      <c r="H141" s="46"/>
      <c r="I141" s="212"/>
      <c r="J141" s="212"/>
      <c r="K141" s="46"/>
      <c r="L141" s="46"/>
      <c r="M141" s="213"/>
      <c r="N141" s="200"/>
      <c r="O141" s="46"/>
      <c r="P141" s="46"/>
      <c r="Q141" s="46"/>
      <c r="R141" s="46"/>
      <c r="S141" s="46"/>
      <c r="T141" s="235"/>
      <c r="U141" s="235"/>
      <c r="V141" s="214"/>
      <c r="W141" s="34"/>
    </row>
    <row r="142" spans="1:23" x14ac:dyDescent="0.35">
      <c r="A142" s="46"/>
      <c r="B142" s="211"/>
      <c r="C142" s="211"/>
      <c r="D142" s="33"/>
      <c r="E142" s="33"/>
      <c r="F142" s="33"/>
      <c r="G142" s="33"/>
      <c r="H142" s="46"/>
      <c r="I142" s="212"/>
      <c r="J142" s="212"/>
      <c r="K142" s="46"/>
      <c r="L142" s="46"/>
      <c r="M142" s="213"/>
      <c r="N142" s="200"/>
      <c r="O142" s="46"/>
      <c r="P142" s="46"/>
      <c r="Q142" s="46"/>
      <c r="R142" s="46"/>
      <c r="S142" s="46"/>
      <c r="T142" s="235"/>
      <c r="U142" s="235"/>
      <c r="V142" s="214"/>
      <c r="W142" s="34"/>
    </row>
    <row r="143" spans="1:23" x14ac:dyDescent="0.35">
      <c r="A143" s="46"/>
      <c r="B143" s="211"/>
      <c r="C143" s="211"/>
      <c r="D143" s="33"/>
      <c r="E143" s="33"/>
      <c r="F143" s="33"/>
      <c r="G143" s="33"/>
      <c r="H143" s="46"/>
      <c r="I143" s="212"/>
      <c r="J143" s="212"/>
      <c r="K143" s="46"/>
      <c r="L143" s="46"/>
      <c r="M143" s="213"/>
      <c r="N143" s="200"/>
      <c r="O143" s="46"/>
      <c r="P143" s="46"/>
      <c r="Q143" s="46"/>
      <c r="R143" s="46"/>
      <c r="S143" s="46"/>
      <c r="T143" s="235"/>
      <c r="U143" s="235"/>
      <c r="V143" s="214"/>
      <c r="W143" s="34"/>
    </row>
    <row r="144" spans="1:23" x14ac:dyDescent="0.35">
      <c r="A144" s="46"/>
      <c r="B144" s="211"/>
      <c r="C144" s="211"/>
      <c r="D144" s="33"/>
      <c r="E144" s="33"/>
      <c r="F144" s="33"/>
      <c r="G144" s="33"/>
      <c r="H144" s="46"/>
      <c r="I144" s="212"/>
      <c r="J144" s="212"/>
      <c r="K144" s="46"/>
      <c r="L144" s="46"/>
      <c r="M144" s="213"/>
      <c r="N144" s="200"/>
      <c r="O144" s="46"/>
      <c r="P144" s="46"/>
      <c r="Q144" s="46"/>
      <c r="R144" s="46"/>
      <c r="S144" s="46"/>
      <c r="T144" s="235"/>
      <c r="U144" s="235"/>
      <c r="V144" s="214"/>
      <c r="W144" s="34"/>
    </row>
    <row r="145" spans="1:23" x14ac:dyDescent="0.35">
      <c r="A145" s="46"/>
      <c r="B145" s="211"/>
      <c r="C145" s="211"/>
      <c r="D145" s="33"/>
      <c r="E145" s="33"/>
      <c r="F145" s="33"/>
      <c r="G145" s="33"/>
      <c r="H145" s="46"/>
      <c r="I145" s="212"/>
      <c r="J145" s="212"/>
      <c r="K145" s="46"/>
      <c r="L145" s="46"/>
      <c r="M145" s="213"/>
      <c r="N145" s="200"/>
      <c r="O145" s="46"/>
      <c r="P145" s="46"/>
      <c r="Q145" s="46"/>
      <c r="R145" s="46"/>
      <c r="S145" s="46"/>
      <c r="T145" s="235"/>
      <c r="U145" s="235"/>
      <c r="V145" s="214"/>
      <c r="W145" s="34"/>
    </row>
    <row r="146" spans="1:23" x14ac:dyDescent="0.35">
      <c r="A146" s="46"/>
      <c r="B146" s="211"/>
      <c r="C146" s="211"/>
      <c r="D146" s="33"/>
      <c r="E146" s="33"/>
      <c r="F146" s="33"/>
      <c r="G146" s="33"/>
      <c r="H146" s="46"/>
      <c r="I146" s="212"/>
      <c r="J146" s="212"/>
      <c r="K146" s="46"/>
      <c r="L146" s="46"/>
      <c r="M146" s="213"/>
      <c r="N146" s="200"/>
      <c r="O146" s="46"/>
      <c r="P146" s="46"/>
      <c r="Q146" s="46"/>
      <c r="R146" s="46"/>
      <c r="S146" s="46"/>
      <c r="T146" s="235"/>
      <c r="U146" s="235"/>
      <c r="V146" s="214"/>
      <c r="W146" s="34"/>
    </row>
    <row r="147" spans="1:23" x14ac:dyDescent="0.35">
      <c r="A147" s="46"/>
      <c r="B147" s="211"/>
      <c r="C147" s="211"/>
      <c r="D147" s="33"/>
      <c r="E147" s="33"/>
      <c r="F147" s="33"/>
      <c r="G147" s="33"/>
      <c r="H147" s="46"/>
      <c r="I147" s="212"/>
      <c r="J147" s="212"/>
      <c r="K147" s="46"/>
      <c r="L147" s="46"/>
      <c r="M147" s="213"/>
      <c r="N147" s="200"/>
      <c r="O147" s="46"/>
      <c r="P147" s="46"/>
      <c r="Q147" s="46"/>
      <c r="R147" s="46"/>
      <c r="S147" s="46"/>
      <c r="T147" s="235"/>
      <c r="U147" s="235"/>
      <c r="V147" s="214"/>
      <c r="W147" s="34"/>
    </row>
    <row r="148" spans="1:23" x14ac:dyDescent="0.35">
      <c r="A148" s="46"/>
      <c r="B148" s="211"/>
      <c r="C148" s="211"/>
      <c r="D148" s="33"/>
      <c r="E148" s="33"/>
      <c r="F148" s="33"/>
      <c r="G148" s="33"/>
      <c r="H148" s="46"/>
      <c r="I148" s="212"/>
      <c r="J148" s="212"/>
      <c r="K148" s="46"/>
      <c r="L148" s="46"/>
      <c r="M148" s="213"/>
      <c r="N148" s="200"/>
      <c r="O148" s="46"/>
      <c r="P148" s="46"/>
      <c r="Q148" s="46"/>
      <c r="R148" s="46"/>
      <c r="S148" s="46"/>
      <c r="T148" s="235"/>
      <c r="U148" s="235"/>
      <c r="V148" s="214"/>
      <c r="W148" s="34"/>
    </row>
    <row r="149" spans="1:23" x14ac:dyDescent="0.35">
      <c r="A149" s="46"/>
      <c r="B149" s="211"/>
      <c r="C149" s="211"/>
      <c r="D149" s="33"/>
      <c r="E149" s="33"/>
      <c r="F149" s="33"/>
      <c r="G149" s="33"/>
      <c r="H149" s="46"/>
      <c r="I149" s="212"/>
      <c r="J149" s="212"/>
      <c r="K149" s="46"/>
      <c r="L149" s="46"/>
      <c r="M149" s="213"/>
      <c r="N149" s="200"/>
      <c r="O149" s="46"/>
      <c r="P149" s="46"/>
      <c r="Q149" s="46"/>
      <c r="R149" s="46"/>
      <c r="S149" s="46"/>
      <c r="T149" s="235"/>
      <c r="U149" s="235"/>
      <c r="V149" s="214"/>
      <c r="W149" s="34"/>
    </row>
    <row r="150" spans="1:23" x14ac:dyDescent="0.35">
      <c r="A150" s="46"/>
      <c r="B150" s="211"/>
      <c r="C150" s="211"/>
      <c r="D150" s="33"/>
      <c r="E150" s="33"/>
      <c r="F150" s="33"/>
      <c r="G150" s="33"/>
      <c r="H150" s="46"/>
      <c r="I150" s="212"/>
      <c r="J150" s="212"/>
      <c r="K150" s="46"/>
      <c r="L150" s="46"/>
      <c r="M150" s="213"/>
      <c r="N150" s="200"/>
      <c r="O150" s="46"/>
      <c r="P150" s="46"/>
      <c r="Q150" s="46"/>
      <c r="R150" s="46"/>
      <c r="S150" s="46"/>
      <c r="T150" s="235"/>
      <c r="U150" s="235"/>
      <c r="V150" s="214"/>
      <c r="W150" s="34"/>
    </row>
    <row r="151" spans="1:23" x14ac:dyDescent="0.35">
      <c r="A151" s="46"/>
      <c r="B151" s="211"/>
      <c r="C151" s="211"/>
      <c r="D151" s="33"/>
      <c r="E151" s="33"/>
      <c r="F151" s="33"/>
      <c r="G151" s="33"/>
      <c r="H151" s="46"/>
      <c r="I151" s="212"/>
      <c r="J151" s="212"/>
      <c r="K151" s="46"/>
      <c r="L151" s="46"/>
      <c r="M151" s="213"/>
      <c r="N151" s="200"/>
      <c r="O151" s="46"/>
      <c r="P151" s="46"/>
      <c r="Q151" s="46"/>
      <c r="R151" s="46"/>
      <c r="S151" s="46"/>
      <c r="T151" s="235"/>
      <c r="U151" s="235"/>
      <c r="V151" s="214"/>
      <c r="W151" s="34"/>
    </row>
    <row r="152" spans="1:23" x14ac:dyDescent="0.35">
      <c r="A152" s="46"/>
      <c r="B152" s="211"/>
      <c r="C152" s="211"/>
      <c r="D152" s="33"/>
      <c r="E152" s="33"/>
      <c r="F152" s="33"/>
      <c r="G152" s="33"/>
      <c r="H152" s="46"/>
      <c r="I152" s="212"/>
      <c r="J152" s="212"/>
      <c r="K152" s="46"/>
      <c r="L152" s="46"/>
      <c r="M152" s="213"/>
      <c r="N152" s="200"/>
      <c r="O152" s="46"/>
      <c r="P152" s="46"/>
      <c r="Q152" s="46"/>
      <c r="R152" s="46"/>
      <c r="S152" s="46"/>
      <c r="T152" s="235"/>
      <c r="U152" s="235"/>
      <c r="V152" s="214"/>
      <c r="W152" s="34"/>
    </row>
    <row r="153" spans="1:23" x14ac:dyDescent="0.35">
      <c r="A153" s="46"/>
      <c r="B153" s="211"/>
      <c r="C153" s="211"/>
      <c r="D153" s="33"/>
      <c r="E153" s="33"/>
      <c r="F153" s="33"/>
      <c r="G153" s="33"/>
      <c r="H153" s="46"/>
      <c r="I153" s="212"/>
      <c r="J153" s="212"/>
      <c r="K153" s="46"/>
      <c r="L153" s="46"/>
      <c r="M153" s="213"/>
      <c r="N153" s="200"/>
      <c r="O153" s="46"/>
      <c r="P153" s="46"/>
      <c r="Q153" s="46"/>
      <c r="R153" s="46"/>
      <c r="S153" s="46"/>
      <c r="T153" s="235"/>
      <c r="U153" s="235"/>
      <c r="V153" s="214"/>
      <c r="W153" s="34"/>
    </row>
    <row r="154" spans="1:23" x14ac:dyDescent="0.35">
      <c r="A154" s="46"/>
      <c r="B154" s="211"/>
      <c r="C154" s="211"/>
      <c r="D154" s="33"/>
      <c r="E154" s="33"/>
      <c r="F154" s="33"/>
      <c r="G154" s="33"/>
      <c r="H154" s="46"/>
      <c r="I154" s="212"/>
      <c r="J154" s="212"/>
      <c r="K154" s="46"/>
      <c r="L154" s="46"/>
      <c r="M154" s="213"/>
      <c r="N154" s="200"/>
      <c r="O154" s="46"/>
      <c r="P154" s="46"/>
      <c r="Q154" s="46"/>
      <c r="R154" s="46"/>
      <c r="S154" s="46"/>
      <c r="T154" s="235"/>
      <c r="U154" s="235"/>
      <c r="V154" s="214"/>
      <c r="W154" s="34"/>
    </row>
    <row r="155" spans="1:23" x14ac:dyDescent="0.35">
      <c r="A155" s="46"/>
      <c r="B155" s="211"/>
      <c r="C155" s="211"/>
      <c r="D155" s="33"/>
      <c r="E155" s="33"/>
      <c r="F155" s="33"/>
      <c r="G155" s="33"/>
      <c r="H155" s="46"/>
      <c r="I155" s="212"/>
      <c r="J155" s="212"/>
      <c r="K155" s="46"/>
      <c r="L155" s="46"/>
      <c r="M155" s="213"/>
      <c r="N155" s="200"/>
      <c r="O155" s="46"/>
      <c r="P155" s="46"/>
      <c r="Q155" s="46"/>
      <c r="R155" s="46"/>
      <c r="S155" s="46"/>
      <c r="T155" s="235"/>
      <c r="U155" s="235"/>
      <c r="V155" s="214"/>
      <c r="W155" s="34"/>
    </row>
    <row r="156" spans="1:23" x14ac:dyDescent="0.35">
      <c r="A156" s="46"/>
      <c r="B156" s="211"/>
      <c r="C156" s="211"/>
      <c r="D156" s="33"/>
      <c r="E156" s="33"/>
      <c r="F156" s="33"/>
      <c r="G156" s="33"/>
      <c r="H156" s="46"/>
      <c r="I156" s="212"/>
      <c r="J156" s="212"/>
      <c r="K156" s="46"/>
      <c r="L156" s="46"/>
      <c r="M156" s="213"/>
      <c r="N156" s="200"/>
      <c r="O156" s="46"/>
      <c r="P156" s="46"/>
      <c r="Q156" s="46"/>
      <c r="R156" s="46"/>
      <c r="S156" s="46"/>
      <c r="T156" s="235"/>
      <c r="U156" s="235"/>
      <c r="V156" s="214"/>
      <c r="W156" s="34"/>
    </row>
    <row r="157" spans="1:23" x14ac:dyDescent="0.35">
      <c r="A157" s="46"/>
      <c r="B157" s="211"/>
      <c r="C157" s="211"/>
      <c r="D157" s="33"/>
      <c r="E157" s="33"/>
      <c r="F157" s="33"/>
      <c r="G157" s="33"/>
      <c r="H157" s="46"/>
      <c r="I157" s="212"/>
      <c r="J157" s="212"/>
      <c r="K157" s="46"/>
      <c r="L157" s="46"/>
      <c r="M157" s="213"/>
      <c r="N157" s="200"/>
      <c r="O157" s="46"/>
      <c r="P157" s="46"/>
      <c r="Q157" s="46"/>
      <c r="R157" s="46"/>
      <c r="S157" s="46"/>
      <c r="T157" s="235"/>
      <c r="U157" s="235"/>
      <c r="V157" s="214"/>
      <c r="W157" s="34"/>
    </row>
    <row r="158" spans="1:23" x14ac:dyDescent="0.35">
      <c r="A158" s="46"/>
      <c r="B158" s="211"/>
      <c r="C158" s="211"/>
      <c r="D158" s="33"/>
      <c r="E158" s="33"/>
      <c r="F158" s="33"/>
      <c r="G158" s="33"/>
      <c r="H158" s="46"/>
      <c r="I158" s="212"/>
      <c r="J158" s="212"/>
      <c r="K158" s="46"/>
      <c r="L158" s="46"/>
      <c r="M158" s="213"/>
      <c r="N158" s="200"/>
      <c r="O158" s="46"/>
      <c r="P158" s="46"/>
      <c r="Q158" s="46"/>
      <c r="R158" s="46"/>
      <c r="S158" s="46"/>
      <c r="T158" s="235"/>
      <c r="U158" s="235"/>
      <c r="V158" s="214"/>
      <c r="W158" s="34"/>
    </row>
    <row r="159" spans="1:23" x14ac:dyDescent="0.35">
      <c r="A159" s="46"/>
      <c r="B159" s="211"/>
      <c r="C159" s="211"/>
      <c r="D159" s="33"/>
      <c r="E159" s="33"/>
      <c r="F159" s="33"/>
      <c r="G159" s="33"/>
      <c r="H159" s="46"/>
      <c r="I159" s="212"/>
      <c r="J159" s="212"/>
      <c r="K159" s="46"/>
      <c r="L159" s="46"/>
      <c r="M159" s="213"/>
      <c r="N159" s="200"/>
      <c r="O159" s="46"/>
      <c r="P159" s="46"/>
      <c r="Q159" s="46"/>
      <c r="R159" s="46"/>
      <c r="S159" s="46"/>
      <c r="T159" s="235"/>
      <c r="U159" s="235"/>
      <c r="V159" s="214"/>
      <c r="W159" s="34"/>
    </row>
    <row r="160" spans="1:23" x14ac:dyDescent="0.35">
      <c r="A160" s="46"/>
      <c r="B160" s="211"/>
      <c r="C160" s="211"/>
      <c r="D160" s="33"/>
      <c r="E160" s="33"/>
      <c r="F160" s="33"/>
      <c r="G160" s="33"/>
      <c r="H160" s="46"/>
      <c r="I160" s="212"/>
      <c r="J160" s="212"/>
      <c r="K160" s="46"/>
      <c r="L160" s="46"/>
      <c r="M160" s="213"/>
      <c r="N160" s="200"/>
      <c r="O160" s="46"/>
      <c r="P160" s="46"/>
      <c r="Q160" s="46"/>
      <c r="R160" s="46"/>
      <c r="S160" s="46"/>
      <c r="T160" s="235"/>
      <c r="U160" s="235"/>
      <c r="V160" s="214"/>
      <c r="W160" s="34"/>
    </row>
    <row r="161" spans="1:23" x14ac:dyDescent="0.35">
      <c r="A161" s="46"/>
      <c r="B161" s="211"/>
      <c r="C161" s="211"/>
      <c r="D161" s="33"/>
      <c r="E161" s="33"/>
      <c r="F161" s="33"/>
      <c r="G161" s="33"/>
      <c r="H161" s="46"/>
      <c r="I161" s="212"/>
      <c r="J161" s="212"/>
      <c r="K161" s="46"/>
      <c r="L161" s="46"/>
      <c r="M161" s="213"/>
      <c r="N161" s="200"/>
      <c r="O161" s="46"/>
      <c r="P161" s="46"/>
      <c r="Q161" s="46"/>
      <c r="R161" s="46"/>
      <c r="S161" s="46"/>
      <c r="T161" s="235"/>
      <c r="U161" s="235"/>
      <c r="V161" s="214"/>
      <c r="W161" s="34"/>
    </row>
    <row r="162" spans="1:23" x14ac:dyDescent="0.35">
      <c r="A162" s="46"/>
      <c r="B162" s="211"/>
      <c r="C162" s="211"/>
      <c r="D162" s="33"/>
      <c r="E162" s="33"/>
      <c r="F162" s="33"/>
      <c r="G162" s="33"/>
      <c r="H162" s="46"/>
      <c r="I162" s="212"/>
      <c r="J162" s="212"/>
      <c r="K162" s="46"/>
      <c r="L162" s="46"/>
      <c r="M162" s="213"/>
      <c r="N162" s="200"/>
      <c r="O162" s="46"/>
      <c r="P162" s="46"/>
      <c r="Q162" s="46"/>
      <c r="R162" s="46"/>
      <c r="S162" s="46"/>
      <c r="T162" s="235"/>
      <c r="U162" s="235"/>
      <c r="V162" s="214"/>
      <c r="W162" s="34"/>
    </row>
    <row r="163" spans="1:23" x14ac:dyDescent="0.35">
      <c r="A163" s="46"/>
      <c r="B163" s="211"/>
      <c r="C163" s="211"/>
      <c r="D163" s="33"/>
      <c r="E163" s="33"/>
      <c r="F163" s="33"/>
      <c r="G163" s="33"/>
      <c r="H163" s="46"/>
      <c r="I163" s="212"/>
      <c r="J163" s="212"/>
      <c r="K163" s="46"/>
      <c r="L163" s="46"/>
      <c r="M163" s="213"/>
      <c r="N163" s="200"/>
      <c r="O163" s="46"/>
      <c r="P163" s="46"/>
      <c r="Q163" s="46"/>
      <c r="R163" s="46"/>
      <c r="S163" s="46"/>
      <c r="T163" s="235"/>
      <c r="U163" s="235"/>
      <c r="V163" s="214"/>
      <c r="W163" s="34"/>
    </row>
    <row r="164" spans="1:23" x14ac:dyDescent="0.35">
      <c r="A164" s="46"/>
      <c r="B164" s="211"/>
      <c r="C164" s="211"/>
      <c r="D164" s="33"/>
      <c r="E164" s="33"/>
      <c r="F164" s="33"/>
      <c r="G164" s="33"/>
      <c r="H164" s="46"/>
      <c r="I164" s="212"/>
      <c r="J164" s="212"/>
      <c r="K164" s="46"/>
      <c r="L164" s="46"/>
      <c r="M164" s="213"/>
      <c r="N164" s="200"/>
      <c r="O164" s="46"/>
      <c r="P164" s="46"/>
      <c r="Q164" s="46"/>
      <c r="R164" s="46"/>
      <c r="S164" s="46"/>
      <c r="T164" s="235"/>
      <c r="U164" s="235"/>
      <c r="V164" s="214"/>
      <c r="W164" s="34"/>
    </row>
    <row r="165" spans="1:23" x14ac:dyDescent="0.35">
      <c r="A165" s="46"/>
      <c r="B165" s="211"/>
      <c r="C165" s="211"/>
      <c r="D165" s="33"/>
      <c r="E165" s="33"/>
      <c r="F165" s="33"/>
      <c r="G165" s="33"/>
      <c r="H165" s="46"/>
      <c r="I165" s="212"/>
      <c r="J165" s="212"/>
      <c r="K165" s="46"/>
      <c r="L165" s="46"/>
      <c r="M165" s="213"/>
      <c r="N165" s="200"/>
      <c r="O165" s="46"/>
      <c r="P165" s="46"/>
      <c r="Q165" s="46"/>
      <c r="R165" s="46"/>
      <c r="S165" s="46"/>
      <c r="T165" s="235"/>
      <c r="U165" s="235"/>
      <c r="V165" s="214"/>
      <c r="W165" s="34"/>
    </row>
    <row r="166" spans="1:23" x14ac:dyDescent="0.35">
      <c r="A166" s="46"/>
      <c r="B166" s="211"/>
      <c r="C166" s="211"/>
      <c r="D166" s="33"/>
      <c r="E166" s="33"/>
      <c r="F166" s="33"/>
      <c r="G166" s="33"/>
      <c r="H166" s="46"/>
      <c r="I166" s="212"/>
      <c r="J166" s="212"/>
      <c r="K166" s="46"/>
      <c r="L166" s="46"/>
      <c r="M166" s="213"/>
      <c r="N166" s="200"/>
      <c r="O166" s="46"/>
      <c r="P166" s="46"/>
      <c r="Q166" s="46"/>
      <c r="R166" s="46"/>
      <c r="S166" s="46"/>
      <c r="T166" s="235"/>
      <c r="U166" s="235"/>
      <c r="V166" s="214"/>
      <c r="W166" s="34"/>
    </row>
    <row r="167" spans="1:23" x14ac:dyDescent="0.35">
      <c r="A167" s="46"/>
      <c r="B167" s="211"/>
      <c r="C167" s="211"/>
      <c r="D167" s="33"/>
      <c r="E167" s="33"/>
      <c r="F167" s="33"/>
      <c r="G167" s="33"/>
      <c r="H167" s="46"/>
      <c r="I167" s="212"/>
      <c r="J167" s="212"/>
      <c r="K167" s="46"/>
      <c r="L167" s="46"/>
      <c r="M167" s="213"/>
      <c r="N167" s="200"/>
      <c r="O167" s="46"/>
      <c r="P167" s="46"/>
      <c r="Q167" s="46"/>
      <c r="R167" s="46"/>
      <c r="S167" s="46"/>
      <c r="T167" s="235"/>
      <c r="U167" s="235"/>
      <c r="V167" s="214"/>
      <c r="W167" s="34"/>
    </row>
    <row r="168" spans="1:23" x14ac:dyDescent="0.35">
      <c r="A168" s="46"/>
      <c r="B168" s="211"/>
      <c r="C168" s="211"/>
      <c r="D168" s="33"/>
      <c r="E168" s="33"/>
      <c r="F168" s="33"/>
      <c r="G168" s="33"/>
      <c r="H168" s="46"/>
      <c r="I168" s="212"/>
      <c r="J168" s="212"/>
      <c r="K168" s="46"/>
      <c r="L168" s="46"/>
      <c r="M168" s="213"/>
      <c r="N168" s="200"/>
      <c r="O168" s="46"/>
      <c r="P168" s="46"/>
      <c r="Q168" s="46"/>
      <c r="R168" s="46"/>
      <c r="S168" s="46"/>
      <c r="T168" s="235"/>
      <c r="U168" s="235"/>
      <c r="V168" s="214"/>
      <c r="W168" s="34"/>
    </row>
    <row r="169" spans="1:23" x14ac:dyDescent="0.35">
      <c r="A169" s="46"/>
      <c r="B169" s="211"/>
      <c r="C169" s="211"/>
      <c r="D169" s="33"/>
      <c r="E169" s="33"/>
      <c r="F169" s="33"/>
      <c r="G169" s="33"/>
      <c r="H169" s="46"/>
      <c r="I169" s="212"/>
      <c r="J169" s="212"/>
      <c r="K169" s="46"/>
      <c r="L169" s="46"/>
      <c r="M169" s="213"/>
      <c r="N169" s="200"/>
      <c r="O169" s="46"/>
      <c r="P169" s="46"/>
      <c r="Q169" s="46"/>
      <c r="R169" s="46"/>
      <c r="S169" s="46"/>
      <c r="T169" s="235"/>
      <c r="U169" s="235"/>
      <c r="V169" s="214"/>
      <c r="W169" s="34"/>
    </row>
    <row r="170" spans="1:23" x14ac:dyDescent="0.35">
      <c r="A170" s="46"/>
      <c r="B170" s="211"/>
      <c r="C170" s="211"/>
      <c r="D170" s="33"/>
      <c r="E170" s="33"/>
      <c r="F170" s="33"/>
      <c r="G170" s="33"/>
      <c r="H170" s="46"/>
      <c r="I170" s="212"/>
      <c r="J170" s="212"/>
      <c r="K170" s="46"/>
      <c r="L170" s="46"/>
      <c r="M170" s="213"/>
      <c r="N170" s="200"/>
      <c r="O170" s="46"/>
      <c r="P170" s="46"/>
      <c r="Q170" s="46"/>
      <c r="R170" s="46"/>
      <c r="S170" s="46"/>
      <c r="T170" s="235"/>
      <c r="U170" s="235"/>
      <c r="V170" s="214"/>
      <c r="W170" s="34"/>
    </row>
    <row r="171" spans="1:23" x14ac:dyDescent="0.35">
      <c r="A171" s="46"/>
      <c r="B171" s="211"/>
      <c r="C171" s="211"/>
      <c r="D171" s="33"/>
      <c r="E171" s="33"/>
      <c r="F171" s="33"/>
      <c r="G171" s="33"/>
      <c r="H171" s="46"/>
      <c r="I171" s="212"/>
      <c r="J171" s="212"/>
      <c r="K171" s="46"/>
      <c r="L171" s="46"/>
      <c r="M171" s="213"/>
      <c r="N171" s="200"/>
      <c r="O171" s="46"/>
      <c r="P171" s="46"/>
      <c r="Q171" s="46"/>
      <c r="R171" s="46"/>
      <c r="S171" s="46"/>
      <c r="T171" s="235"/>
      <c r="U171" s="235"/>
      <c r="V171" s="214"/>
      <c r="W171" s="34"/>
    </row>
    <row r="172" spans="1:23" x14ac:dyDescent="0.35">
      <c r="A172" s="46"/>
      <c r="B172" s="211"/>
      <c r="C172" s="211"/>
      <c r="D172" s="33"/>
      <c r="E172" s="33"/>
      <c r="F172" s="33"/>
      <c r="G172" s="33"/>
      <c r="H172" s="46"/>
      <c r="I172" s="212"/>
      <c r="J172" s="212"/>
      <c r="K172" s="46"/>
      <c r="L172" s="46"/>
      <c r="M172" s="213"/>
      <c r="N172" s="200"/>
      <c r="O172" s="46"/>
      <c r="P172" s="46"/>
      <c r="Q172" s="46"/>
      <c r="R172" s="46"/>
      <c r="S172" s="46"/>
      <c r="T172" s="235"/>
      <c r="U172" s="235"/>
      <c r="V172" s="214"/>
      <c r="W172" s="34"/>
    </row>
    <row r="173" spans="1:23" x14ac:dyDescent="0.35">
      <c r="A173" s="46"/>
      <c r="B173" s="211"/>
      <c r="C173" s="211"/>
      <c r="D173" s="33"/>
      <c r="E173" s="33"/>
      <c r="F173" s="33"/>
      <c r="G173" s="33"/>
      <c r="H173" s="46"/>
      <c r="I173" s="212"/>
      <c r="J173" s="212"/>
      <c r="K173" s="46"/>
      <c r="L173" s="46"/>
      <c r="M173" s="213"/>
      <c r="N173" s="200"/>
      <c r="O173" s="46"/>
      <c r="P173" s="46"/>
      <c r="Q173" s="46"/>
      <c r="R173" s="46"/>
      <c r="S173" s="46"/>
      <c r="T173" s="235"/>
      <c r="U173" s="235"/>
      <c r="V173" s="214"/>
      <c r="W173" s="34"/>
    </row>
    <row r="174" spans="1:23" x14ac:dyDescent="0.35">
      <c r="A174" s="46"/>
      <c r="B174" s="211"/>
      <c r="C174" s="211"/>
      <c r="D174" s="33"/>
      <c r="E174" s="33"/>
      <c r="F174" s="33"/>
      <c r="G174" s="33"/>
      <c r="H174" s="46"/>
      <c r="I174" s="212"/>
      <c r="J174" s="212"/>
      <c r="K174" s="46"/>
      <c r="L174" s="46"/>
      <c r="M174" s="213"/>
      <c r="N174" s="200"/>
      <c r="O174" s="46"/>
      <c r="P174" s="46"/>
      <c r="Q174" s="46"/>
      <c r="R174" s="46"/>
      <c r="S174" s="46"/>
      <c r="T174" s="235"/>
      <c r="U174" s="235"/>
      <c r="V174" s="214"/>
      <c r="W174" s="34"/>
    </row>
    <row r="175" spans="1:23" x14ac:dyDescent="0.35">
      <c r="A175" s="46"/>
      <c r="B175" s="211"/>
      <c r="C175" s="211"/>
      <c r="D175" s="33"/>
      <c r="E175" s="33"/>
      <c r="F175" s="33"/>
      <c r="G175" s="33"/>
      <c r="H175" s="46"/>
      <c r="I175" s="212"/>
      <c r="J175" s="212"/>
      <c r="K175" s="46"/>
      <c r="L175" s="46"/>
      <c r="M175" s="213"/>
      <c r="N175" s="200"/>
      <c r="O175" s="46"/>
      <c r="P175" s="46"/>
      <c r="Q175" s="46"/>
      <c r="R175" s="46"/>
      <c r="S175" s="46"/>
      <c r="T175" s="235"/>
      <c r="U175" s="235"/>
      <c r="V175" s="214"/>
      <c r="W175" s="34"/>
    </row>
    <row r="176" spans="1:23" x14ac:dyDescent="0.35">
      <c r="A176" s="46"/>
      <c r="B176" s="211"/>
      <c r="C176" s="211"/>
      <c r="D176" s="33"/>
      <c r="E176" s="33"/>
      <c r="F176" s="33"/>
      <c r="G176" s="33"/>
      <c r="H176" s="46"/>
      <c r="I176" s="212"/>
      <c r="J176" s="212"/>
      <c r="K176" s="46"/>
      <c r="L176" s="46"/>
      <c r="M176" s="213"/>
      <c r="N176" s="200"/>
      <c r="O176" s="46"/>
      <c r="P176" s="46"/>
      <c r="Q176" s="46"/>
      <c r="R176" s="46"/>
      <c r="S176" s="46"/>
      <c r="T176" s="235"/>
      <c r="U176" s="235"/>
      <c r="V176" s="214"/>
      <c r="W176" s="34"/>
    </row>
    <row r="177" spans="1:23" x14ac:dyDescent="0.35">
      <c r="A177" s="46"/>
      <c r="B177" s="211"/>
      <c r="C177" s="211"/>
      <c r="D177" s="33"/>
      <c r="E177" s="33"/>
      <c r="F177" s="33"/>
      <c r="G177" s="33"/>
      <c r="H177" s="46"/>
      <c r="I177" s="212"/>
      <c r="J177" s="212"/>
      <c r="K177" s="46"/>
      <c r="L177" s="46"/>
      <c r="M177" s="213"/>
      <c r="N177" s="200"/>
      <c r="O177" s="46"/>
      <c r="P177" s="46"/>
      <c r="Q177" s="46"/>
      <c r="R177" s="46"/>
      <c r="S177" s="46"/>
      <c r="T177" s="235"/>
      <c r="U177" s="235"/>
      <c r="V177" s="214"/>
      <c r="W177" s="34"/>
    </row>
    <row r="178" spans="1:23" x14ac:dyDescent="0.35">
      <c r="A178" s="46"/>
      <c r="B178" s="211"/>
      <c r="C178" s="211"/>
      <c r="D178" s="33"/>
      <c r="E178" s="33"/>
      <c r="F178" s="33"/>
      <c r="G178" s="33"/>
      <c r="H178" s="46"/>
      <c r="I178" s="212"/>
      <c r="J178" s="212"/>
      <c r="K178" s="46"/>
      <c r="L178" s="46"/>
      <c r="M178" s="213"/>
      <c r="N178" s="200"/>
      <c r="O178" s="46"/>
      <c r="P178" s="46"/>
      <c r="Q178" s="46"/>
      <c r="R178" s="46"/>
      <c r="S178" s="46"/>
      <c r="T178" s="235"/>
      <c r="U178" s="235"/>
      <c r="V178" s="214"/>
      <c r="W178" s="34"/>
    </row>
    <row r="179" spans="1:23" x14ac:dyDescent="0.35">
      <c r="A179" s="46"/>
      <c r="B179" s="211"/>
      <c r="C179" s="211"/>
      <c r="D179" s="33"/>
      <c r="E179" s="33"/>
      <c r="F179" s="33"/>
      <c r="G179" s="33"/>
      <c r="H179" s="46"/>
      <c r="I179" s="212"/>
      <c r="J179" s="212"/>
      <c r="K179" s="46"/>
      <c r="L179" s="46"/>
      <c r="M179" s="213"/>
      <c r="N179" s="200"/>
      <c r="O179" s="46"/>
      <c r="P179" s="46"/>
      <c r="Q179" s="46"/>
      <c r="R179" s="46"/>
      <c r="S179" s="46"/>
      <c r="T179" s="235"/>
      <c r="U179" s="235"/>
      <c r="V179" s="214"/>
      <c r="W179" s="34"/>
    </row>
    <row r="180" spans="1:23" x14ac:dyDescent="0.35">
      <c r="A180" s="46"/>
      <c r="B180" s="211"/>
      <c r="C180" s="211"/>
      <c r="D180" s="33"/>
      <c r="E180" s="33"/>
      <c r="F180" s="33"/>
      <c r="G180" s="33"/>
      <c r="H180" s="46"/>
      <c r="I180" s="212"/>
      <c r="J180" s="212"/>
      <c r="K180" s="46"/>
      <c r="L180" s="46"/>
      <c r="M180" s="213"/>
      <c r="N180" s="200"/>
      <c r="O180" s="46"/>
      <c r="P180" s="46"/>
      <c r="Q180" s="46"/>
      <c r="R180" s="46"/>
      <c r="S180" s="46"/>
      <c r="T180" s="235"/>
      <c r="U180" s="235"/>
      <c r="V180" s="214"/>
      <c r="W180" s="34"/>
    </row>
    <row r="181" spans="1:23" x14ac:dyDescent="0.35">
      <c r="A181" s="46"/>
      <c r="B181" s="211"/>
      <c r="C181" s="211"/>
      <c r="D181" s="33"/>
      <c r="E181" s="33"/>
      <c r="F181" s="33"/>
      <c r="G181" s="33"/>
      <c r="H181" s="46"/>
      <c r="I181" s="212"/>
      <c r="J181" s="212"/>
      <c r="K181" s="46"/>
      <c r="L181" s="46"/>
      <c r="M181" s="213"/>
      <c r="N181" s="200"/>
      <c r="O181" s="46"/>
      <c r="P181" s="46"/>
      <c r="Q181" s="46"/>
      <c r="R181" s="46"/>
      <c r="S181" s="46"/>
      <c r="T181" s="235"/>
      <c r="U181" s="235"/>
      <c r="V181" s="214"/>
      <c r="W181" s="34"/>
    </row>
    <row r="182" spans="1:23" x14ac:dyDescent="0.35">
      <c r="A182" s="46"/>
      <c r="B182" s="211"/>
      <c r="C182" s="211"/>
      <c r="D182" s="33"/>
      <c r="E182" s="33"/>
      <c r="F182" s="33"/>
      <c r="G182" s="33"/>
      <c r="H182" s="46"/>
      <c r="I182" s="212"/>
      <c r="J182" s="212"/>
      <c r="K182" s="46"/>
      <c r="L182" s="46"/>
      <c r="M182" s="213"/>
      <c r="N182" s="200"/>
      <c r="O182" s="46"/>
      <c r="P182" s="46"/>
      <c r="Q182" s="46"/>
      <c r="R182" s="46"/>
      <c r="S182" s="46"/>
      <c r="T182" s="235"/>
      <c r="U182" s="235"/>
      <c r="V182" s="214"/>
      <c r="W182" s="34"/>
    </row>
    <row r="183" spans="1:23" x14ac:dyDescent="0.35">
      <c r="A183" s="46"/>
      <c r="B183" s="211"/>
      <c r="C183" s="211"/>
      <c r="D183" s="33"/>
      <c r="E183" s="33"/>
      <c r="F183" s="33"/>
      <c r="G183" s="33"/>
      <c r="H183" s="46"/>
      <c r="I183" s="212"/>
      <c r="J183" s="212"/>
      <c r="K183" s="46"/>
      <c r="L183" s="46"/>
      <c r="M183" s="213"/>
      <c r="N183" s="200"/>
      <c r="O183" s="46"/>
      <c r="P183" s="46"/>
      <c r="Q183" s="46"/>
      <c r="R183" s="46"/>
      <c r="S183" s="46"/>
      <c r="T183" s="235"/>
      <c r="U183" s="235"/>
      <c r="V183" s="214"/>
      <c r="W183" s="34"/>
    </row>
    <row r="184" spans="1:23" x14ac:dyDescent="0.35">
      <c r="A184" s="46"/>
      <c r="B184" s="211"/>
      <c r="C184" s="211"/>
      <c r="D184" s="33"/>
      <c r="E184" s="33"/>
      <c r="F184" s="33"/>
      <c r="G184" s="33"/>
      <c r="H184" s="46"/>
      <c r="I184" s="212"/>
      <c r="J184" s="212"/>
      <c r="K184" s="46"/>
      <c r="L184" s="46"/>
      <c r="M184" s="213"/>
      <c r="N184" s="200"/>
      <c r="O184" s="46"/>
      <c r="P184" s="46"/>
      <c r="Q184" s="46"/>
      <c r="R184" s="46"/>
      <c r="S184" s="46"/>
      <c r="T184" s="235"/>
      <c r="U184" s="235"/>
      <c r="V184" s="214"/>
      <c r="W184" s="34"/>
    </row>
    <row r="185" spans="1:23" x14ac:dyDescent="0.35">
      <c r="A185" s="46"/>
      <c r="B185" s="211"/>
      <c r="C185" s="211"/>
      <c r="D185" s="33"/>
      <c r="E185" s="33"/>
      <c r="F185" s="33"/>
      <c r="G185" s="33"/>
      <c r="H185" s="46"/>
      <c r="I185" s="212"/>
      <c r="J185" s="212"/>
      <c r="K185" s="46"/>
      <c r="L185" s="46"/>
      <c r="M185" s="213"/>
      <c r="N185" s="200"/>
      <c r="O185" s="46"/>
      <c r="P185" s="46"/>
      <c r="Q185" s="46"/>
      <c r="R185" s="46"/>
      <c r="S185" s="46"/>
      <c r="T185" s="235"/>
      <c r="U185" s="235"/>
      <c r="V185" s="214"/>
      <c r="W185" s="34"/>
    </row>
    <row r="186" spans="1:23" x14ac:dyDescent="0.35">
      <c r="A186" s="46"/>
      <c r="B186" s="211"/>
      <c r="C186" s="211"/>
      <c r="D186" s="33"/>
      <c r="E186" s="33"/>
      <c r="F186" s="33"/>
      <c r="G186" s="33"/>
      <c r="H186" s="46"/>
      <c r="I186" s="212"/>
      <c r="J186" s="212"/>
      <c r="K186" s="46"/>
      <c r="L186" s="46"/>
      <c r="M186" s="213"/>
      <c r="N186" s="200"/>
      <c r="O186" s="46"/>
      <c r="P186" s="46"/>
      <c r="Q186" s="46"/>
      <c r="R186" s="46"/>
      <c r="S186" s="46"/>
      <c r="T186" s="235"/>
      <c r="U186" s="235"/>
      <c r="V186" s="214"/>
      <c r="W186" s="34"/>
    </row>
    <row r="187" spans="1:23" x14ac:dyDescent="0.35">
      <c r="A187" s="46"/>
      <c r="B187" s="211"/>
      <c r="C187" s="211"/>
      <c r="D187" s="33"/>
      <c r="E187" s="33"/>
      <c r="F187" s="33"/>
      <c r="G187" s="33"/>
      <c r="H187" s="46"/>
      <c r="I187" s="212"/>
      <c r="J187" s="212"/>
      <c r="K187" s="46"/>
      <c r="L187" s="46"/>
      <c r="M187" s="213"/>
      <c r="N187" s="200"/>
      <c r="O187" s="46"/>
      <c r="P187" s="46"/>
      <c r="Q187" s="46"/>
      <c r="R187" s="46"/>
      <c r="S187" s="46"/>
      <c r="T187" s="235"/>
      <c r="U187" s="235"/>
      <c r="V187" s="214"/>
      <c r="W187" s="34"/>
    </row>
    <row r="188" spans="1:23" x14ac:dyDescent="0.35">
      <c r="A188" s="46"/>
      <c r="B188" s="211"/>
      <c r="C188" s="211"/>
      <c r="D188" s="33"/>
      <c r="E188" s="33"/>
      <c r="F188" s="33"/>
      <c r="G188" s="33"/>
      <c r="H188" s="46"/>
      <c r="I188" s="212"/>
      <c r="J188" s="212"/>
      <c r="K188" s="46"/>
      <c r="L188" s="46"/>
      <c r="M188" s="213"/>
      <c r="N188" s="200"/>
      <c r="O188" s="46"/>
      <c r="P188" s="46"/>
      <c r="Q188" s="46"/>
      <c r="R188" s="46"/>
      <c r="S188" s="46"/>
      <c r="T188" s="235"/>
      <c r="U188" s="235"/>
      <c r="V188" s="214"/>
      <c r="W188" s="34"/>
    </row>
    <row r="189" spans="1:23" x14ac:dyDescent="0.35">
      <c r="A189" s="46"/>
      <c r="B189" s="211"/>
      <c r="C189" s="211"/>
      <c r="D189" s="33"/>
      <c r="E189" s="33"/>
      <c r="F189" s="33"/>
      <c r="G189" s="33"/>
      <c r="H189" s="46"/>
      <c r="I189" s="212"/>
      <c r="J189" s="212"/>
      <c r="K189" s="46"/>
      <c r="L189" s="46"/>
      <c r="M189" s="213"/>
      <c r="N189" s="200"/>
      <c r="O189" s="46"/>
      <c r="P189" s="46"/>
      <c r="Q189" s="46"/>
      <c r="R189" s="46"/>
      <c r="S189" s="46"/>
      <c r="T189" s="235"/>
      <c r="U189" s="235"/>
      <c r="V189" s="214"/>
      <c r="W189" s="34"/>
    </row>
    <row r="190" spans="1:23" x14ac:dyDescent="0.35">
      <c r="A190" s="46"/>
      <c r="B190" s="211"/>
      <c r="C190" s="211"/>
      <c r="D190" s="33"/>
      <c r="E190" s="33"/>
      <c r="F190" s="33"/>
      <c r="G190" s="33"/>
      <c r="H190" s="46"/>
      <c r="I190" s="212"/>
      <c r="J190" s="212"/>
      <c r="K190" s="46"/>
      <c r="L190" s="46"/>
      <c r="M190" s="213"/>
      <c r="N190" s="200"/>
      <c r="O190" s="46"/>
      <c r="P190" s="46"/>
      <c r="Q190" s="46"/>
      <c r="R190" s="46"/>
      <c r="S190" s="46"/>
      <c r="T190" s="235"/>
      <c r="U190" s="235"/>
      <c r="V190" s="214"/>
      <c r="W190" s="34"/>
    </row>
    <row r="191" spans="1:23" x14ac:dyDescent="0.35">
      <c r="A191" s="46"/>
      <c r="B191" s="211"/>
      <c r="C191" s="211"/>
      <c r="D191" s="33"/>
      <c r="E191" s="33"/>
      <c r="F191" s="33"/>
      <c r="G191" s="33"/>
      <c r="H191" s="46"/>
      <c r="I191" s="212"/>
      <c r="J191" s="212"/>
      <c r="K191" s="46"/>
      <c r="L191" s="46"/>
      <c r="M191" s="213"/>
      <c r="N191" s="200"/>
      <c r="O191" s="46"/>
      <c r="P191" s="46"/>
      <c r="Q191" s="46"/>
      <c r="R191" s="46"/>
      <c r="S191" s="46"/>
      <c r="T191" s="235"/>
      <c r="U191" s="235"/>
      <c r="V191" s="214"/>
      <c r="W191" s="34"/>
    </row>
    <row r="192" spans="1:23" x14ac:dyDescent="0.35">
      <c r="A192" s="46"/>
      <c r="B192" s="211"/>
      <c r="C192" s="211"/>
      <c r="D192" s="33"/>
      <c r="E192" s="33"/>
      <c r="F192" s="33"/>
      <c r="G192" s="33"/>
      <c r="H192" s="46"/>
      <c r="I192" s="212"/>
      <c r="J192" s="212"/>
      <c r="K192" s="46"/>
      <c r="L192" s="46"/>
      <c r="M192" s="213"/>
      <c r="N192" s="200"/>
      <c r="O192" s="46"/>
      <c r="P192" s="46"/>
      <c r="Q192" s="46"/>
      <c r="R192" s="46"/>
      <c r="S192" s="46"/>
      <c r="T192" s="235"/>
      <c r="U192" s="235"/>
      <c r="V192" s="214"/>
      <c r="W192" s="34"/>
    </row>
    <row r="193" spans="1:23" x14ac:dyDescent="0.35">
      <c r="A193" s="46"/>
      <c r="B193" s="211"/>
      <c r="C193" s="211"/>
      <c r="D193" s="33"/>
      <c r="E193" s="33"/>
      <c r="F193" s="33"/>
      <c r="G193" s="33"/>
      <c r="H193" s="46"/>
      <c r="I193" s="212"/>
      <c r="J193" s="212"/>
      <c r="K193" s="46"/>
      <c r="L193" s="46"/>
      <c r="M193" s="213"/>
      <c r="N193" s="200"/>
      <c r="O193" s="46"/>
      <c r="P193" s="46"/>
      <c r="Q193" s="46"/>
      <c r="R193" s="46"/>
      <c r="S193" s="46"/>
      <c r="T193" s="235"/>
      <c r="U193" s="235"/>
      <c r="V193" s="214"/>
      <c r="W193" s="34"/>
    </row>
    <row r="194" spans="1:23" x14ac:dyDescent="0.35">
      <c r="A194" s="46"/>
      <c r="B194" s="211"/>
      <c r="C194" s="211"/>
      <c r="D194" s="33"/>
      <c r="E194" s="33"/>
      <c r="F194" s="33"/>
      <c r="G194" s="33"/>
      <c r="H194" s="46"/>
      <c r="I194" s="212"/>
      <c r="J194" s="212"/>
      <c r="K194" s="46"/>
      <c r="L194" s="46"/>
      <c r="M194" s="213"/>
      <c r="N194" s="200"/>
      <c r="O194" s="46"/>
      <c r="P194" s="46"/>
      <c r="Q194" s="46"/>
      <c r="R194" s="46"/>
      <c r="S194" s="46"/>
      <c r="T194" s="235"/>
      <c r="U194" s="235"/>
      <c r="V194" s="214"/>
      <c r="W194" s="34"/>
    </row>
    <row r="195" spans="1:23" x14ac:dyDescent="0.35">
      <c r="A195" s="46"/>
      <c r="B195" s="211"/>
      <c r="C195" s="211"/>
      <c r="D195" s="33"/>
      <c r="E195" s="33"/>
      <c r="F195" s="33"/>
      <c r="G195" s="33"/>
      <c r="H195" s="46"/>
      <c r="I195" s="212"/>
      <c r="J195" s="212"/>
      <c r="K195" s="46"/>
      <c r="L195" s="46"/>
      <c r="M195" s="213"/>
      <c r="N195" s="200"/>
      <c r="O195" s="46"/>
      <c r="P195" s="46"/>
      <c r="Q195" s="46"/>
      <c r="R195" s="46"/>
      <c r="S195" s="46"/>
      <c r="T195" s="235"/>
      <c r="U195" s="235"/>
      <c r="V195" s="214"/>
      <c r="W195" s="34"/>
    </row>
    <row r="196" spans="1:23" x14ac:dyDescent="0.35">
      <c r="A196" s="46"/>
      <c r="B196" s="211"/>
      <c r="C196" s="211"/>
      <c r="D196" s="33"/>
      <c r="E196" s="33"/>
      <c r="F196" s="33"/>
      <c r="G196" s="33"/>
      <c r="H196" s="46"/>
      <c r="I196" s="212"/>
      <c r="J196" s="212"/>
      <c r="K196" s="46"/>
      <c r="L196" s="46"/>
      <c r="M196" s="213"/>
      <c r="N196" s="200"/>
      <c r="O196" s="46"/>
      <c r="P196" s="46"/>
      <c r="Q196" s="46"/>
      <c r="R196" s="46"/>
      <c r="S196" s="46"/>
      <c r="T196" s="235"/>
      <c r="U196" s="235"/>
      <c r="V196" s="214"/>
      <c r="W196" s="34"/>
    </row>
    <row r="197" spans="1:23" x14ac:dyDescent="0.35">
      <c r="A197" s="46"/>
      <c r="B197" s="211"/>
      <c r="C197" s="211"/>
      <c r="D197" s="33"/>
      <c r="E197" s="33"/>
      <c r="F197" s="33"/>
      <c r="G197" s="33"/>
      <c r="H197" s="46"/>
      <c r="I197" s="212"/>
      <c r="J197" s="212"/>
      <c r="K197" s="46"/>
      <c r="L197" s="46"/>
      <c r="M197" s="213"/>
      <c r="N197" s="200"/>
      <c r="O197" s="46"/>
      <c r="P197" s="46"/>
      <c r="Q197" s="46"/>
      <c r="R197" s="46"/>
      <c r="S197" s="46"/>
      <c r="T197" s="235"/>
      <c r="U197" s="235"/>
      <c r="V197" s="214"/>
      <c r="W197" s="34"/>
    </row>
    <row r="198" spans="1:23" x14ac:dyDescent="0.35">
      <c r="A198" s="46"/>
      <c r="B198" s="211"/>
      <c r="C198" s="211"/>
      <c r="D198" s="33"/>
      <c r="E198" s="33"/>
      <c r="F198" s="33"/>
      <c r="G198" s="33"/>
      <c r="H198" s="46"/>
      <c r="I198" s="212"/>
      <c r="J198" s="212"/>
      <c r="K198" s="46"/>
      <c r="L198" s="46"/>
      <c r="M198" s="213"/>
      <c r="N198" s="200"/>
      <c r="O198" s="46"/>
      <c r="P198" s="46"/>
      <c r="Q198" s="46"/>
      <c r="R198" s="46"/>
      <c r="S198" s="46"/>
      <c r="T198" s="235"/>
      <c r="U198" s="235"/>
      <c r="V198" s="214"/>
      <c r="W198" s="34"/>
    </row>
    <row r="199" spans="1:23" x14ac:dyDescent="0.35">
      <c r="A199" s="46"/>
      <c r="B199" s="211"/>
      <c r="C199" s="211"/>
      <c r="D199" s="33"/>
      <c r="E199" s="33"/>
      <c r="F199" s="33"/>
      <c r="G199" s="33"/>
      <c r="H199" s="46"/>
      <c r="I199" s="212"/>
      <c r="J199" s="212"/>
      <c r="K199" s="46"/>
      <c r="L199" s="46"/>
      <c r="M199" s="213"/>
      <c r="N199" s="200"/>
      <c r="O199" s="46"/>
      <c r="P199" s="46"/>
      <c r="Q199" s="46"/>
      <c r="R199" s="46"/>
      <c r="S199" s="46"/>
      <c r="T199" s="235"/>
      <c r="U199" s="235"/>
      <c r="V199" s="214"/>
      <c r="W199" s="34"/>
    </row>
    <row r="200" spans="1:23" x14ac:dyDescent="0.35">
      <c r="A200" s="46"/>
      <c r="B200" s="211"/>
      <c r="C200" s="211"/>
      <c r="D200" s="33"/>
      <c r="E200" s="33"/>
      <c r="F200" s="33"/>
      <c r="G200" s="33"/>
      <c r="H200" s="46"/>
      <c r="I200" s="212"/>
      <c r="J200" s="212"/>
      <c r="K200" s="46"/>
      <c r="L200" s="46"/>
      <c r="M200" s="213"/>
      <c r="N200" s="200"/>
      <c r="O200" s="46"/>
      <c r="P200" s="46"/>
      <c r="Q200" s="46"/>
      <c r="R200" s="46"/>
      <c r="S200" s="46"/>
      <c r="T200" s="235"/>
      <c r="U200" s="235"/>
      <c r="V200" s="214"/>
      <c r="W200" s="34"/>
    </row>
    <row r="201" spans="1:23" x14ac:dyDescent="0.35">
      <c r="A201" s="46"/>
      <c r="B201" s="211"/>
      <c r="C201" s="211"/>
      <c r="D201" s="33"/>
      <c r="E201" s="33"/>
      <c r="F201" s="33"/>
      <c r="G201" s="33"/>
      <c r="H201" s="46"/>
      <c r="I201" s="212"/>
      <c r="J201" s="212"/>
      <c r="K201" s="46"/>
      <c r="L201" s="46"/>
      <c r="M201" s="213"/>
      <c r="N201" s="200"/>
      <c r="O201" s="46"/>
      <c r="P201" s="46"/>
      <c r="Q201" s="46"/>
      <c r="R201" s="46"/>
      <c r="S201" s="46"/>
      <c r="T201" s="235"/>
      <c r="U201" s="235"/>
      <c r="V201" s="214"/>
      <c r="W201" s="34"/>
    </row>
    <row r="202" spans="1:23" x14ac:dyDescent="0.35">
      <c r="A202" s="46"/>
      <c r="B202" s="211"/>
      <c r="C202" s="211"/>
      <c r="D202" s="33"/>
      <c r="E202" s="33"/>
      <c r="F202" s="33"/>
      <c r="G202" s="33"/>
      <c r="H202" s="46"/>
      <c r="I202" s="212"/>
      <c r="J202" s="212"/>
      <c r="K202" s="46"/>
      <c r="L202" s="46"/>
      <c r="M202" s="213"/>
      <c r="N202" s="200"/>
      <c r="O202" s="46"/>
      <c r="P202" s="46"/>
      <c r="Q202" s="46"/>
      <c r="R202" s="46"/>
      <c r="S202" s="46"/>
      <c r="T202" s="235"/>
      <c r="U202" s="235"/>
      <c r="V202" s="214"/>
      <c r="W202" s="34"/>
    </row>
    <row r="203" spans="1:23" x14ac:dyDescent="0.35">
      <c r="A203" s="46"/>
      <c r="B203" s="211"/>
      <c r="C203" s="211"/>
      <c r="D203" s="33"/>
      <c r="E203" s="33"/>
      <c r="F203" s="33"/>
      <c r="G203" s="33"/>
      <c r="H203" s="46"/>
      <c r="I203" s="212"/>
      <c r="J203" s="212"/>
      <c r="K203" s="46"/>
      <c r="L203" s="46"/>
      <c r="M203" s="213"/>
      <c r="N203" s="200"/>
      <c r="O203" s="46"/>
      <c r="P203" s="46"/>
      <c r="Q203" s="46"/>
      <c r="R203" s="46"/>
      <c r="S203" s="46"/>
      <c r="T203" s="235"/>
      <c r="U203" s="235"/>
      <c r="V203" s="214"/>
      <c r="W203" s="34"/>
    </row>
    <row r="204" spans="1:23" x14ac:dyDescent="0.35">
      <c r="A204" s="46"/>
      <c r="B204" s="211"/>
      <c r="C204" s="211"/>
      <c r="D204" s="33"/>
      <c r="E204" s="33"/>
      <c r="F204" s="33"/>
      <c r="G204" s="33"/>
      <c r="H204" s="46"/>
      <c r="I204" s="212"/>
      <c r="J204" s="212"/>
      <c r="K204" s="46"/>
      <c r="L204" s="46"/>
      <c r="M204" s="213"/>
      <c r="N204" s="200"/>
      <c r="O204" s="46"/>
      <c r="P204" s="46"/>
      <c r="Q204" s="46"/>
      <c r="R204" s="46"/>
      <c r="S204" s="46"/>
      <c r="T204" s="235"/>
      <c r="U204" s="235"/>
      <c r="V204" s="214"/>
      <c r="W204" s="34"/>
    </row>
    <row r="205" spans="1:23" x14ac:dyDescent="0.35">
      <c r="A205" s="46"/>
      <c r="B205" s="211"/>
      <c r="C205" s="211"/>
      <c r="D205" s="33"/>
      <c r="E205" s="33"/>
      <c r="F205" s="33"/>
      <c r="G205" s="33"/>
      <c r="H205" s="46"/>
      <c r="I205" s="212"/>
      <c r="J205" s="212"/>
      <c r="K205" s="46"/>
      <c r="L205" s="46"/>
      <c r="M205" s="213"/>
      <c r="N205" s="200"/>
      <c r="O205" s="46"/>
      <c r="P205" s="46"/>
      <c r="Q205" s="46"/>
      <c r="R205" s="46"/>
      <c r="S205" s="46"/>
      <c r="T205" s="235"/>
      <c r="U205" s="235"/>
      <c r="V205" s="214"/>
      <c r="W205" s="34"/>
    </row>
    <row r="206" spans="1:23" x14ac:dyDescent="0.35">
      <c r="A206" s="46"/>
      <c r="B206" s="211"/>
      <c r="C206" s="211"/>
      <c r="D206" s="33"/>
      <c r="E206" s="33"/>
      <c r="F206" s="33"/>
      <c r="G206" s="33"/>
      <c r="H206" s="46"/>
      <c r="I206" s="212"/>
      <c r="J206" s="212"/>
      <c r="K206" s="46"/>
      <c r="L206" s="46"/>
      <c r="M206" s="213"/>
      <c r="N206" s="200"/>
      <c r="O206" s="46"/>
      <c r="P206" s="46"/>
      <c r="Q206" s="46"/>
      <c r="R206" s="46"/>
      <c r="S206" s="46"/>
      <c r="T206" s="235"/>
      <c r="U206" s="235"/>
      <c r="V206" s="214"/>
      <c r="W206" s="34"/>
    </row>
    <row r="207" spans="1:23" x14ac:dyDescent="0.35">
      <c r="A207" s="46"/>
      <c r="B207" s="211"/>
      <c r="C207" s="211"/>
      <c r="D207" s="33"/>
      <c r="E207" s="33"/>
      <c r="F207" s="33"/>
      <c r="G207" s="33"/>
      <c r="H207" s="46"/>
      <c r="I207" s="212"/>
      <c r="J207" s="212"/>
      <c r="K207" s="46"/>
      <c r="L207" s="46"/>
      <c r="M207" s="213"/>
      <c r="N207" s="200"/>
      <c r="O207" s="46"/>
      <c r="P207" s="46"/>
      <c r="Q207" s="46"/>
      <c r="R207" s="46"/>
      <c r="S207" s="46"/>
      <c r="T207" s="235"/>
      <c r="U207" s="235"/>
      <c r="V207" s="214"/>
      <c r="W207" s="34"/>
    </row>
    <row r="208" spans="1:23" x14ac:dyDescent="0.35">
      <c r="A208" s="46"/>
      <c r="B208" s="211"/>
      <c r="C208" s="211"/>
      <c r="D208" s="33"/>
      <c r="E208" s="33"/>
      <c r="F208" s="33"/>
      <c r="G208" s="33"/>
      <c r="H208" s="46"/>
      <c r="I208" s="212"/>
      <c r="J208" s="212"/>
      <c r="K208" s="46"/>
      <c r="L208" s="46"/>
      <c r="M208" s="213"/>
      <c r="N208" s="200"/>
      <c r="O208" s="46"/>
      <c r="P208" s="46"/>
      <c r="Q208" s="46"/>
      <c r="R208" s="46"/>
      <c r="S208" s="46"/>
      <c r="T208" s="235"/>
      <c r="U208" s="235"/>
      <c r="V208" s="214"/>
      <c r="W208" s="34"/>
    </row>
    <row r="209" spans="1:23" x14ac:dyDescent="0.35">
      <c r="A209" s="46"/>
      <c r="B209" s="211"/>
      <c r="C209" s="211"/>
      <c r="D209" s="33"/>
      <c r="E209" s="33"/>
      <c r="F209" s="33"/>
      <c r="G209" s="33"/>
      <c r="H209" s="46"/>
      <c r="I209" s="212"/>
      <c r="J209" s="212"/>
      <c r="K209" s="46"/>
      <c r="L209" s="46"/>
      <c r="M209" s="213"/>
      <c r="N209" s="200"/>
      <c r="O209" s="46"/>
      <c r="P209" s="46"/>
      <c r="Q209" s="46"/>
      <c r="R209" s="46"/>
      <c r="S209" s="46"/>
      <c r="T209" s="235"/>
      <c r="U209" s="235"/>
      <c r="V209" s="214"/>
      <c r="W209" s="34"/>
    </row>
    <row r="210" spans="1:23" x14ac:dyDescent="0.35">
      <c r="A210" s="46"/>
      <c r="B210" s="211"/>
      <c r="C210" s="211"/>
      <c r="D210" s="33"/>
      <c r="E210" s="33"/>
      <c r="F210" s="33"/>
      <c r="G210" s="33"/>
      <c r="H210" s="46"/>
      <c r="I210" s="212"/>
      <c r="J210" s="212"/>
      <c r="K210" s="46"/>
      <c r="L210" s="46"/>
      <c r="M210" s="213"/>
      <c r="N210" s="200"/>
      <c r="O210" s="46"/>
      <c r="P210" s="46"/>
      <c r="Q210" s="46"/>
      <c r="R210" s="46"/>
      <c r="S210" s="46"/>
      <c r="T210" s="235"/>
      <c r="U210" s="235"/>
      <c r="V210" s="214"/>
      <c r="W210" s="34"/>
    </row>
    <row r="211" spans="1:23" x14ac:dyDescent="0.35">
      <c r="A211" s="46"/>
      <c r="B211" s="211"/>
      <c r="C211" s="211"/>
      <c r="D211" s="33"/>
      <c r="E211" s="33"/>
      <c r="F211" s="33"/>
      <c r="G211" s="33"/>
      <c r="H211" s="46"/>
      <c r="I211" s="212"/>
      <c r="J211" s="212"/>
      <c r="K211" s="46"/>
      <c r="L211" s="46"/>
      <c r="M211" s="213"/>
      <c r="N211" s="200"/>
      <c r="O211" s="46"/>
      <c r="P211" s="46"/>
      <c r="Q211" s="46"/>
      <c r="R211" s="46"/>
      <c r="S211" s="46"/>
      <c r="T211" s="235"/>
      <c r="U211" s="235"/>
      <c r="V211" s="214"/>
      <c r="W211" s="34"/>
    </row>
    <row r="212" spans="1:23" x14ac:dyDescent="0.35">
      <c r="A212" s="46"/>
      <c r="B212" s="211"/>
      <c r="C212" s="211"/>
      <c r="D212" s="33"/>
      <c r="E212" s="33"/>
      <c r="F212" s="33"/>
      <c r="G212" s="33"/>
      <c r="H212" s="46"/>
      <c r="I212" s="212"/>
      <c r="J212" s="212"/>
      <c r="K212" s="46"/>
      <c r="L212" s="46"/>
      <c r="M212" s="213"/>
      <c r="N212" s="200"/>
      <c r="O212" s="46"/>
      <c r="P212" s="46"/>
      <c r="Q212" s="46"/>
      <c r="R212" s="46"/>
      <c r="S212" s="46"/>
      <c r="T212" s="235"/>
      <c r="U212" s="235"/>
      <c r="V212" s="214"/>
      <c r="W212" s="34"/>
    </row>
    <row r="213" spans="1:23" x14ac:dyDescent="0.35">
      <c r="A213" s="46"/>
      <c r="B213" s="211"/>
      <c r="C213" s="211"/>
      <c r="D213" s="33"/>
      <c r="E213" s="33"/>
      <c r="F213" s="33"/>
      <c r="G213" s="33"/>
      <c r="H213" s="46"/>
      <c r="I213" s="212"/>
      <c r="J213" s="212"/>
      <c r="K213" s="46"/>
      <c r="L213" s="46"/>
      <c r="M213" s="213"/>
      <c r="N213" s="200"/>
      <c r="O213" s="46"/>
      <c r="P213" s="46"/>
      <c r="Q213" s="46"/>
      <c r="R213" s="46"/>
      <c r="S213" s="46"/>
      <c r="T213" s="235"/>
      <c r="U213" s="235"/>
      <c r="V213" s="214"/>
      <c r="W213" s="34"/>
    </row>
    <row r="214" spans="1:23" x14ac:dyDescent="0.35">
      <c r="A214" s="46"/>
      <c r="B214" s="211"/>
      <c r="C214" s="211"/>
      <c r="D214" s="33"/>
      <c r="E214" s="33"/>
      <c r="F214" s="33"/>
      <c r="G214" s="33"/>
      <c r="H214" s="46"/>
      <c r="I214" s="212"/>
      <c r="J214" s="212"/>
      <c r="K214" s="46"/>
      <c r="L214" s="46"/>
      <c r="M214" s="213"/>
      <c r="N214" s="200"/>
      <c r="O214" s="46"/>
      <c r="P214" s="46"/>
      <c r="Q214" s="46"/>
      <c r="R214" s="46"/>
      <c r="S214" s="46"/>
      <c r="T214" s="235"/>
      <c r="U214" s="235"/>
      <c r="V214" s="214"/>
      <c r="W214" s="34"/>
    </row>
    <row r="215" spans="1:23" x14ac:dyDescent="0.35">
      <c r="A215" s="46"/>
      <c r="B215" s="211"/>
      <c r="C215" s="211"/>
      <c r="D215" s="33"/>
      <c r="E215" s="33"/>
      <c r="F215" s="33"/>
      <c r="G215" s="33"/>
      <c r="H215" s="46"/>
      <c r="I215" s="212"/>
      <c r="J215" s="212"/>
      <c r="K215" s="46"/>
      <c r="L215" s="46"/>
      <c r="M215" s="213"/>
      <c r="N215" s="200"/>
      <c r="O215" s="46"/>
      <c r="P215" s="46"/>
      <c r="Q215" s="46"/>
      <c r="R215" s="46"/>
      <c r="S215" s="46"/>
      <c r="T215" s="235"/>
      <c r="U215" s="235"/>
      <c r="V215" s="214"/>
      <c r="W215" s="34"/>
    </row>
    <row r="216" spans="1:23" x14ac:dyDescent="0.35">
      <c r="A216" s="46"/>
      <c r="B216" s="211"/>
      <c r="C216" s="211"/>
      <c r="D216" s="33"/>
      <c r="E216" s="33"/>
      <c r="F216" s="33"/>
      <c r="G216" s="33"/>
      <c r="H216" s="46"/>
      <c r="I216" s="212"/>
      <c r="J216" s="212"/>
      <c r="K216" s="46"/>
      <c r="L216" s="46"/>
      <c r="M216" s="213"/>
      <c r="N216" s="200"/>
      <c r="O216" s="46"/>
      <c r="P216" s="46"/>
      <c r="Q216" s="46"/>
      <c r="R216" s="46"/>
      <c r="S216" s="46"/>
      <c r="T216" s="235"/>
      <c r="U216" s="235"/>
      <c r="V216" s="214"/>
      <c r="W216" s="34"/>
    </row>
    <row r="217" spans="1:23" x14ac:dyDescent="0.35">
      <c r="A217" s="46"/>
      <c r="B217" s="211"/>
      <c r="C217" s="211"/>
      <c r="D217" s="33"/>
      <c r="E217" s="33"/>
      <c r="F217" s="33"/>
      <c r="G217" s="33"/>
      <c r="H217" s="46"/>
      <c r="I217" s="212"/>
      <c r="J217" s="212"/>
      <c r="K217" s="46"/>
      <c r="L217" s="46"/>
      <c r="M217" s="213"/>
      <c r="N217" s="200"/>
      <c r="O217" s="46"/>
      <c r="P217" s="46"/>
      <c r="Q217" s="46"/>
      <c r="R217" s="46"/>
      <c r="S217" s="46"/>
      <c r="T217" s="235"/>
      <c r="U217" s="235"/>
      <c r="V217" s="214"/>
      <c r="W217" s="34"/>
    </row>
    <row r="218" spans="1:23" x14ac:dyDescent="0.35">
      <c r="A218" s="46"/>
      <c r="B218" s="211"/>
      <c r="C218" s="211"/>
      <c r="D218" s="33"/>
      <c r="E218" s="33"/>
      <c r="F218" s="33"/>
      <c r="G218" s="33"/>
      <c r="H218" s="46"/>
      <c r="I218" s="212"/>
      <c r="J218" s="212"/>
      <c r="K218" s="46"/>
      <c r="L218" s="46"/>
      <c r="M218" s="213"/>
      <c r="N218" s="200"/>
      <c r="O218" s="46"/>
      <c r="P218" s="46"/>
      <c r="Q218" s="46"/>
      <c r="R218" s="46"/>
      <c r="S218" s="46"/>
      <c r="T218" s="235"/>
      <c r="U218" s="235"/>
      <c r="V218" s="214"/>
      <c r="W218" s="34"/>
    </row>
    <row r="219" spans="1:23" x14ac:dyDescent="0.35">
      <c r="A219" s="46"/>
      <c r="B219" s="211"/>
      <c r="C219" s="211"/>
      <c r="D219" s="33"/>
      <c r="E219" s="33"/>
      <c r="F219" s="33"/>
      <c r="G219" s="33"/>
      <c r="H219" s="46"/>
      <c r="I219" s="212"/>
      <c r="J219" s="212"/>
      <c r="K219" s="46"/>
      <c r="L219" s="46"/>
      <c r="M219" s="213"/>
      <c r="N219" s="200"/>
      <c r="O219" s="46"/>
      <c r="P219" s="46"/>
      <c r="Q219" s="46"/>
      <c r="R219" s="46"/>
      <c r="S219" s="46"/>
      <c r="T219" s="235"/>
      <c r="U219" s="235"/>
      <c r="V219" s="214"/>
      <c r="W219" s="34"/>
    </row>
    <row r="220" spans="1:23" x14ac:dyDescent="0.35">
      <c r="A220" s="46"/>
      <c r="B220" s="211"/>
      <c r="C220" s="211"/>
      <c r="D220" s="33"/>
      <c r="E220" s="33"/>
      <c r="F220" s="33"/>
      <c r="G220" s="33"/>
      <c r="H220" s="46"/>
      <c r="I220" s="212"/>
      <c r="J220" s="212"/>
      <c r="K220" s="46"/>
      <c r="L220" s="46"/>
      <c r="M220" s="213"/>
      <c r="N220" s="200"/>
      <c r="O220" s="46"/>
      <c r="P220" s="46"/>
      <c r="Q220" s="46"/>
      <c r="R220" s="46"/>
      <c r="S220" s="46"/>
      <c r="T220" s="235"/>
      <c r="U220" s="235"/>
      <c r="V220" s="214"/>
      <c r="W220" s="34"/>
    </row>
    <row r="221" spans="1:23" x14ac:dyDescent="0.35">
      <c r="A221" s="46"/>
      <c r="B221" s="211"/>
      <c r="C221" s="211"/>
      <c r="D221" s="33"/>
      <c r="E221" s="33"/>
      <c r="F221" s="33"/>
      <c r="G221" s="33"/>
      <c r="H221" s="46"/>
      <c r="I221" s="212"/>
      <c r="J221" s="212"/>
      <c r="K221" s="46"/>
      <c r="L221" s="46"/>
      <c r="M221" s="213"/>
      <c r="N221" s="200"/>
      <c r="O221" s="46"/>
      <c r="P221" s="46"/>
      <c r="Q221" s="46"/>
      <c r="R221" s="46"/>
      <c r="S221" s="46"/>
      <c r="T221" s="235"/>
      <c r="U221" s="235"/>
      <c r="V221" s="214"/>
      <c r="W221" s="34"/>
    </row>
    <row r="222" spans="1:23" x14ac:dyDescent="0.35">
      <c r="A222" s="46"/>
      <c r="B222" s="211"/>
      <c r="C222" s="211"/>
      <c r="D222" s="33"/>
      <c r="E222" s="33"/>
      <c r="F222" s="33"/>
      <c r="G222" s="33"/>
      <c r="H222" s="46"/>
      <c r="I222" s="212"/>
      <c r="J222" s="212"/>
      <c r="K222" s="46"/>
      <c r="L222" s="46"/>
      <c r="M222" s="213"/>
      <c r="N222" s="200"/>
      <c r="O222" s="46"/>
      <c r="P222" s="46"/>
      <c r="Q222" s="46"/>
      <c r="R222" s="46"/>
      <c r="S222" s="46"/>
      <c r="T222" s="235"/>
      <c r="U222" s="235"/>
      <c r="V222" s="214"/>
      <c r="W222" s="34"/>
    </row>
    <row r="223" spans="1:23" x14ac:dyDescent="0.35">
      <c r="A223" s="46"/>
      <c r="B223" s="211"/>
      <c r="C223" s="211"/>
      <c r="D223" s="33"/>
      <c r="E223" s="33"/>
      <c r="F223" s="33"/>
      <c r="G223" s="33"/>
      <c r="H223" s="46"/>
      <c r="I223" s="212"/>
      <c r="J223" s="212"/>
      <c r="K223" s="46"/>
      <c r="L223" s="46"/>
      <c r="M223" s="213"/>
      <c r="N223" s="200"/>
      <c r="O223" s="46"/>
      <c r="P223" s="46"/>
      <c r="Q223" s="46"/>
      <c r="R223" s="46"/>
      <c r="S223" s="46"/>
      <c r="T223" s="235"/>
      <c r="U223" s="235"/>
      <c r="V223" s="214"/>
      <c r="W223" s="34"/>
    </row>
    <row r="224" spans="1:23" x14ac:dyDescent="0.35">
      <c r="A224" s="46"/>
      <c r="B224" s="211"/>
      <c r="C224" s="211"/>
      <c r="D224" s="33"/>
      <c r="E224" s="33"/>
      <c r="F224" s="33"/>
      <c r="G224" s="33"/>
      <c r="H224" s="46"/>
      <c r="I224" s="212"/>
      <c r="J224" s="212"/>
      <c r="K224" s="46"/>
      <c r="L224" s="46"/>
      <c r="M224" s="213"/>
      <c r="N224" s="200"/>
      <c r="O224" s="46"/>
      <c r="P224" s="46"/>
      <c r="Q224" s="46"/>
      <c r="R224" s="46"/>
      <c r="S224" s="46"/>
      <c r="T224" s="235"/>
      <c r="U224" s="235"/>
      <c r="V224" s="214"/>
      <c r="W224" s="34"/>
    </row>
    <row r="225" spans="1:23" x14ac:dyDescent="0.35">
      <c r="A225" s="46"/>
      <c r="B225" s="211"/>
      <c r="C225" s="211"/>
      <c r="D225" s="33"/>
      <c r="E225" s="33"/>
      <c r="F225" s="33"/>
      <c r="G225" s="33"/>
      <c r="H225" s="46"/>
      <c r="I225" s="212"/>
      <c r="J225" s="212"/>
      <c r="K225" s="46"/>
      <c r="L225" s="46"/>
      <c r="M225" s="213"/>
      <c r="N225" s="200"/>
      <c r="O225" s="46"/>
      <c r="P225" s="46"/>
      <c r="Q225" s="46"/>
      <c r="R225" s="46"/>
      <c r="S225" s="46"/>
      <c r="T225" s="235"/>
      <c r="U225" s="235"/>
      <c r="V225" s="214"/>
      <c r="W225" s="34"/>
    </row>
    <row r="226" spans="1:23" x14ac:dyDescent="0.35">
      <c r="A226" s="46"/>
      <c r="B226" s="211"/>
      <c r="C226" s="211"/>
      <c r="D226" s="33"/>
      <c r="E226" s="33"/>
      <c r="F226" s="33"/>
      <c r="G226" s="33"/>
      <c r="H226" s="46"/>
      <c r="I226" s="212"/>
      <c r="J226" s="212"/>
      <c r="K226" s="46"/>
      <c r="L226" s="46"/>
      <c r="M226" s="213"/>
      <c r="N226" s="200"/>
      <c r="O226" s="46"/>
      <c r="P226" s="46"/>
      <c r="Q226" s="46"/>
      <c r="R226" s="46"/>
      <c r="S226" s="46"/>
      <c r="T226" s="235"/>
      <c r="U226" s="235"/>
      <c r="V226" s="214"/>
      <c r="W226" s="34"/>
    </row>
    <row r="227" spans="1:23" x14ac:dyDescent="0.35">
      <c r="A227" s="46"/>
      <c r="B227" s="211"/>
      <c r="C227" s="211"/>
      <c r="D227" s="33"/>
      <c r="E227" s="33"/>
      <c r="F227" s="33"/>
      <c r="G227" s="33"/>
      <c r="H227" s="46"/>
      <c r="I227" s="212"/>
      <c r="J227" s="212"/>
      <c r="K227" s="46"/>
      <c r="L227" s="46"/>
      <c r="M227" s="213"/>
      <c r="N227" s="200"/>
      <c r="O227" s="46"/>
      <c r="P227" s="46"/>
      <c r="Q227" s="46"/>
      <c r="R227" s="46"/>
      <c r="S227" s="46"/>
      <c r="T227" s="235"/>
      <c r="U227" s="235"/>
      <c r="V227" s="214"/>
      <c r="W227" s="34"/>
    </row>
    <row r="228" spans="1:23" x14ac:dyDescent="0.35">
      <c r="A228" s="46"/>
      <c r="B228" s="211"/>
      <c r="C228" s="211"/>
      <c r="D228" s="33"/>
      <c r="E228" s="33"/>
      <c r="F228" s="33"/>
      <c r="G228" s="33"/>
      <c r="H228" s="46"/>
      <c r="I228" s="212"/>
      <c r="J228" s="212"/>
      <c r="K228" s="46"/>
      <c r="L228" s="46"/>
      <c r="M228" s="213"/>
      <c r="N228" s="200"/>
      <c r="O228" s="46"/>
      <c r="P228" s="46"/>
      <c r="Q228" s="46"/>
      <c r="R228" s="46"/>
      <c r="S228" s="46"/>
      <c r="T228" s="235"/>
      <c r="U228" s="235"/>
      <c r="V228" s="214"/>
      <c r="W228" s="34"/>
    </row>
    <row r="229" spans="1:23" x14ac:dyDescent="0.35">
      <c r="A229" s="46"/>
      <c r="B229" s="211"/>
      <c r="C229" s="211"/>
      <c r="D229" s="33"/>
      <c r="E229" s="33"/>
      <c r="F229" s="33"/>
      <c r="G229" s="33"/>
      <c r="H229" s="46"/>
      <c r="I229" s="212"/>
      <c r="J229" s="212"/>
      <c r="K229" s="46"/>
      <c r="L229" s="46"/>
      <c r="M229" s="213"/>
      <c r="N229" s="200"/>
      <c r="O229" s="46"/>
      <c r="P229" s="46"/>
      <c r="Q229" s="46"/>
      <c r="R229" s="46"/>
      <c r="S229" s="46"/>
      <c r="T229" s="235"/>
      <c r="U229" s="235"/>
      <c r="V229" s="214"/>
      <c r="W229" s="34"/>
    </row>
    <row r="230" spans="1:23" x14ac:dyDescent="0.35">
      <c r="A230" s="46"/>
      <c r="B230" s="211"/>
      <c r="C230" s="211"/>
      <c r="D230" s="33"/>
      <c r="E230" s="33"/>
      <c r="F230" s="33"/>
      <c r="G230" s="33"/>
      <c r="H230" s="46"/>
      <c r="I230" s="212"/>
      <c r="J230" s="212"/>
      <c r="K230" s="46"/>
      <c r="L230" s="46"/>
      <c r="M230" s="213"/>
      <c r="N230" s="200"/>
      <c r="O230" s="46"/>
      <c r="P230" s="46"/>
      <c r="Q230" s="46"/>
      <c r="R230" s="46"/>
      <c r="S230" s="46"/>
      <c r="T230" s="235"/>
      <c r="U230" s="235"/>
      <c r="V230" s="214"/>
      <c r="W230" s="34"/>
    </row>
    <row r="231" spans="1:23" x14ac:dyDescent="0.35">
      <c r="A231" s="46"/>
      <c r="B231" s="211"/>
      <c r="C231" s="211"/>
      <c r="D231" s="33"/>
      <c r="E231" s="33"/>
      <c r="F231" s="33"/>
      <c r="G231" s="33"/>
      <c r="H231" s="46"/>
      <c r="I231" s="212"/>
      <c r="J231" s="212"/>
      <c r="K231" s="46"/>
      <c r="L231" s="46"/>
      <c r="M231" s="213"/>
      <c r="N231" s="200"/>
      <c r="O231" s="46"/>
      <c r="P231" s="46"/>
      <c r="Q231" s="46"/>
      <c r="R231" s="46"/>
      <c r="S231" s="46"/>
      <c r="T231" s="235"/>
      <c r="U231" s="235"/>
      <c r="V231" s="214"/>
      <c r="W231" s="34"/>
    </row>
    <row r="232" spans="1:23" x14ac:dyDescent="0.35">
      <c r="A232" s="46"/>
      <c r="B232" s="211"/>
      <c r="C232" s="211"/>
      <c r="D232" s="33"/>
      <c r="E232" s="33"/>
      <c r="F232" s="33"/>
      <c r="G232" s="33"/>
      <c r="H232" s="46"/>
      <c r="I232" s="212"/>
      <c r="J232" s="212"/>
      <c r="K232" s="46"/>
      <c r="L232" s="46"/>
      <c r="M232" s="213"/>
      <c r="N232" s="200"/>
      <c r="O232" s="46"/>
      <c r="P232" s="46"/>
      <c r="Q232" s="46"/>
      <c r="R232" s="46"/>
      <c r="S232" s="46"/>
      <c r="T232" s="235"/>
      <c r="U232" s="235"/>
      <c r="V232" s="214"/>
      <c r="W232" s="34"/>
    </row>
    <row r="233" spans="1:23" x14ac:dyDescent="0.35">
      <c r="A233" s="46"/>
      <c r="B233" s="211"/>
      <c r="C233" s="211"/>
      <c r="D233" s="33"/>
      <c r="E233" s="33"/>
      <c r="F233" s="33"/>
      <c r="G233" s="33"/>
      <c r="H233" s="46"/>
      <c r="I233" s="212"/>
      <c r="J233" s="212"/>
      <c r="K233" s="46"/>
      <c r="L233" s="46"/>
      <c r="M233" s="213"/>
      <c r="N233" s="200"/>
      <c r="O233" s="46"/>
      <c r="P233" s="46"/>
      <c r="Q233" s="46"/>
      <c r="R233" s="46"/>
      <c r="S233" s="46"/>
      <c r="T233" s="235"/>
      <c r="U233" s="235"/>
      <c r="V233" s="214"/>
      <c r="W233" s="34"/>
    </row>
    <row r="234" spans="1:23" x14ac:dyDescent="0.35">
      <c r="A234" s="46"/>
      <c r="B234" s="211"/>
      <c r="C234" s="211"/>
      <c r="D234" s="33"/>
      <c r="E234" s="33"/>
      <c r="F234" s="33"/>
      <c r="G234" s="33"/>
      <c r="H234" s="46"/>
      <c r="I234" s="212"/>
      <c r="J234" s="212"/>
      <c r="K234" s="46"/>
      <c r="L234" s="46"/>
      <c r="M234" s="213"/>
      <c r="N234" s="200"/>
      <c r="O234" s="46"/>
      <c r="P234" s="46"/>
      <c r="Q234" s="46"/>
      <c r="R234" s="46"/>
      <c r="S234" s="46"/>
      <c r="T234" s="235"/>
      <c r="U234" s="235"/>
      <c r="V234" s="214"/>
      <c r="W234" s="34"/>
    </row>
    <row r="235" spans="1:23" x14ac:dyDescent="0.35">
      <c r="A235" s="46"/>
      <c r="B235" s="211"/>
      <c r="C235" s="211"/>
      <c r="D235" s="33"/>
      <c r="E235" s="33"/>
      <c r="F235" s="33"/>
      <c r="G235" s="33"/>
      <c r="H235" s="46"/>
      <c r="I235" s="212"/>
      <c r="J235" s="212"/>
      <c r="K235" s="46"/>
      <c r="L235" s="46"/>
      <c r="M235" s="213"/>
      <c r="N235" s="200"/>
      <c r="O235" s="46"/>
      <c r="P235" s="46"/>
      <c r="Q235" s="46"/>
      <c r="R235" s="46"/>
      <c r="S235" s="46"/>
      <c r="T235" s="235"/>
      <c r="U235" s="235"/>
      <c r="V235" s="214"/>
      <c r="W235" s="34"/>
    </row>
    <row r="236" spans="1:23" x14ac:dyDescent="0.35">
      <c r="A236" s="46"/>
      <c r="B236" s="211"/>
      <c r="C236" s="211"/>
      <c r="D236" s="33"/>
      <c r="E236" s="33"/>
      <c r="F236" s="33"/>
      <c r="G236" s="33"/>
      <c r="H236" s="46"/>
      <c r="I236" s="212"/>
      <c r="J236" s="212"/>
      <c r="K236" s="46"/>
      <c r="L236" s="46"/>
      <c r="M236" s="213"/>
      <c r="N236" s="200"/>
      <c r="O236" s="46"/>
      <c r="P236" s="46"/>
      <c r="Q236" s="46"/>
      <c r="R236" s="46"/>
      <c r="S236" s="46"/>
      <c r="T236" s="235"/>
      <c r="U236" s="235"/>
      <c r="V236" s="214"/>
      <c r="W236" s="34"/>
    </row>
    <row r="237" spans="1:23" x14ac:dyDescent="0.35">
      <c r="A237" s="46"/>
      <c r="B237" s="211"/>
      <c r="C237" s="211"/>
      <c r="D237" s="33"/>
      <c r="E237" s="33"/>
      <c r="F237" s="33"/>
      <c r="G237" s="33"/>
      <c r="H237" s="46"/>
      <c r="I237" s="212"/>
      <c r="J237" s="212"/>
      <c r="K237" s="46"/>
      <c r="L237" s="46"/>
      <c r="M237" s="213"/>
      <c r="N237" s="200"/>
      <c r="O237" s="46"/>
      <c r="P237" s="46"/>
      <c r="Q237" s="46"/>
      <c r="R237" s="46"/>
      <c r="S237" s="46"/>
      <c r="T237" s="235"/>
      <c r="U237" s="235"/>
      <c r="V237" s="214"/>
      <c r="W237" s="34"/>
    </row>
    <row r="238" spans="1:23" x14ac:dyDescent="0.35">
      <c r="A238" s="46"/>
      <c r="B238" s="211"/>
      <c r="C238" s="211"/>
      <c r="D238" s="33"/>
      <c r="E238" s="33"/>
      <c r="F238" s="33"/>
      <c r="G238" s="33"/>
      <c r="H238" s="46"/>
      <c r="I238" s="212"/>
      <c r="J238" s="212"/>
      <c r="K238" s="46"/>
      <c r="L238" s="46"/>
      <c r="M238" s="213"/>
      <c r="N238" s="200"/>
      <c r="O238" s="46"/>
      <c r="P238" s="46"/>
      <c r="Q238" s="46"/>
      <c r="R238" s="46"/>
      <c r="S238" s="46"/>
      <c r="T238" s="235"/>
      <c r="U238" s="235"/>
      <c r="V238" s="214"/>
      <c r="W238" s="34"/>
    </row>
    <row r="239" spans="1:23" x14ac:dyDescent="0.35">
      <c r="A239" s="46"/>
      <c r="B239" s="211"/>
      <c r="C239" s="211"/>
      <c r="D239" s="33"/>
      <c r="E239" s="33"/>
      <c r="F239" s="33"/>
      <c r="G239" s="33"/>
      <c r="H239" s="46"/>
      <c r="I239" s="212"/>
      <c r="J239" s="212"/>
      <c r="K239" s="46"/>
      <c r="L239" s="46"/>
      <c r="M239" s="213"/>
      <c r="N239" s="200"/>
      <c r="O239" s="46"/>
      <c r="P239" s="46"/>
      <c r="Q239" s="46"/>
      <c r="R239" s="46"/>
      <c r="S239" s="46"/>
      <c r="T239" s="235"/>
      <c r="U239" s="235"/>
      <c r="V239" s="214"/>
      <c r="W239" s="34"/>
    </row>
    <row r="240" spans="1:23" x14ac:dyDescent="0.35">
      <c r="A240" s="46"/>
      <c r="B240" s="211"/>
      <c r="C240" s="211"/>
      <c r="D240" s="33"/>
      <c r="E240" s="33"/>
      <c r="F240" s="33"/>
      <c r="G240" s="33"/>
      <c r="H240" s="46"/>
      <c r="I240" s="212"/>
      <c r="J240" s="212"/>
      <c r="K240" s="46"/>
      <c r="L240" s="46"/>
      <c r="M240" s="213"/>
      <c r="N240" s="200"/>
      <c r="O240" s="46"/>
      <c r="P240" s="46"/>
      <c r="Q240" s="46"/>
      <c r="R240" s="46"/>
      <c r="S240" s="46"/>
      <c r="T240" s="235"/>
      <c r="U240" s="235"/>
      <c r="V240" s="214"/>
      <c r="W240" s="34"/>
    </row>
    <row r="241" spans="1:23" x14ac:dyDescent="0.35">
      <c r="A241" s="46"/>
      <c r="B241" s="211"/>
      <c r="C241" s="211"/>
      <c r="D241" s="33"/>
      <c r="E241" s="33"/>
      <c r="F241" s="33"/>
      <c r="G241" s="33"/>
      <c r="H241" s="46"/>
      <c r="I241" s="212"/>
      <c r="J241" s="212"/>
      <c r="K241" s="46"/>
      <c r="L241" s="46"/>
      <c r="M241" s="213"/>
      <c r="N241" s="200"/>
      <c r="O241" s="46"/>
      <c r="P241" s="46"/>
      <c r="Q241" s="46"/>
      <c r="R241" s="46"/>
      <c r="S241" s="46"/>
      <c r="T241" s="235"/>
      <c r="U241" s="235"/>
      <c r="V241" s="214"/>
      <c r="W241" s="34"/>
    </row>
    <row r="242" spans="1:23" x14ac:dyDescent="0.35">
      <c r="A242" s="46"/>
      <c r="B242" s="211"/>
      <c r="C242" s="211"/>
      <c r="D242" s="33"/>
      <c r="E242" s="33"/>
      <c r="F242" s="33"/>
      <c r="G242" s="33"/>
      <c r="H242" s="46"/>
      <c r="I242" s="212"/>
      <c r="J242" s="212"/>
      <c r="K242" s="46"/>
      <c r="L242" s="46"/>
      <c r="M242" s="213"/>
      <c r="N242" s="200"/>
      <c r="O242" s="46"/>
      <c r="P242" s="46"/>
      <c r="Q242" s="46"/>
      <c r="R242" s="46"/>
      <c r="S242" s="46"/>
      <c r="T242" s="235"/>
      <c r="U242" s="235"/>
      <c r="V242" s="214"/>
      <c r="W242" s="34"/>
    </row>
    <row r="243" spans="1:23" x14ac:dyDescent="0.35">
      <c r="A243" s="46"/>
      <c r="B243" s="211"/>
      <c r="C243" s="211"/>
      <c r="D243" s="33"/>
      <c r="E243" s="33"/>
      <c r="F243" s="33"/>
      <c r="G243" s="33"/>
      <c r="H243" s="46"/>
      <c r="I243" s="212"/>
      <c r="J243" s="212"/>
      <c r="K243" s="46"/>
      <c r="L243" s="46"/>
      <c r="M243" s="213"/>
      <c r="N243" s="200"/>
      <c r="O243" s="46"/>
      <c r="P243" s="46"/>
      <c r="Q243" s="46"/>
      <c r="R243" s="46"/>
      <c r="S243" s="46"/>
      <c r="T243" s="235"/>
      <c r="U243" s="235"/>
      <c r="V243" s="214"/>
      <c r="W243" s="34"/>
    </row>
    <row r="244" spans="1:23" x14ac:dyDescent="0.35">
      <c r="A244" s="46"/>
      <c r="B244" s="211"/>
      <c r="C244" s="211"/>
      <c r="D244" s="33"/>
      <c r="E244" s="33"/>
      <c r="F244" s="33"/>
      <c r="G244" s="33"/>
      <c r="H244" s="46"/>
      <c r="I244" s="212"/>
      <c r="J244" s="212"/>
      <c r="K244" s="46"/>
      <c r="L244" s="46"/>
      <c r="M244" s="213"/>
      <c r="N244" s="200"/>
      <c r="O244" s="46"/>
      <c r="P244" s="46"/>
      <c r="Q244" s="46"/>
      <c r="R244" s="46"/>
      <c r="S244" s="46"/>
      <c r="T244" s="235"/>
      <c r="U244" s="235"/>
      <c r="V244" s="214"/>
      <c r="W244" s="34"/>
    </row>
    <row r="245" spans="1:23" x14ac:dyDescent="0.35">
      <c r="A245" s="46"/>
      <c r="B245" s="211"/>
      <c r="C245" s="211"/>
      <c r="D245" s="33"/>
      <c r="E245" s="33"/>
      <c r="F245" s="33"/>
      <c r="G245" s="33"/>
      <c r="H245" s="46"/>
      <c r="I245" s="212"/>
      <c r="J245" s="212"/>
      <c r="K245" s="46"/>
      <c r="L245" s="46"/>
      <c r="M245" s="213"/>
      <c r="N245" s="200"/>
      <c r="O245" s="46"/>
      <c r="P245" s="46"/>
      <c r="Q245" s="46"/>
      <c r="R245" s="46"/>
      <c r="S245" s="46"/>
      <c r="T245" s="235"/>
      <c r="U245" s="235"/>
      <c r="V245" s="214"/>
      <c r="W245" s="34"/>
    </row>
    <row r="246" spans="1:23" x14ac:dyDescent="0.35">
      <c r="A246" s="46"/>
      <c r="B246" s="211"/>
      <c r="C246" s="211"/>
      <c r="D246" s="33"/>
      <c r="E246" s="33"/>
      <c r="F246" s="33"/>
      <c r="G246" s="33"/>
      <c r="H246" s="46"/>
      <c r="I246" s="212"/>
      <c r="J246" s="212"/>
      <c r="K246" s="46"/>
      <c r="L246" s="46"/>
      <c r="M246" s="213"/>
      <c r="N246" s="200"/>
      <c r="O246" s="46"/>
      <c r="P246" s="46"/>
      <c r="Q246" s="46"/>
      <c r="R246" s="46"/>
      <c r="S246" s="46"/>
      <c r="T246" s="235"/>
      <c r="U246" s="235"/>
      <c r="V246" s="214"/>
      <c r="W246" s="34"/>
    </row>
    <row r="247" spans="1:23" x14ac:dyDescent="0.35">
      <c r="A247" s="46"/>
      <c r="B247" s="211"/>
      <c r="C247" s="211"/>
      <c r="D247" s="33"/>
      <c r="E247" s="33"/>
      <c r="F247" s="33"/>
      <c r="G247" s="33"/>
      <c r="H247" s="46"/>
      <c r="I247" s="212"/>
      <c r="J247" s="212"/>
      <c r="K247" s="46"/>
      <c r="L247" s="46"/>
      <c r="M247" s="213"/>
      <c r="N247" s="200"/>
      <c r="O247" s="46"/>
      <c r="P247" s="46"/>
      <c r="Q247" s="46"/>
      <c r="R247" s="46"/>
      <c r="S247" s="46"/>
      <c r="T247" s="235"/>
      <c r="U247" s="235"/>
      <c r="V247" s="214"/>
      <c r="W247" s="34"/>
    </row>
    <row r="248" spans="1:23" x14ac:dyDescent="0.35">
      <c r="A248" s="46"/>
      <c r="B248" s="211"/>
      <c r="C248" s="211"/>
      <c r="D248" s="33"/>
      <c r="E248" s="33"/>
      <c r="F248" s="33"/>
      <c r="G248" s="33"/>
      <c r="H248" s="46"/>
      <c r="I248" s="212"/>
      <c r="J248" s="212"/>
      <c r="K248" s="46"/>
      <c r="L248" s="46"/>
      <c r="M248" s="213"/>
      <c r="N248" s="200"/>
      <c r="O248" s="46"/>
      <c r="P248" s="46"/>
      <c r="Q248" s="46"/>
      <c r="R248" s="46"/>
      <c r="S248" s="46"/>
      <c r="T248" s="235"/>
      <c r="U248" s="235"/>
      <c r="V248" s="214"/>
      <c r="W248" s="34"/>
    </row>
    <row r="249" spans="1:23" x14ac:dyDescent="0.35">
      <c r="A249" s="46"/>
      <c r="B249" s="211"/>
      <c r="C249" s="211"/>
      <c r="D249" s="33"/>
      <c r="E249" s="33"/>
      <c r="F249" s="33"/>
      <c r="G249" s="33"/>
      <c r="H249" s="46"/>
      <c r="I249" s="212"/>
      <c r="J249" s="212"/>
      <c r="K249" s="46"/>
      <c r="L249" s="46"/>
      <c r="M249" s="213"/>
      <c r="N249" s="200"/>
      <c r="O249" s="46"/>
      <c r="P249" s="46"/>
      <c r="Q249" s="46"/>
      <c r="R249" s="46"/>
      <c r="S249" s="46"/>
      <c r="T249" s="235"/>
      <c r="U249" s="235"/>
      <c r="V249" s="214"/>
      <c r="W249" s="34"/>
    </row>
    <row r="250" spans="1:23" x14ac:dyDescent="0.35">
      <c r="A250" s="46"/>
      <c r="B250" s="211"/>
      <c r="C250" s="211"/>
      <c r="D250" s="33"/>
      <c r="E250" s="33"/>
      <c r="F250" s="33"/>
      <c r="G250" s="33"/>
      <c r="H250" s="46"/>
      <c r="I250" s="212"/>
      <c r="J250" s="212"/>
      <c r="K250" s="46"/>
      <c r="L250" s="46"/>
      <c r="M250" s="213"/>
      <c r="N250" s="200"/>
      <c r="O250" s="46"/>
      <c r="P250" s="46"/>
      <c r="Q250" s="46"/>
      <c r="R250" s="46"/>
      <c r="S250" s="46"/>
      <c r="T250" s="235"/>
      <c r="U250" s="235"/>
      <c r="V250" s="214"/>
      <c r="W250" s="34"/>
    </row>
    <row r="251" spans="1:23" x14ac:dyDescent="0.35">
      <c r="A251" s="46"/>
      <c r="B251" s="211"/>
      <c r="C251" s="211"/>
      <c r="D251" s="33"/>
      <c r="E251" s="33"/>
      <c r="F251" s="33"/>
      <c r="G251" s="33"/>
      <c r="H251" s="46"/>
      <c r="I251" s="212"/>
      <c r="J251" s="212"/>
      <c r="K251" s="46"/>
      <c r="L251" s="46"/>
      <c r="M251" s="213"/>
      <c r="N251" s="200"/>
      <c r="O251" s="46"/>
      <c r="P251" s="46"/>
      <c r="Q251" s="46"/>
      <c r="R251" s="46"/>
      <c r="S251" s="46"/>
      <c r="T251" s="235"/>
      <c r="U251" s="235"/>
      <c r="V251" s="214"/>
      <c r="W251" s="34"/>
    </row>
    <row r="252" spans="1:23" x14ac:dyDescent="0.35">
      <c r="A252" s="46"/>
      <c r="B252" s="211"/>
      <c r="C252" s="211"/>
      <c r="D252" s="33"/>
      <c r="E252" s="33"/>
      <c r="F252" s="33"/>
      <c r="G252" s="33"/>
      <c r="H252" s="46"/>
      <c r="I252" s="212"/>
      <c r="J252" s="212"/>
      <c r="K252" s="46"/>
      <c r="L252" s="46"/>
      <c r="M252" s="213"/>
      <c r="N252" s="200"/>
      <c r="O252" s="46"/>
      <c r="P252" s="46"/>
      <c r="Q252" s="46"/>
      <c r="R252" s="46"/>
      <c r="S252" s="46"/>
      <c r="T252" s="235"/>
      <c r="U252" s="235"/>
      <c r="V252" s="214"/>
      <c r="W252" s="34"/>
    </row>
    <row r="253" spans="1:23" x14ac:dyDescent="0.35">
      <c r="A253" s="46"/>
      <c r="B253" s="211"/>
      <c r="C253" s="211"/>
      <c r="D253" s="33"/>
      <c r="E253" s="33"/>
      <c r="F253" s="33"/>
      <c r="G253" s="33"/>
      <c r="H253" s="46"/>
      <c r="I253" s="212"/>
      <c r="J253" s="212"/>
      <c r="K253" s="46"/>
      <c r="L253" s="46"/>
      <c r="M253" s="213"/>
      <c r="N253" s="200"/>
      <c r="O253" s="46"/>
      <c r="P253" s="46"/>
      <c r="Q253" s="46"/>
      <c r="R253" s="46"/>
      <c r="S253" s="46"/>
      <c r="T253" s="235"/>
      <c r="U253" s="235"/>
      <c r="V253" s="214"/>
      <c r="W253" s="34"/>
    </row>
    <row r="254" spans="1:23" x14ac:dyDescent="0.35">
      <c r="A254" s="46"/>
      <c r="B254" s="211"/>
      <c r="C254" s="211"/>
      <c r="D254" s="33"/>
      <c r="E254" s="33"/>
      <c r="F254" s="33"/>
      <c r="G254" s="33"/>
      <c r="H254" s="46"/>
      <c r="I254" s="212"/>
      <c r="J254" s="212"/>
      <c r="K254" s="46"/>
      <c r="L254" s="46"/>
      <c r="M254" s="213"/>
      <c r="N254" s="200"/>
      <c r="O254" s="46"/>
      <c r="P254" s="46"/>
      <c r="Q254" s="46"/>
      <c r="R254" s="46"/>
      <c r="S254" s="46"/>
      <c r="T254" s="235"/>
      <c r="U254" s="235"/>
      <c r="V254" s="214"/>
      <c r="W254" s="34"/>
    </row>
    <row r="255" spans="1:23" x14ac:dyDescent="0.35">
      <c r="A255" s="46"/>
      <c r="B255" s="211"/>
      <c r="C255" s="211"/>
      <c r="D255" s="33"/>
      <c r="E255" s="33"/>
      <c r="F255" s="33"/>
      <c r="G255" s="33"/>
      <c r="H255" s="46"/>
      <c r="I255" s="212"/>
      <c r="J255" s="212"/>
      <c r="K255" s="46"/>
      <c r="L255" s="46"/>
      <c r="M255" s="213"/>
      <c r="N255" s="200"/>
      <c r="O255" s="46"/>
      <c r="P255" s="46"/>
      <c r="Q255" s="46"/>
      <c r="R255" s="46"/>
      <c r="S255" s="46"/>
      <c r="T255" s="235"/>
      <c r="U255" s="235"/>
      <c r="V255" s="214"/>
      <c r="W255" s="34"/>
    </row>
    <row r="256" spans="1:23" x14ac:dyDescent="0.35">
      <c r="A256" s="46"/>
      <c r="B256" s="211"/>
      <c r="C256" s="211"/>
      <c r="D256" s="33"/>
      <c r="E256" s="33"/>
      <c r="F256" s="33"/>
      <c r="G256" s="33"/>
      <c r="H256" s="46"/>
      <c r="I256" s="212"/>
      <c r="J256" s="212"/>
      <c r="K256" s="46"/>
      <c r="L256" s="46"/>
      <c r="M256" s="213"/>
      <c r="N256" s="200"/>
      <c r="O256" s="46"/>
      <c r="P256" s="46"/>
      <c r="Q256" s="46"/>
      <c r="R256" s="46"/>
      <c r="S256" s="46"/>
      <c r="T256" s="235"/>
      <c r="U256" s="235"/>
      <c r="V256" s="214"/>
      <c r="W256" s="34"/>
    </row>
    <row r="257" spans="1:23" x14ac:dyDescent="0.35">
      <c r="A257" s="46"/>
      <c r="B257" s="211"/>
      <c r="C257" s="211"/>
      <c r="D257" s="33"/>
      <c r="E257" s="33"/>
      <c r="F257" s="33"/>
      <c r="G257" s="33"/>
      <c r="H257" s="46"/>
      <c r="I257" s="212"/>
      <c r="J257" s="212"/>
      <c r="K257" s="46"/>
      <c r="L257" s="46"/>
      <c r="M257" s="213"/>
      <c r="N257" s="200"/>
      <c r="O257" s="46"/>
      <c r="P257" s="46"/>
      <c r="Q257" s="46"/>
      <c r="R257" s="46"/>
      <c r="S257" s="46"/>
      <c r="T257" s="235"/>
      <c r="U257" s="235"/>
      <c r="V257" s="214"/>
      <c r="W257" s="34"/>
    </row>
    <row r="258" spans="1:23" x14ac:dyDescent="0.35">
      <c r="A258" s="46"/>
      <c r="B258" s="211"/>
      <c r="C258" s="211"/>
      <c r="D258" s="33"/>
      <c r="E258" s="33"/>
      <c r="F258" s="33"/>
      <c r="G258" s="33"/>
      <c r="H258" s="46"/>
      <c r="I258" s="212"/>
      <c r="J258" s="212"/>
      <c r="K258" s="46"/>
      <c r="L258" s="46"/>
      <c r="M258" s="213"/>
      <c r="N258" s="200"/>
      <c r="O258" s="46"/>
      <c r="P258" s="46"/>
      <c r="Q258" s="46"/>
      <c r="R258" s="46"/>
      <c r="S258" s="46"/>
      <c r="T258" s="235"/>
      <c r="U258" s="235"/>
      <c r="V258" s="214"/>
      <c r="W258" s="34"/>
    </row>
    <row r="259" spans="1:23" x14ac:dyDescent="0.35">
      <c r="A259" s="46"/>
      <c r="B259" s="211"/>
      <c r="C259" s="211"/>
      <c r="D259" s="33"/>
      <c r="E259" s="33"/>
      <c r="F259" s="33"/>
      <c r="G259" s="33"/>
      <c r="H259" s="46"/>
      <c r="I259" s="212"/>
      <c r="J259" s="212"/>
      <c r="K259" s="46"/>
      <c r="L259" s="46"/>
      <c r="M259" s="213"/>
      <c r="N259" s="200"/>
      <c r="O259" s="46"/>
      <c r="P259" s="46"/>
      <c r="Q259" s="46"/>
      <c r="R259" s="46"/>
      <c r="S259" s="46"/>
      <c r="T259" s="235"/>
      <c r="U259" s="235"/>
      <c r="V259" s="214"/>
      <c r="W259" s="34"/>
    </row>
    <row r="260" spans="1:23" x14ac:dyDescent="0.35">
      <c r="A260" s="46"/>
      <c r="B260" s="211"/>
      <c r="C260" s="211"/>
      <c r="D260" s="33"/>
      <c r="E260" s="33"/>
      <c r="F260" s="33"/>
      <c r="G260" s="33"/>
      <c r="H260" s="46"/>
      <c r="I260" s="212"/>
      <c r="J260" s="212"/>
      <c r="K260" s="46"/>
      <c r="L260" s="46"/>
      <c r="M260" s="213"/>
      <c r="N260" s="200"/>
      <c r="O260" s="46"/>
      <c r="P260" s="46"/>
      <c r="Q260" s="46"/>
      <c r="R260" s="46"/>
      <c r="S260" s="46"/>
      <c r="T260" s="235"/>
      <c r="U260" s="235"/>
      <c r="V260" s="214"/>
      <c r="W260" s="34"/>
    </row>
    <row r="261" spans="1:23" x14ac:dyDescent="0.35">
      <c r="A261" s="46"/>
      <c r="B261" s="211"/>
      <c r="C261" s="211"/>
      <c r="D261" s="33"/>
      <c r="E261" s="33"/>
      <c r="F261" s="33"/>
      <c r="G261" s="33"/>
      <c r="H261" s="46"/>
      <c r="I261" s="212"/>
      <c r="J261" s="212"/>
      <c r="K261" s="46"/>
      <c r="L261" s="46"/>
      <c r="M261" s="213"/>
      <c r="N261" s="200"/>
      <c r="O261" s="46"/>
      <c r="P261" s="46"/>
      <c r="Q261" s="46"/>
      <c r="R261" s="46"/>
      <c r="S261" s="46"/>
      <c r="T261" s="235"/>
      <c r="U261" s="235"/>
      <c r="V261" s="214"/>
      <c r="W261" s="34"/>
    </row>
    <row r="262" spans="1:23" x14ac:dyDescent="0.35">
      <c r="A262" s="46"/>
      <c r="B262" s="211"/>
      <c r="C262" s="211"/>
      <c r="D262" s="33"/>
      <c r="E262" s="33"/>
      <c r="F262" s="33"/>
      <c r="G262" s="33"/>
      <c r="H262" s="46"/>
      <c r="I262" s="212"/>
      <c r="J262" s="212"/>
      <c r="K262" s="46"/>
      <c r="L262" s="46"/>
      <c r="M262" s="213"/>
      <c r="N262" s="200"/>
      <c r="O262" s="46"/>
      <c r="P262" s="46"/>
      <c r="Q262" s="46"/>
      <c r="R262" s="46"/>
      <c r="S262" s="46"/>
      <c r="T262" s="235"/>
      <c r="U262" s="235"/>
      <c r="V262" s="214"/>
      <c r="W262" s="34"/>
    </row>
    <row r="263" spans="1:23" x14ac:dyDescent="0.35">
      <c r="A263" s="46"/>
      <c r="B263" s="211"/>
      <c r="C263" s="211"/>
      <c r="D263" s="33"/>
      <c r="E263" s="33"/>
      <c r="F263" s="33"/>
      <c r="G263" s="33"/>
      <c r="H263" s="46"/>
      <c r="I263" s="212"/>
      <c r="J263" s="212"/>
      <c r="K263" s="46"/>
      <c r="L263" s="46"/>
      <c r="M263" s="213"/>
      <c r="N263" s="200"/>
      <c r="O263" s="46"/>
      <c r="P263" s="46"/>
      <c r="Q263" s="46"/>
      <c r="R263" s="46"/>
      <c r="S263" s="46"/>
      <c r="T263" s="235"/>
      <c r="U263" s="235"/>
      <c r="V263" s="214"/>
      <c r="W263" s="34"/>
    </row>
    <row r="264" spans="1:23" x14ac:dyDescent="0.35">
      <c r="A264" s="46"/>
      <c r="B264" s="211"/>
      <c r="C264" s="211"/>
      <c r="D264" s="33"/>
      <c r="E264" s="33"/>
      <c r="F264" s="33"/>
      <c r="G264" s="33"/>
      <c r="H264" s="46"/>
      <c r="I264" s="212"/>
      <c r="J264" s="212"/>
      <c r="K264" s="46"/>
      <c r="L264" s="46"/>
      <c r="M264" s="213"/>
      <c r="N264" s="200"/>
      <c r="O264" s="46"/>
      <c r="P264" s="46"/>
      <c r="Q264" s="46"/>
      <c r="R264" s="46"/>
      <c r="S264" s="46"/>
      <c r="T264" s="235"/>
      <c r="U264" s="235"/>
      <c r="V264" s="214"/>
      <c r="W264" s="34"/>
    </row>
    <row r="265" spans="1:23" x14ac:dyDescent="0.35">
      <c r="A265" s="46"/>
      <c r="B265" s="211"/>
      <c r="C265" s="211"/>
      <c r="D265" s="33"/>
      <c r="E265" s="33"/>
      <c r="F265" s="33"/>
      <c r="G265" s="33"/>
      <c r="H265" s="46"/>
      <c r="I265" s="212"/>
      <c r="J265" s="212"/>
      <c r="K265" s="46"/>
      <c r="L265" s="46"/>
      <c r="M265" s="213"/>
      <c r="N265" s="200"/>
      <c r="O265" s="46"/>
      <c r="P265" s="46"/>
      <c r="Q265" s="46"/>
      <c r="R265" s="46"/>
      <c r="S265" s="46"/>
      <c r="T265" s="235"/>
      <c r="U265" s="235"/>
      <c r="V265" s="214"/>
      <c r="W265" s="34"/>
    </row>
    <row r="266" spans="1:23" x14ac:dyDescent="0.35">
      <c r="A266" s="46"/>
      <c r="B266" s="211"/>
      <c r="C266" s="211"/>
      <c r="D266" s="33"/>
      <c r="E266" s="33"/>
      <c r="F266" s="33"/>
      <c r="G266" s="33"/>
      <c r="H266" s="46"/>
      <c r="I266" s="212"/>
      <c r="J266" s="212"/>
      <c r="K266" s="46"/>
      <c r="L266" s="46"/>
      <c r="M266" s="213"/>
      <c r="N266" s="200"/>
      <c r="O266" s="46"/>
      <c r="P266" s="46"/>
      <c r="Q266" s="46"/>
      <c r="R266" s="46"/>
      <c r="S266" s="46"/>
      <c r="T266" s="235"/>
      <c r="U266" s="235"/>
      <c r="V266" s="214"/>
      <c r="W266" s="34"/>
    </row>
    <row r="267" spans="1:23" x14ac:dyDescent="0.35">
      <c r="A267" s="46"/>
      <c r="B267" s="211"/>
      <c r="C267" s="211"/>
      <c r="D267" s="33"/>
      <c r="E267" s="33"/>
      <c r="F267" s="33"/>
      <c r="G267" s="33"/>
      <c r="H267" s="46"/>
      <c r="I267" s="212"/>
      <c r="J267" s="212"/>
      <c r="K267" s="46"/>
      <c r="L267" s="46"/>
      <c r="M267" s="213"/>
      <c r="N267" s="200"/>
      <c r="O267" s="46"/>
      <c r="P267" s="46"/>
      <c r="Q267" s="46"/>
      <c r="R267" s="46"/>
      <c r="S267" s="46"/>
      <c r="T267" s="235"/>
      <c r="U267" s="235"/>
      <c r="V267" s="214"/>
      <c r="W267" s="34"/>
    </row>
    <row r="268" spans="1:23" x14ac:dyDescent="0.35">
      <c r="A268" s="46"/>
      <c r="B268" s="211"/>
      <c r="C268" s="211"/>
      <c r="D268" s="33"/>
      <c r="E268" s="33"/>
      <c r="F268" s="33"/>
      <c r="G268" s="33"/>
      <c r="H268" s="46"/>
      <c r="I268" s="212"/>
      <c r="J268" s="212"/>
      <c r="K268" s="46"/>
      <c r="L268" s="46"/>
      <c r="M268" s="213"/>
      <c r="N268" s="200"/>
      <c r="O268" s="46"/>
      <c r="P268" s="46"/>
      <c r="Q268" s="46"/>
      <c r="R268" s="46"/>
      <c r="S268" s="46"/>
      <c r="T268" s="235"/>
      <c r="U268" s="235"/>
      <c r="V268" s="214"/>
      <c r="W268" s="34"/>
    </row>
    <row r="269" spans="1:23" x14ac:dyDescent="0.35">
      <c r="A269" s="46"/>
      <c r="B269" s="211"/>
      <c r="C269" s="211"/>
      <c r="D269" s="33"/>
      <c r="E269" s="33"/>
      <c r="F269" s="33"/>
      <c r="G269" s="33"/>
      <c r="H269" s="46"/>
      <c r="I269" s="212"/>
      <c r="J269" s="212"/>
      <c r="K269" s="46"/>
      <c r="L269" s="46"/>
      <c r="M269" s="213"/>
      <c r="N269" s="200"/>
      <c r="O269" s="46"/>
      <c r="P269" s="46"/>
      <c r="Q269" s="46"/>
      <c r="R269" s="46"/>
      <c r="S269" s="46"/>
      <c r="T269" s="235"/>
      <c r="U269" s="235"/>
      <c r="V269" s="214"/>
      <c r="W269" s="34"/>
    </row>
    <row r="270" spans="1:23" x14ac:dyDescent="0.35">
      <c r="A270" s="46"/>
      <c r="B270" s="211"/>
      <c r="C270" s="211"/>
      <c r="D270" s="33"/>
      <c r="E270" s="33"/>
      <c r="F270" s="33"/>
      <c r="G270" s="33"/>
      <c r="H270" s="46"/>
      <c r="I270" s="212"/>
      <c r="J270" s="212"/>
      <c r="K270" s="46"/>
      <c r="L270" s="46"/>
      <c r="M270" s="213"/>
      <c r="N270" s="200"/>
      <c r="O270" s="46"/>
      <c r="P270" s="46"/>
      <c r="Q270" s="46"/>
      <c r="R270" s="46"/>
      <c r="S270" s="46"/>
      <c r="T270" s="235"/>
      <c r="U270" s="235"/>
      <c r="V270" s="214"/>
      <c r="W270" s="34"/>
    </row>
    <row r="271" spans="1:23" x14ac:dyDescent="0.35">
      <c r="A271" s="46"/>
      <c r="B271" s="211"/>
      <c r="C271" s="211"/>
      <c r="D271" s="33"/>
      <c r="E271" s="33"/>
      <c r="F271" s="33"/>
      <c r="G271" s="33"/>
      <c r="H271" s="46"/>
      <c r="I271" s="212"/>
      <c r="J271" s="212"/>
      <c r="K271" s="46"/>
      <c r="L271" s="46"/>
      <c r="M271" s="213"/>
      <c r="N271" s="200"/>
      <c r="O271" s="46"/>
      <c r="P271" s="46"/>
      <c r="Q271" s="46"/>
      <c r="R271" s="46"/>
      <c r="S271" s="46"/>
      <c r="T271" s="235"/>
      <c r="U271" s="235"/>
      <c r="V271" s="214"/>
      <c r="W271" s="34"/>
    </row>
    <row r="272" spans="1:23" x14ac:dyDescent="0.35">
      <c r="A272" s="46"/>
      <c r="B272" s="211"/>
      <c r="C272" s="211"/>
      <c r="D272" s="33"/>
      <c r="E272" s="33"/>
      <c r="F272" s="33"/>
      <c r="G272" s="33"/>
      <c r="H272" s="46"/>
      <c r="I272" s="212"/>
      <c r="J272" s="212"/>
      <c r="K272" s="46"/>
      <c r="L272" s="46"/>
      <c r="M272" s="213"/>
      <c r="N272" s="200"/>
      <c r="O272" s="46"/>
      <c r="P272" s="46"/>
      <c r="Q272" s="46"/>
      <c r="R272" s="46"/>
      <c r="S272" s="46"/>
      <c r="T272" s="235"/>
      <c r="U272" s="235"/>
      <c r="V272" s="214"/>
      <c r="W272" s="34"/>
    </row>
    <row r="273" spans="1:23" x14ac:dyDescent="0.35">
      <c r="A273" s="46"/>
      <c r="B273" s="211"/>
      <c r="C273" s="211"/>
      <c r="D273" s="33"/>
      <c r="E273" s="33"/>
      <c r="F273" s="33"/>
      <c r="G273" s="33"/>
      <c r="H273" s="46"/>
      <c r="I273" s="212"/>
      <c r="J273" s="212"/>
      <c r="K273" s="46"/>
      <c r="L273" s="46"/>
      <c r="M273" s="213"/>
      <c r="N273" s="200"/>
      <c r="O273" s="46"/>
      <c r="P273" s="46"/>
      <c r="Q273" s="46"/>
      <c r="R273" s="46"/>
      <c r="S273" s="46"/>
      <c r="T273" s="235"/>
      <c r="U273" s="235"/>
      <c r="V273" s="214"/>
      <c r="W273" s="34"/>
    </row>
    <row r="274" spans="1:23" x14ac:dyDescent="0.35">
      <c r="A274" s="46"/>
      <c r="B274" s="211"/>
      <c r="C274" s="211"/>
      <c r="D274" s="33"/>
      <c r="E274" s="33"/>
      <c r="F274" s="33"/>
      <c r="G274" s="33"/>
      <c r="H274" s="46"/>
      <c r="I274" s="212"/>
      <c r="J274" s="212"/>
      <c r="K274" s="46"/>
      <c r="L274" s="46"/>
      <c r="M274" s="213"/>
      <c r="N274" s="200"/>
      <c r="O274" s="46"/>
      <c r="P274" s="46"/>
      <c r="Q274" s="46"/>
      <c r="R274" s="46"/>
      <c r="S274" s="46"/>
      <c r="T274" s="235"/>
      <c r="U274" s="235"/>
      <c r="V274" s="214"/>
      <c r="W274" s="34"/>
    </row>
    <row r="275" spans="1:23" x14ac:dyDescent="0.35">
      <c r="A275" s="46"/>
      <c r="B275" s="211"/>
      <c r="C275" s="211"/>
      <c r="D275" s="33"/>
      <c r="E275" s="33"/>
      <c r="F275" s="33"/>
      <c r="G275" s="33"/>
      <c r="H275" s="46"/>
      <c r="I275" s="212"/>
      <c r="J275" s="212"/>
      <c r="K275" s="46"/>
      <c r="L275" s="46"/>
      <c r="M275" s="213"/>
      <c r="N275" s="200"/>
      <c r="O275" s="46"/>
      <c r="P275" s="46"/>
      <c r="Q275" s="46"/>
      <c r="R275" s="46"/>
      <c r="S275" s="46"/>
      <c r="T275" s="235"/>
      <c r="U275" s="235"/>
      <c r="V275" s="214"/>
      <c r="W275" s="34"/>
    </row>
    <row r="276" spans="1:23" x14ac:dyDescent="0.35">
      <c r="A276" s="46"/>
      <c r="B276" s="211"/>
      <c r="C276" s="211"/>
      <c r="D276" s="33"/>
      <c r="E276" s="33"/>
      <c r="F276" s="33"/>
      <c r="G276" s="33"/>
      <c r="H276" s="46"/>
      <c r="I276" s="212"/>
      <c r="J276" s="212"/>
      <c r="K276" s="46"/>
      <c r="L276" s="46"/>
      <c r="M276" s="213"/>
      <c r="N276" s="200"/>
      <c r="O276" s="46"/>
      <c r="P276" s="46"/>
      <c r="Q276" s="46"/>
      <c r="R276" s="46"/>
      <c r="S276" s="46"/>
      <c r="T276" s="235"/>
      <c r="U276" s="235"/>
      <c r="V276" s="214"/>
      <c r="W276" s="34"/>
    </row>
    <row r="277" spans="1:23" x14ac:dyDescent="0.35">
      <c r="A277" s="46"/>
      <c r="B277" s="211"/>
      <c r="C277" s="211"/>
      <c r="D277" s="33"/>
      <c r="E277" s="33"/>
      <c r="F277" s="33"/>
      <c r="G277" s="33"/>
      <c r="H277" s="46"/>
      <c r="I277" s="212"/>
      <c r="J277" s="212"/>
      <c r="K277" s="46"/>
      <c r="L277" s="46"/>
      <c r="M277" s="213"/>
      <c r="N277" s="200"/>
      <c r="O277" s="46"/>
      <c r="P277" s="46"/>
      <c r="Q277" s="46"/>
      <c r="R277" s="46"/>
      <c r="S277" s="46"/>
      <c r="T277" s="235"/>
      <c r="U277" s="235"/>
      <c r="V277" s="214"/>
      <c r="W277" s="34"/>
    </row>
    <row r="278" spans="1:23" x14ac:dyDescent="0.35">
      <c r="A278" s="46"/>
      <c r="B278" s="211"/>
      <c r="C278" s="211"/>
      <c r="D278" s="33"/>
      <c r="E278" s="33"/>
      <c r="F278" s="33"/>
      <c r="G278" s="33"/>
      <c r="H278" s="46"/>
      <c r="I278" s="212"/>
      <c r="J278" s="212"/>
      <c r="K278" s="46"/>
      <c r="L278" s="46"/>
      <c r="M278" s="213"/>
      <c r="N278" s="200"/>
      <c r="O278" s="46"/>
      <c r="P278" s="46"/>
      <c r="Q278" s="46"/>
      <c r="R278" s="46"/>
      <c r="S278" s="46"/>
      <c r="T278" s="235"/>
      <c r="U278" s="235"/>
      <c r="V278" s="214"/>
      <c r="W278" s="34"/>
    </row>
    <row r="279" spans="1:23" x14ac:dyDescent="0.35">
      <c r="A279" s="46"/>
      <c r="B279" s="211"/>
      <c r="C279" s="211"/>
      <c r="D279" s="33"/>
      <c r="E279" s="33"/>
      <c r="F279" s="33"/>
      <c r="G279" s="33"/>
      <c r="H279" s="46"/>
      <c r="I279" s="212"/>
      <c r="J279" s="212"/>
      <c r="K279" s="46"/>
      <c r="L279" s="46"/>
      <c r="M279" s="213"/>
      <c r="N279" s="200"/>
      <c r="O279" s="46"/>
      <c r="P279" s="46"/>
      <c r="Q279" s="46"/>
      <c r="R279" s="46"/>
      <c r="S279" s="46"/>
      <c r="T279" s="235"/>
      <c r="U279" s="235"/>
      <c r="V279" s="214"/>
      <c r="W279" s="34"/>
    </row>
    <row r="280" spans="1:23" x14ac:dyDescent="0.35">
      <c r="A280" s="46"/>
      <c r="B280" s="211"/>
      <c r="C280" s="211"/>
      <c r="D280" s="33"/>
      <c r="E280" s="33"/>
      <c r="F280" s="33"/>
      <c r="G280" s="33"/>
      <c r="H280" s="46"/>
      <c r="I280" s="212"/>
      <c r="J280" s="212"/>
      <c r="K280" s="46"/>
      <c r="L280" s="46"/>
      <c r="M280" s="213"/>
      <c r="N280" s="200"/>
      <c r="O280" s="46"/>
      <c r="P280" s="46"/>
      <c r="Q280" s="46"/>
      <c r="R280" s="46"/>
      <c r="S280" s="46"/>
      <c r="T280" s="235"/>
      <c r="U280" s="235"/>
      <c r="V280" s="214"/>
      <c r="W280" s="34"/>
    </row>
    <row r="281" spans="1:23" x14ac:dyDescent="0.35">
      <c r="A281" s="46"/>
      <c r="B281" s="211"/>
      <c r="C281" s="211"/>
      <c r="D281" s="33"/>
      <c r="E281" s="33"/>
      <c r="F281" s="33"/>
      <c r="G281" s="33"/>
      <c r="H281" s="46"/>
      <c r="I281" s="212"/>
      <c r="J281" s="212"/>
      <c r="K281" s="46"/>
      <c r="L281" s="46"/>
      <c r="M281" s="213"/>
      <c r="N281" s="200"/>
      <c r="O281" s="46"/>
      <c r="P281" s="46"/>
      <c r="Q281" s="46"/>
      <c r="R281" s="46"/>
      <c r="S281" s="46"/>
      <c r="T281" s="235"/>
      <c r="U281" s="235"/>
      <c r="V281" s="214"/>
      <c r="W281" s="34"/>
    </row>
    <row r="282" spans="1:23" x14ac:dyDescent="0.35">
      <c r="A282" s="46"/>
      <c r="B282" s="211"/>
      <c r="C282" s="211"/>
      <c r="D282" s="33"/>
      <c r="E282" s="33"/>
      <c r="F282" s="33"/>
      <c r="G282" s="33"/>
      <c r="H282" s="46"/>
      <c r="I282" s="212"/>
      <c r="J282" s="212"/>
      <c r="K282" s="46"/>
      <c r="L282" s="46"/>
      <c r="M282" s="213"/>
      <c r="N282" s="200"/>
      <c r="O282" s="46"/>
      <c r="P282" s="46"/>
      <c r="Q282" s="46"/>
      <c r="R282" s="46"/>
      <c r="S282" s="46"/>
      <c r="T282" s="235"/>
      <c r="U282" s="235"/>
      <c r="V282" s="214"/>
      <c r="W282" s="34"/>
    </row>
    <row r="283" spans="1:23" x14ac:dyDescent="0.35">
      <c r="A283" s="46"/>
      <c r="B283" s="211"/>
      <c r="C283" s="211"/>
      <c r="D283" s="33"/>
      <c r="E283" s="33"/>
      <c r="F283" s="33"/>
      <c r="G283" s="33"/>
      <c r="H283" s="46"/>
      <c r="I283" s="212"/>
      <c r="J283" s="212"/>
      <c r="K283" s="46"/>
      <c r="L283" s="46"/>
      <c r="M283" s="213"/>
      <c r="N283" s="200"/>
      <c r="O283" s="46"/>
      <c r="P283" s="46"/>
      <c r="Q283" s="46"/>
      <c r="R283" s="46"/>
      <c r="S283" s="46"/>
      <c r="T283" s="235"/>
      <c r="U283" s="235"/>
      <c r="V283" s="214"/>
      <c r="W283" s="34"/>
    </row>
    <row r="284" spans="1:23" x14ac:dyDescent="0.35">
      <c r="A284" s="46"/>
      <c r="B284" s="211"/>
      <c r="C284" s="211"/>
      <c r="D284" s="33"/>
      <c r="E284" s="33"/>
      <c r="F284" s="33"/>
      <c r="G284" s="33"/>
      <c r="H284" s="46"/>
      <c r="I284" s="212"/>
      <c r="J284" s="212"/>
      <c r="K284" s="46"/>
      <c r="L284" s="46"/>
      <c r="M284" s="213"/>
      <c r="N284" s="200"/>
      <c r="O284" s="46"/>
      <c r="P284" s="46"/>
      <c r="Q284" s="46"/>
      <c r="R284" s="46"/>
      <c r="S284" s="46"/>
      <c r="T284" s="235"/>
      <c r="U284" s="235"/>
      <c r="V284" s="214"/>
      <c r="W284" s="34"/>
    </row>
    <row r="285" spans="1:23" x14ac:dyDescent="0.35">
      <c r="A285" s="46"/>
      <c r="B285" s="211"/>
      <c r="C285" s="211"/>
      <c r="D285" s="33"/>
      <c r="E285" s="33"/>
      <c r="F285" s="33"/>
      <c r="G285" s="33"/>
      <c r="H285" s="46"/>
      <c r="I285" s="212"/>
      <c r="J285" s="212"/>
      <c r="K285" s="46"/>
      <c r="L285" s="46"/>
      <c r="M285" s="213"/>
      <c r="N285" s="200"/>
      <c r="O285" s="46"/>
      <c r="P285" s="46"/>
      <c r="Q285" s="46"/>
      <c r="R285" s="46"/>
      <c r="S285" s="46"/>
      <c r="T285" s="235"/>
      <c r="U285" s="235"/>
      <c r="V285" s="214"/>
      <c r="W285" s="34"/>
    </row>
    <row r="286" spans="1:23" x14ac:dyDescent="0.35">
      <c r="A286" s="46"/>
      <c r="B286" s="211"/>
      <c r="C286" s="211"/>
      <c r="D286" s="33"/>
      <c r="E286" s="33"/>
      <c r="F286" s="33"/>
      <c r="G286" s="33"/>
      <c r="H286" s="46"/>
      <c r="I286" s="212"/>
      <c r="J286" s="212"/>
      <c r="K286" s="46"/>
      <c r="L286" s="46"/>
      <c r="M286" s="213"/>
      <c r="N286" s="200"/>
      <c r="O286" s="46"/>
      <c r="P286" s="46"/>
      <c r="Q286" s="46"/>
      <c r="R286" s="46"/>
      <c r="S286" s="46"/>
      <c r="T286" s="235"/>
      <c r="U286" s="235"/>
      <c r="V286" s="214"/>
      <c r="W286" s="34"/>
    </row>
    <row r="287" spans="1:23" x14ac:dyDescent="0.35">
      <c r="A287" s="46"/>
      <c r="B287" s="211"/>
      <c r="C287" s="211"/>
      <c r="D287" s="33"/>
      <c r="E287" s="33"/>
      <c r="F287" s="33"/>
      <c r="G287" s="33"/>
      <c r="H287" s="46"/>
      <c r="I287" s="212"/>
      <c r="J287" s="212"/>
      <c r="K287" s="46"/>
      <c r="L287" s="46"/>
      <c r="M287" s="213"/>
      <c r="N287" s="200"/>
      <c r="O287" s="46"/>
      <c r="P287" s="46"/>
      <c r="Q287" s="46"/>
      <c r="R287" s="46"/>
      <c r="S287" s="46"/>
      <c r="T287" s="235"/>
      <c r="U287" s="235"/>
      <c r="V287" s="214"/>
      <c r="W287" s="34"/>
    </row>
    <row r="288" spans="1:23" x14ac:dyDescent="0.35">
      <c r="A288" s="46"/>
      <c r="B288" s="211"/>
      <c r="C288" s="211"/>
      <c r="D288" s="33"/>
      <c r="E288" s="33"/>
      <c r="F288" s="33"/>
      <c r="G288" s="33"/>
      <c r="H288" s="46"/>
      <c r="I288" s="212"/>
      <c r="J288" s="212"/>
      <c r="K288" s="46"/>
      <c r="L288" s="46"/>
      <c r="M288" s="213"/>
      <c r="N288" s="200"/>
      <c r="O288" s="46"/>
      <c r="P288" s="46"/>
      <c r="Q288" s="46"/>
      <c r="R288" s="46"/>
      <c r="S288" s="46"/>
      <c r="T288" s="235"/>
      <c r="U288" s="235"/>
      <c r="V288" s="214"/>
      <c r="W288" s="34"/>
    </row>
    <row r="289" spans="1:23" x14ac:dyDescent="0.35">
      <c r="A289" s="46"/>
      <c r="B289" s="211"/>
      <c r="C289" s="211"/>
      <c r="D289" s="33"/>
      <c r="E289" s="33"/>
      <c r="F289" s="33"/>
      <c r="G289" s="33"/>
      <c r="H289" s="46"/>
      <c r="I289" s="212"/>
      <c r="J289" s="212"/>
      <c r="K289" s="46"/>
      <c r="L289" s="46"/>
      <c r="M289" s="213"/>
      <c r="N289" s="200"/>
      <c r="O289" s="46"/>
      <c r="P289" s="46"/>
      <c r="Q289" s="46"/>
      <c r="R289" s="46"/>
      <c r="S289" s="46"/>
      <c r="T289" s="235"/>
      <c r="U289" s="235"/>
      <c r="V289" s="214"/>
      <c r="W289" s="34"/>
    </row>
    <row r="290" spans="1:23" x14ac:dyDescent="0.35">
      <c r="A290" s="46"/>
      <c r="B290" s="211"/>
      <c r="C290" s="211"/>
      <c r="D290" s="33"/>
      <c r="E290" s="33"/>
      <c r="F290" s="33"/>
      <c r="G290" s="33"/>
      <c r="H290" s="46"/>
      <c r="I290" s="212"/>
      <c r="J290" s="212"/>
      <c r="K290" s="46"/>
      <c r="L290" s="46"/>
      <c r="M290" s="213"/>
      <c r="N290" s="200"/>
      <c r="O290" s="46"/>
      <c r="P290" s="46"/>
      <c r="Q290" s="46"/>
      <c r="R290" s="46"/>
      <c r="S290" s="46"/>
      <c r="T290" s="235"/>
      <c r="U290" s="235"/>
      <c r="V290" s="214"/>
      <c r="W290" s="34"/>
    </row>
    <row r="291" spans="1:23" x14ac:dyDescent="0.35">
      <c r="A291" s="46"/>
      <c r="B291" s="211"/>
      <c r="C291" s="211"/>
      <c r="D291" s="33"/>
      <c r="E291" s="33"/>
      <c r="F291" s="33"/>
      <c r="G291" s="33"/>
      <c r="H291" s="46"/>
      <c r="I291" s="212"/>
      <c r="J291" s="212"/>
      <c r="K291" s="46"/>
      <c r="L291" s="46"/>
      <c r="M291" s="213"/>
      <c r="N291" s="200"/>
      <c r="O291" s="46"/>
      <c r="P291" s="46"/>
      <c r="Q291" s="46"/>
      <c r="R291" s="46"/>
      <c r="S291" s="46"/>
      <c r="T291" s="235"/>
      <c r="U291" s="235"/>
      <c r="V291" s="214"/>
      <c r="W291" s="34"/>
    </row>
    <row r="292" spans="1:23" x14ac:dyDescent="0.35">
      <c r="A292" s="46"/>
      <c r="B292" s="211"/>
      <c r="C292" s="211"/>
      <c r="D292" s="33"/>
      <c r="E292" s="33"/>
      <c r="F292" s="33"/>
      <c r="G292" s="33"/>
      <c r="H292" s="46"/>
      <c r="I292" s="212"/>
      <c r="J292" s="212"/>
      <c r="K292" s="46"/>
      <c r="L292" s="46"/>
      <c r="M292" s="213"/>
      <c r="N292" s="200"/>
      <c r="O292" s="46"/>
      <c r="P292" s="46"/>
      <c r="Q292" s="46"/>
      <c r="R292" s="46"/>
      <c r="S292" s="46"/>
      <c r="T292" s="235"/>
      <c r="U292" s="235"/>
      <c r="V292" s="214"/>
      <c r="W292" s="34"/>
    </row>
    <row r="293" spans="1:23" x14ac:dyDescent="0.35">
      <c r="A293" s="46"/>
      <c r="B293" s="211"/>
      <c r="C293" s="211"/>
      <c r="D293" s="33"/>
      <c r="E293" s="33"/>
      <c r="F293" s="33"/>
      <c r="G293" s="33"/>
      <c r="H293" s="46"/>
      <c r="I293" s="212"/>
      <c r="J293" s="212"/>
      <c r="K293" s="46"/>
      <c r="L293" s="46"/>
      <c r="M293" s="213"/>
      <c r="N293" s="200"/>
      <c r="O293" s="46"/>
      <c r="P293" s="46"/>
      <c r="Q293" s="46"/>
      <c r="R293" s="46"/>
      <c r="S293" s="46"/>
      <c r="T293" s="235"/>
      <c r="U293" s="235"/>
      <c r="V293" s="214"/>
      <c r="W293" s="34"/>
    </row>
    <row r="294" spans="1:23" x14ac:dyDescent="0.35">
      <c r="A294" s="46"/>
      <c r="B294" s="211"/>
      <c r="C294" s="211"/>
      <c r="D294" s="33"/>
      <c r="E294" s="33"/>
      <c r="F294" s="33"/>
      <c r="G294" s="33"/>
      <c r="H294" s="46"/>
      <c r="I294" s="212"/>
      <c r="J294" s="212"/>
      <c r="K294" s="46"/>
      <c r="L294" s="46"/>
      <c r="M294" s="213"/>
      <c r="N294" s="200"/>
      <c r="O294" s="46"/>
      <c r="P294" s="46"/>
      <c r="Q294" s="46"/>
      <c r="R294" s="46"/>
      <c r="S294" s="46"/>
      <c r="T294" s="235"/>
      <c r="U294" s="235"/>
      <c r="V294" s="214"/>
      <c r="W294" s="34"/>
    </row>
    <row r="295" spans="1:23" x14ac:dyDescent="0.35">
      <c r="A295" s="46"/>
      <c r="B295" s="211"/>
      <c r="C295" s="211"/>
      <c r="D295" s="33"/>
      <c r="E295" s="33"/>
      <c r="F295" s="33"/>
      <c r="G295" s="33"/>
      <c r="H295" s="46"/>
      <c r="I295" s="212"/>
      <c r="J295" s="212"/>
      <c r="K295" s="46"/>
      <c r="L295" s="46"/>
      <c r="M295" s="213"/>
      <c r="N295" s="200"/>
      <c r="O295" s="46"/>
      <c r="P295" s="46"/>
      <c r="Q295" s="46"/>
      <c r="R295" s="46"/>
      <c r="S295" s="46"/>
      <c r="T295" s="235"/>
      <c r="U295" s="235"/>
      <c r="V295" s="214"/>
      <c r="W295" s="34"/>
    </row>
    <row r="296" spans="1:23" x14ac:dyDescent="0.35">
      <c r="A296" s="46"/>
      <c r="B296" s="211"/>
      <c r="C296" s="211"/>
      <c r="D296" s="33"/>
      <c r="E296" s="33"/>
      <c r="F296" s="33"/>
      <c r="G296" s="33"/>
      <c r="H296" s="46"/>
      <c r="I296" s="212"/>
      <c r="J296" s="212"/>
      <c r="K296" s="46"/>
      <c r="L296" s="46"/>
      <c r="M296" s="213"/>
      <c r="N296" s="200"/>
      <c r="O296" s="46"/>
      <c r="P296" s="46"/>
      <c r="Q296" s="46"/>
      <c r="R296" s="46"/>
      <c r="S296" s="46"/>
      <c r="T296" s="235"/>
      <c r="U296" s="235"/>
      <c r="V296" s="214"/>
      <c r="W296" s="34"/>
    </row>
    <row r="297" spans="1:23" x14ac:dyDescent="0.35">
      <c r="A297" s="46"/>
      <c r="B297" s="211"/>
      <c r="C297" s="211"/>
      <c r="D297" s="33"/>
      <c r="E297" s="33"/>
      <c r="F297" s="33"/>
      <c r="G297" s="33"/>
      <c r="H297" s="46"/>
      <c r="I297" s="212"/>
      <c r="J297" s="212"/>
      <c r="K297" s="46"/>
      <c r="L297" s="46"/>
      <c r="M297" s="213"/>
      <c r="N297" s="200"/>
      <c r="O297" s="46"/>
      <c r="P297" s="46"/>
      <c r="Q297" s="46"/>
      <c r="R297" s="46"/>
      <c r="S297" s="46"/>
      <c r="T297" s="235"/>
      <c r="U297" s="235"/>
      <c r="V297" s="214"/>
      <c r="W297" s="34"/>
    </row>
    <row r="298" spans="1:23" x14ac:dyDescent="0.35">
      <c r="A298" s="46"/>
      <c r="B298" s="211"/>
      <c r="C298" s="211"/>
      <c r="D298" s="33"/>
      <c r="E298" s="33"/>
      <c r="F298" s="33"/>
      <c r="G298" s="33"/>
      <c r="H298" s="46"/>
      <c r="I298" s="212"/>
      <c r="J298" s="212"/>
      <c r="K298" s="46"/>
      <c r="L298" s="46"/>
      <c r="M298" s="213"/>
      <c r="N298" s="200"/>
      <c r="O298" s="46"/>
      <c r="P298" s="46"/>
      <c r="Q298" s="46"/>
      <c r="R298" s="46"/>
      <c r="S298" s="46"/>
      <c r="T298" s="235"/>
      <c r="U298" s="235"/>
      <c r="V298" s="214"/>
      <c r="W298" s="34"/>
    </row>
    <row r="299" spans="1:23" x14ac:dyDescent="0.35">
      <c r="A299" s="46"/>
      <c r="B299" s="211"/>
      <c r="C299" s="211"/>
      <c r="D299" s="33"/>
      <c r="E299" s="33"/>
      <c r="F299" s="33"/>
      <c r="G299" s="33"/>
      <c r="H299" s="46"/>
      <c r="I299" s="212"/>
      <c r="J299" s="212"/>
      <c r="K299" s="46"/>
      <c r="L299" s="46"/>
      <c r="M299" s="213"/>
      <c r="N299" s="200"/>
      <c r="O299" s="46"/>
      <c r="P299" s="46"/>
      <c r="Q299" s="46"/>
      <c r="R299" s="46"/>
      <c r="S299" s="46"/>
      <c r="T299" s="235"/>
      <c r="U299" s="235"/>
      <c r="V299" s="214"/>
      <c r="W299" s="34"/>
    </row>
    <row r="300" spans="1:23" x14ac:dyDescent="0.35">
      <c r="A300" s="46"/>
      <c r="B300" s="211"/>
      <c r="C300" s="211"/>
      <c r="D300" s="33"/>
      <c r="E300" s="33"/>
      <c r="F300" s="33"/>
      <c r="G300" s="33"/>
      <c r="H300" s="46"/>
      <c r="I300" s="212"/>
      <c r="J300" s="212"/>
      <c r="K300" s="46"/>
      <c r="L300" s="46"/>
      <c r="M300" s="213"/>
      <c r="N300" s="200"/>
      <c r="O300" s="46"/>
      <c r="P300" s="46"/>
      <c r="Q300" s="46"/>
      <c r="R300" s="46"/>
      <c r="S300" s="46"/>
      <c r="T300" s="235"/>
      <c r="U300" s="235"/>
      <c r="V300" s="214"/>
      <c r="W300" s="34"/>
    </row>
    <row r="301" spans="1:23" x14ac:dyDescent="0.35">
      <c r="A301" s="46"/>
      <c r="B301" s="211"/>
      <c r="C301" s="211"/>
      <c r="D301" s="33"/>
      <c r="E301" s="33"/>
      <c r="F301" s="33"/>
      <c r="G301" s="33"/>
      <c r="H301" s="46"/>
      <c r="I301" s="212"/>
      <c r="J301" s="212"/>
      <c r="K301" s="46"/>
      <c r="L301" s="46"/>
      <c r="M301" s="213"/>
      <c r="N301" s="200"/>
      <c r="O301" s="46"/>
      <c r="P301" s="46"/>
      <c r="Q301" s="46"/>
      <c r="R301" s="46"/>
      <c r="S301" s="46"/>
      <c r="T301" s="235"/>
      <c r="U301" s="235"/>
      <c r="V301" s="214"/>
      <c r="W301" s="34"/>
    </row>
    <row r="302" spans="1:23" x14ac:dyDescent="0.35">
      <c r="A302" s="46"/>
      <c r="B302" s="211"/>
      <c r="C302" s="211"/>
      <c r="D302" s="33"/>
      <c r="E302" s="33"/>
      <c r="F302" s="33"/>
      <c r="G302" s="33"/>
      <c r="H302" s="46"/>
      <c r="I302" s="212"/>
      <c r="J302" s="212"/>
      <c r="K302" s="46"/>
      <c r="L302" s="46"/>
      <c r="M302" s="213"/>
      <c r="N302" s="200"/>
      <c r="O302" s="46"/>
      <c r="P302" s="46"/>
      <c r="Q302" s="46"/>
      <c r="R302" s="46"/>
      <c r="S302" s="46"/>
      <c r="T302" s="235"/>
      <c r="U302" s="235"/>
      <c r="V302" s="214"/>
      <c r="W302" s="34"/>
    </row>
    <row r="303" spans="1:23" x14ac:dyDescent="0.35">
      <c r="A303" s="46"/>
      <c r="B303" s="211"/>
      <c r="C303" s="211"/>
      <c r="D303" s="33"/>
      <c r="E303" s="33"/>
      <c r="F303" s="33"/>
      <c r="G303" s="33"/>
      <c r="H303" s="46"/>
      <c r="I303" s="212"/>
      <c r="J303" s="212"/>
      <c r="K303" s="46"/>
      <c r="L303" s="46"/>
      <c r="M303" s="213"/>
      <c r="N303" s="200"/>
      <c r="O303" s="46"/>
      <c r="P303" s="46"/>
      <c r="Q303" s="46"/>
      <c r="R303" s="46"/>
      <c r="S303" s="46"/>
      <c r="T303" s="235"/>
      <c r="U303" s="235"/>
      <c r="V303" s="214"/>
      <c r="W303" s="34"/>
    </row>
    <row r="304" spans="1:23" x14ac:dyDescent="0.35">
      <c r="A304" s="46"/>
      <c r="B304" s="211"/>
      <c r="C304" s="211"/>
      <c r="D304" s="33"/>
      <c r="E304" s="33"/>
      <c r="F304" s="33"/>
      <c r="G304" s="33"/>
      <c r="H304" s="46"/>
      <c r="I304" s="212"/>
      <c r="J304" s="212"/>
      <c r="K304" s="46"/>
      <c r="L304" s="46"/>
      <c r="M304" s="213"/>
      <c r="N304" s="200"/>
      <c r="O304" s="46"/>
      <c r="P304" s="46"/>
      <c r="Q304" s="46"/>
      <c r="R304" s="46"/>
      <c r="S304" s="46"/>
      <c r="T304" s="235"/>
      <c r="U304" s="235"/>
      <c r="V304" s="214"/>
      <c r="W304" s="34"/>
    </row>
    <row r="305" spans="1:23" x14ac:dyDescent="0.35">
      <c r="A305" s="46"/>
      <c r="B305" s="211"/>
      <c r="C305" s="211"/>
      <c r="D305" s="33"/>
      <c r="E305" s="33"/>
      <c r="F305" s="33"/>
      <c r="G305" s="33"/>
      <c r="H305" s="46"/>
      <c r="I305" s="212"/>
      <c r="J305" s="212"/>
      <c r="K305" s="46"/>
      <c r="L305" s="46"/>
      <c r="M305" s="213"/>
      <c r="N305" s="200"/>
      <c r="O305" s="46"/>
      <c r="P305" s="46"/>
      <c r="Q305" s="46"/>
      <c r="R305" s="46"/>
      <c r="S305" s="46"/>
      <c r="T305" s="235"/>
      <c r="U305" s="235"/>
      <c r="V305" s="214"/>
      <c r="W305" s="34"/>
    </row>
    <row r="306" spans="1:23" x14ac:dyDescent="0.35">
      <c r="A306" s="46"/>
      <c r="B306" s="211"/>
      <c r="C306" s="211"/>
      <c r="D306" s="33"/>
      <c r="E306" s="33"/>
      <c r="F306" s="33"/>
      <c r="G306" s="33"/>
      <c r="H306" s="46"/>
      <c r="I306" s="212"/>
      <c r="J306" s="212"/>
      <c r="K306" s="46"/>
      <c r="L306" s="46"/>
      <c r="M306" s="213"/>
      <c r="N306" s="200"/>
      <c r="O306" s="46"/>
      <c r="P306" s="46"/>
      <c r="Q306" s="46"/>
      <c r="R306" s="46"/>
      <c r="S306" s="46"/>
      <c r="T306" s="235"/>
      <c r="U306" s="235"/>
      <c r="V306" s="214"/>
      <c r="W306" s="34"/>
    </row>
    <row r="307" spans="1:23" x14ac:dyDescent="0.35">
      <c r="A307" s="46"/>
      <c r="B307" s="211"/>
      <c r="C307" s="211"/>
      <c r="D307" s="33"/>
      <c r="E307" s="33"/>
      <c r="F307" s="33"/>
      <c r="G307" s="33"/>
      <c r="H307" s="46"/>
      <c r="I307" s="212"/>
      <c r="J307" s="212"/>
      <c r="K307" s="46"/>
      <c r="L307" s="46"/>
      <c r="M307" s="213"/>
      <c r="N307" s="200"/>
      <c r="O307" s="46"/>
      <c r="P307" s="46"/>
      <c r="Q307" s="46"/>
      <c r="R307" s="46"/>
      <c r="S307" s="46"/>
      <c r="T307" s="235"/>
      <c r="U307" s="235"/>
      <c r="V307" s="214"/>
      <c r="W307" s="34"/>
    </row>
    <row r="308" spans="1:23" x14ac:dyDescent="0.35">
      <c r="A308" s="46"/>
      <c r="B308" s="211"/>
      <c r="C308" s="211"/>
      <c r="D308" s="33"/>
      <c r="E308" s="33"/>
      <c r="F308" s="33"/>
      <c r="G308" s="33"/>
      <c r="H308" s="46"/>
      <c r="I308" s="212"/>
      <c r="J308" s="212"/>
      <c r="K308" s="46"/>
      <c r="L308" s="46"/>
      <c r="M308" s="213"/>
      <c r="N308" s="200"/>
      <c r="O308" s="46"/>
      <c r="P308" s="46"/>
      <c r="Q308" s="46"/>
      <c r="R308" s="46"/>
      <c r="S308" s="46"/>
      <c r="T308" s="235"/>
      <c r="U308" s="235"/>
      <c r="V308" s="214"/>
      <c r="W308" s="34"/>
    </row>
    <row r="309" spans="1:23" x14ac:dyDescent="0.35">
      <c r="A309" s="46"/>
      <c r="B309" s="211"/>
      <c r="C309" s="211"/>
      <c r="D309" s="33"/>
      <c r="E309" s="33"/>
      <c r="F309" s="33"/>
      <c r="G309" s="33"/>
      <c r="H309" s="46"/>
      <c r="I309" s="212"/>
      <c r="J309" s="212"/>
      <c r="K309" s="46"/>
      <c r="L309" s="46"/>
      <c r="M309" s="213"/>
      <c r="N309" s="200"/>
      <c r="O309" s="46"/>
      <c r="P309" s="46"/>
      <c r="Q309" s="46"/>
      <c r="R309" s="46"/>
      <c r="S309" s="46"/>
      <c r="T309" s="235"/>
      <c r="U309" s="243"/>
      <c r="V309" s="214"/>
      <c r="W309" s="34"/>
    </row>
    <row r="310" spans="1:23" x14ac:dyDescent="0.35">
      <c r="A310" s="46"/>
      <c r="B310" s="211"/>
      <c r="C310" s="211"/>
      <c r="D310" s="33"/>
      <c r="E310" s="33"/>
      <c r="F310" s="33"/>
      <c r="G310" s="33"/>
      <c r="H310" s="46"/>
      <c r="I310" s="212"/>
      <c r="J310" s="212"/>
      <c r="K310" s="46"/>
      <c r="L310" s="46"/>
      <c r="M310" s="213"/>
      <c r="N310" s="200"/>
      <c r="O310" s="46"/>
      <c r="P310" s="46"/>
      <c r="Q310" s="46"/>
      <c r="R310" s="46"/>
      <c r="S310" s="46"/>
      <c r="T310" s="235"/>
      <c r="U310" s="243"/>
      <c r="V310" s="214"/>
      <c r="W310" s="34"/>
    </row>
    <row r="311" spans="1:23" x14ac:dyDescent="0.35">
      <c r="A311" s="46"/>
      <c r="B311" s="211"/>
      <c r="C311" s="211"/>
      <c r="D311" s="33"/>
      <c r="E311" s="33"/>
      <c r="F311" s="33"/>
      <c r="G311" s="33"/>
      <c r="H311" s="46"/>
      <c r="I311" s="212"/>
      <c r="J311" s="212"/>
      <c r="K311" s="46"/>
      <c r="L311" s="46"/>
      <c r="M311" s="213"/>
      <c r="N311" s="200"/>
      <c r="O311" s="46"/>
      <c r="P311" s="46"/>
      <c r="Q311" s="46"/>
      <c r="R311" s="46"/>
      <c r="S311" s="46"/>
      <c r="T311" s="235"/>
      <c r="U311" s="243"/>
      <c r="V311" s="214"/>
      <c r="W311" s="34"/>
    </row>
    <row r="312" spans="1:23" x14ac:dyDescent="0.35">
      <c r="A312" s="46"/>
      <c r="B312" s="211"/>
      <c r="C312" s="211"/>
      <c r="D312" s="33"/>
      <c r="E312" s="33"/>
      <c r="F312" s="33"/>
      <c r="G312" s="33"/>
      <c r="H312" s="46"/>
      <c r="I312" s="212"/>
      <c r="J312" s="212"/>
      <c r="K312" s="46"/>
      <c r="L312" s="46"/>
      <c r="M312" s="213"/>
      <c r="N312" s="200"/>
      <c r="O312" s="46"/>
      <c r="P312" s="46"/>
      <c r="Q312" s="46"/>
      <c r="R312" s="46"/>
      <c r="S312" s="46"/>
      <c r="T312" s="235"/>
      <c r="U312" s="243"/>
      <c r="V312" s="214"/>
      <c r="W312" s="34"/>
    </row>
    <row r="313" spans="1:23" x14ac:dyDescent="0.35">
      <c r="A313" s="46"/>
      <c r="B313" s="211"/>
      <c r="C313" s="211"/>
      <c r="D313" s="33"/>
      <c r="E313" s="33"/>
      <c r="F313" s="33"/>
      <c r="G313" s="33"/>
      <c r="H313" s="46"/>
      <c r="I313" s="212"/>
      <c r="J313" s="212"/>
      <c r="K313" s="46"/>
      <c r="L313" s="46"/>
      <c r="M313" s="213"/>
      <c r="N313" s="200"/>
      <c r="O313" s="46"/>
      <c r="P313" s="46"/>
      <c r="Q313" s="46"/>
      <c r="R313" s="46"/>
      <c r="S313" s="46"/>
      <c r="T313" s="235"/>
      <c r="U313" s="243"/>
      <c r="V313" s="214"/>
      <c r="W313" s="34"/>
    </row>
    <row r="314" spans="1:23" x14ac:dyDescent="0.35">
      <c r="A314" s="46"/>
      <c r="B314" s="211"/>
      <c r="C314" s="211"/>
      <c r="D314" s="33"/>
      <c r="E314" s="33"/>
      <c r="F314" s="33"/>
      <c r="G314" s="33"/>
      <c r="H314" s="46"/>
      <c r="I314" s="212"/>
      <c r="J314" s="212"/>
      <c r="K314" s="46"/>
      <c r="L314" s="46"/>
      <c r="M314" s="213"/>
      <c r="N314" s="200"/>
      <c r="O314" s="46"/>
      <c r="P314" s="46"/>
      <c r="Q314" s="46"/>
      <c r="R314" s="46"/>
      <c r="S314" s="46"/>
      <c r="T314" s="235"/>
      <c r="U314" s="243"/>
      <c r="V314" s="214"/>
      <c r="W314" s="34"/>
    </row>
    <row r="315" spans="1:23" x14ac:dyDescent="0.35">
      <c r="A315" s="46"/>
      <c r="B315" s="211"/>
      <c r="C315" s="211"/>
      <c r="D315" s="33"/>
      <c r="E315" s="33"/>
      <c r="F315" s="33"/>
      <c r="G315" s="33"/>
      <c r="H315" s="46"/>
      <c r="I315" s="212"/>
      <c r="J315" s="212"/>
      <c r="K315" s="46"/>
      <c r="L315" s="46"/>
      <c r="M315" s="213"/>
      <c r="N315" s="200"/>
      <c r="O315" s="46"/>
      <c r="P315" s="46"/>
      <c r="Q315" s="46"/>
      <c r="R315" s="46"/>
      <c r="S315" s="46"/>
      <c r="T315" s="235"/>
      <c r="U315" s="243"/>
      <c r="V315" s="214"/>
      <c r="W315" s="34"/>
    </row>
    <row r="316" spans="1:23" x14ac:dyDescent="0.35">
      <c r="A316" s="46"/>
      <c r="B316" s="211"/>
      <c r="C316" s="211"/>
      <c r="D316" s="33"/>
      <c r="E316" s="33"/>
      <c r="F316" s="33"/>
      <c r="G316" s="33"/>
      <c r="H316" s="46"/>
      <c r="I316" s="212"/>
      <c r="J316" s="212"/>
      <c r="K316" s="46"/>
      <c r="L316" s="46"/>
      <c r="M316" s="213"/>
      <c r="N316" s="200"/>
      <c r="O316" s="46"/>
      <c r="P316" s="46"/>
      <c r="Q316" s="46"/>
      <c r="R316" s="46"/>
      <c r="S316" s="46"/>
      <c r="T316" s="235"/>
      <c r="U316" s="243"/>
      <c r="V316" s="214"/>
      <c r="W316" s="34"/>
    </row>
    <row r="317" spans="1:23" x14ac:dyDescent="0.35">
      <c r="A317" s="46"/>
      <c r="B317" s="211"/>
      <c r="C317" s="211"/>
      <c r="D317" s="33"/>
      <c r="E317" s="33"/>
      <c r="F317" s="33"/>
      <c r="G317" s="33"/>
      <c r="H317" s="46"/>
      <c r="I317" s="212"/>
      <c r="J317" s="212"/>
      <c r="K317" s="46"/>
      <c r="L317" s="46"/>
      <c r="M317" s="213"/>
      <c r="N317" s="200"/>
      <c r="O317" s="46"/>
      <c r="P317" s="46"/>
      <c r="Q317" s="46"/>
      <c r="R317" s="46"/>
      <c r="S317" s="46"/>
      <c r="T317" s="235"/>
      <c r="U317" s="243"/>
      <c r="V317" s="214"/>
      <c r="W317" s="34"/>
    </row>
    <row r="318" spans="1:23" x14ac:dyDescent="0.35">
      <c r="A318" s="46"/>
      <c r="B318" s="211"/>
      <c r="C318" s="211"/>
      <c r="D318" s="33"/>
      <c r="E318" s="33"/>
      <c r="F318" s="33"/>
      <c r="G318" s="33"/>
      <c r="H318" s="46"/>
      <c r="I318" s="212"/>
      <c r="J318" s="212"/>
      <c r="K318" s="46"/>
      <c r="L318" s="46"/>
      <c r="M318" s="213"/>
      <c r="N318" s="200"/>
      <c r="O318" s="46"/>
      <c r="P318" s="46"/>
      <c r="Q318" s="46"/>
      <c r="R318" s="46"/>
      <c r="S318" s="46"/>
      <c r="T318" s="235"/>
      <c r="U318" s="243"/>
      <c r="V318" s="214"/>
      <c r="W318" s="34"/>
    </row>
    <row r="319" spans="1:23" x14ac:dyDescent="0.35">
      <c r="A319" s="46"/>
      <c r="B319" s="211"/>
      <c r="C319" s="211"/>
      <c r="D319" s="33"/>
      <c r="E319" s="33"/>
      <c r="F319" s="33"/>
      <c r="G319" s="33"/>
      <c r="H319" s="46"/>
      <c r="I319" s="212"/>
      <c r="J319" s="212"/>
      <c r="K319" s="46"/>
      <c r="L319" s="46"/>
      <c r="M319" s="213"/>
      <c r="N319" s="200"/>
      <c r="O319" s="46"/>
      <c r="P319" s="46"/>
      <c r="Q319" s="46"/>
      <c r="R319" s="46"/>
      <c r="S319" s="46"/>
      <c r="T319" s="235"/>
      <c r="U319" s="243"/>
      <c r="V319" s="214"/>
      <c r="W319" s="34"/>
    </row>
    <row r="320" spans="1:23" x14ac:dyDescent="0.35">
      <c r="A320" s="46"/>
      <c r="B320" s="211"/>
      <c r="C320" s="211"/>
      <c r="D320" s="33"/>
      <c r="E320" s="33"/>
      <c r="F320" s="33"/>
      <c r="G320" s="33"/>
      <c r="H320" s="46"/>
      <c r="I320" s="212"/>
      <c r="J320" s="212"/>
      <c r="K320" s="46"/>
      <c r="L320" s="46"/>
      <c r="M320" s="213"/>
      <c r="N320" s="200"/>
      <c r="O320" s="46"/>
      <c r="P320" s="46"/>
      <c r="Q320" s="46"/>
      <c r="R320" s="46"/>
      <c r="S320" s="46"/>
      <c r="T320" s="235"/>
      <c r="U320" s="243"/>
      <c r="V320" s="214"/>
      <c r="W320" s="34"/>
    </row>
    <row r="321" spans="1:23" x14ac:dyDescent="0.35">
      <c r="A321" s="46"/>
      <c r="B321" s="211"/>
      <c r="C321" s="211"/>
      <c r="D321" s="33"/>
      <c r="E321" s="33"/>
      <c r="F321" s="33"/>
      <c r="G321" s="33"/>
      <c r="H321" s="46"/>
      <c r="I321" s="212"/>
      <c r="J321" s="212"/>
      <c r="K321" s="46"/>
      <c r="L321" s="46"/>
      <c r="M321" s="213"/>
      <c r="N321" s="200"/>
      <c r="O321" s="46"/>
      <c r="P321" s="46"/>
      <c r="Q321" s="46"/>
      <c r="R321" s="46"/>
      <c r="S321" s="46"/>
      <c r="T321" s="235"/>
      <c r="U321" s="243"/>
      <c r="V321" s="214"/>
      <c r="W321" s="34"/>
    </row>
    <row r="322" spans="1:23" x14ac:dyDescent="0.35">
      <c r="A322" s="46"/>
      <c r="B322" s="211"/>
      <c r="C322" s="211"/>
      <c r="D322" s="33"/>
      <c r="E322" s="33"/>
      <c r="F322" s="33"/>
      <c r="G322" s="33"/>
      <c r="H322" s="46"/>
      <c r="I322" s="212"/>
      <c r="J322" s="212"/>
      <c r="K322" s="46"/>
      <c r="L322" s="46"/>
      <c r="M322" s="213"/>
      <c r="N322" s="200"/>
      <c r="O322" s="46"/>
      <c r="P322" s="46"/>
      <c r="Q322" s="46"/>
      <c r="R322" s="46"/>
      <c r="S322" s="46"/>
      <c r="T322" s="235"/>
      <c r="U322" s="243"/>
      <c r="V322" s="214"/>
      <c r="W322" s="34"/>
    </row>
    <row r="323" spans="1:23" x14ac:dyDescent="0.35">
      <c r="A323" s="46"/>
      <c r="B323" s="211"/>
      <c r="C323" s="211"/>
      <c r="D323" s="33"/>
      <c r="E323" s="33"/>
      <c r="F323" s="33"/>
      <c r="G323" s="33"/>
      <c r="H323" s="46"/>
      <c r="I323" s="212"/>
      <c r="J323" s="212"/>
      <c r="K323" s="46"/>
      <c r="L323" s="46"/>
      <c r="M323" s="213"/>
      <c r="N323" s="200"/>
      <c r="O323" s="46"/>
      <c r="P323" s="46"/>
      <c r="Q323" s="46"/>
      <c r="R323" s="46"/>
      <c r="S323" s="46"/>
      <c r="T323" s="235"/>
      <c r="U323" s="243"/>
      <c r="V323" s="214"/>
      <c r="W323" s="34"/>
    </row>
    <row r="324" spans="1:23" x14ac:dyDescent="0.35">
      <c r="A324" s="46"/>
      <c r="B324" s="211"/>
      <c r="C324" s="211"/>
      <c r="D324" s="33"/>
      <c r="E324" s="33"/>
      <c r="F324" s="33"/>
      <c r="G324" s="33"/>
      <c r="H324" s="46"/>
      <c r="I324" s="212"/>
      <c r="J324" s="212"/>
      <c r="K324" s="46"/>
      <c r="L324" s="46"/>
      <c r="M324" s="213"/>
      <c r="N324" s="200"/>
      <c r="O324" s="46"/>
      <c r="P324" s="46"/>
      <c r="Q324" s="46"/>
      <c r="R324" s="46"/>
      <c r="S324" s="46"/>
      <c r="T324" s="235"/>
      <c r="U324" s="243"/>
      <c r="V324" s="214"/>
      <c r="W324" s="34"/>
    </row>
    <row r="325" spans="1:23" x14ac:dyDescent="0.35">
      <c r="A325" s="46"/>
      <c r="B325" s="211"/>
      <c r="C325" s="211"/>
      <c r="D325" s="33"/>
      <c r="E325" s="33"/>
      <c r="F325" s="33"/>
      <c r="G325" s="33"/>
      <c r="H325" s="46"/>
      <c r="I325" s="212"/>
      <c r="J325" s="212"/>
      <c r="K325" s="46"/>
      <c r="L325" s="46"/>
      <c r="M325" s="213"/>
      <c r="N325" s="200"/>
      <c r="O325" s="46"/>
      <c r="P325" s="46"/>
      <c r="Q325" s="46"/>
      <c r="R325" s="46"/>
      <c r="S325" s="46"/>
      <c r="T325" s="235"/>
      <c r="U325" s="243"/>
      <c r="V325" s="214"/>
      <c r="W325" s="34"/>
    </row>
    <row r="326" spans="1:23" x14ac:dyDescent="0.35">
      <c r="A326" s="46"/>
      <c r="B326" s="211"/>
      <c r="C326" s="211"/>
      <c r="D326" s="33"/>
      <c r="E326" s="33"/>
      <c r="F326" s="33"/>
      <c r="G326" s="33"/>
      <c r="H326" s="46"/>
      <c r="I326" s="212"/>
      <c r="J326" s="212"/>
      <c r="K326" s="46"/>
      <c r="L326" s="46"/>
      <c r="M326" s="213"/>
      <c r="N326" s="200"/>
      <c r="O326" s="46"/>
      <c r="P326" s="46"/>
      <c r="Q326" s="46"/>
      <c r="R326" s="46"/>
      <c r="S326" s="46"/>
      <c r="T326" s="235"/>
      <c r="U326" s="243"/>
      <c r="V326" s="214"/>
      <c r="W326" s="34"/>
    </row>
    <row r="327" spans="1:23" x14ac:dyDescent="0.35">
      <c r="A327" s="46"/>
      <c r="B327" s="211"/>
      <c r="C327" s="211"/>
      <c r="D327" s="33"/>
      <c r="E327" s="33"/>
      <c r="F327" s="33"/>
      <c r="G327" s="33"/>
      <c r="H327" s="46"/>
      <c r="I327" s="212"/>
      <c r="J327" s="212"/>
      <c r="K327" s="46"/>
      <c r="L327" s="46"/>
      <c r="M327" s="213"/>
      <c r="N327" s="200"/>
      <c r="O327" s="46"/>
      <c r="P327" s="46"/>
      <c r="Q327" s="46"/>
      <c r="R327" s="46"/>
      <c r="S327" s="46"/>
      <c r="T327" s="235"/>
      <c r="U327" s="243"/>
      <c r="V327" s="214"/>
      <c r="W327" s="34"/>
    </row>
    <row r="328" spans="1:23" x14ac:dyDescent="0.35">
      <c r="A328" s="46"/>
      <c r="B328" s="211"/>
      <c r="C328" s="211"/>
      <c r="D328" s="33"/>
      <c r="E328" s="33"/>
      <c r="F328" s="33"/>
      <c r="G328" s="33"/>
      <c r="H328" s="46"/>
      <c r="I328" s="212"/>
      <c r="J328" s="212"/>
      <c r="K328" s="46"/>
      <c r="L328" s="46"/>
      <c r="M328" s="213"/>
      <c r="N328" s="200"/>
      <c r="O328" s="46"/>
      <c r="P328" s="46"/>
      <c r="Q328" s="46"/>
      <c r="R328" s="46"/>
      <c r="S328" s="46"/>
      <c r="T328" s="235"/>
      <c r="U328" s="243"/>
      <c r="V328" s="214"/>
      <c r="W328" s="34"/>
    </row>
    <row r="329" spans="1:23" x14ac:dyDescent="0.35">
      <c r="A329" s="46"/>
      <c r="B329" s="211"/>
      <c r="C329" s="211"/>
      <c r="D329" s="33"/>
      <c r="E329" s="33"/>
      <c r="F329" s="33"/>
      <c r="G329" s="33"/>
      <c r="H329" s="46"/>
      <c r="I329" s="212"/>
      <c r="J329" s="212"/>
      <c r="K329" s="46"/>
      <c r="L329" s="46"/>
      <c r="M329" s="213"/>
      <c r="N329" s="200"/>
      <c r="O329" s="46"/>
      <c r="P329" s="46"/>
      <c r="Q329" s="46"/>
      <c r="R329" s="46"/>
      <c r="S329" s="46"/>
      <c r="T329" s="235"/>
      <c r="U329" s="243"/>
      <c r="V329" s="214"/>
      <c r="W329" s="34"/>
    </row>
    <row r="330" spans="1:23" x14ac:dyDescent="0.35">
      <c r="A330" s="46"/>
      <c r="B330" s="211"/>
      <c r="C330" s="211"/>
      <c r="D330" s="33"/>
      <c r="E330" s="33"/>
      <c r="F330" s="33"/>
      <c r="G330" s="33"/>
      <c r="H330" s="46"/>
      <c r="I330" s="212"/>
      <c r="J330" s="212"/>
      <c r="K330" s="46"/>
      <c r="L330" s="46"/>
      <c r="M330" s="213"/>
      <c r="N330" s="200"/>
      <c r="O330" s="46"/>
      <c r="P330" s="46"/>
      <c r="Q330" s="46"/>
      <c r="R330" s="46"/>
      <c r="S330" s="46"/>
      <c r="T330" s="235"/>
      <c r="U330" s="243"/>
      <c r="V330" s="214"/>
      <c r="W330" s="34"/>
    </row>
    <row r="331" spans="1:23" x14ac:dyDescent="0.35">
      <c r="A331" s="46"/>
      <c r="B331" s="211"/>
      <c r="C331" s="211"/>
      <c r="D331" s="33"/>
      <c r="E331" s="33"/>
      <c r="F331" s="33"/>
      <c r="G331" s="33"/>
      <c r="H331" s="46"/>
      <c r="I331" s="212"/>
      <c r="J331" s="212"/>
      <c r="K331" s="46"/>
      <c r="L331" s="46"/>
      <c r="M331" s="213"/>
      <c r="N331" s="200"/>
      <c r="O331" s="46"/>
      <c r="P331" s="46"/>
      <c r="Q331" s="46"/>
      <c r="R331" s="46"/>
      <c r="S331" s="46"/>
      <c r="T331" s="235"/>
      <c r="U331" s="243"/>
      <c r="V331" s="214"/>
      <c r="W331" s="34"/>
    </row>
    <row r="332" spans="1:23" x14ac:dyDescent="0.35">
      <c r="A332" s="46"/>
      <c r="B332" s="211"/>
      <c r="C332" s="211"/>
      <c r="D332" s="33"/>
      <c r="E332" s="33"/>
      <c r="F332" s="33"/>
      <c r="G332" s="33"/>
      <c r="H332" s="46"/>
      <c r="I332" s="212"/>
      <c r="J332" s="212"/>
      <c r="K332" s="46"/>
      <c r="L332" s="46"/>
      <c r="M332" s="213"/>
      <c r="N332" s="200"/>
      <c r="O332" s="46"/>
      <c r="P332" s="46"/>
      <c r="Q332" s="46"/>
      <c r="R332" s="46"/>
      <c r="S332" s="46"/>
      <c r="T332" s="235"/>
      <c r="U332" s="243"/>
      <c r="V332" s="214"/>
      <c r="W332" s="34"/>
    </row>
    <row r="333" spans="1:23" x14ac:dyDescent="0.35">
      <c r="A333" s="46"/>
      <c r="B333" s="211"/>
      <c r="C333" s="211"/>
      <c r="D333" s="33"/>
      <c r="E333" s="33"/>
      <c r="F333" s="33"/>
      <c r="G333" s="33"/>
      <c r="H333" s="46"/>
      <c r="I333" s="212"/>
      <c r="J333" s="212"/>
      <c r="K333" s="46"/>
      <c r="L333" s="46"/>
      <c r="M333" s="213"/>
      <c r="N333" s="200"/>
      <c r="O333" s="46"/>
      <c r="P333" s="46"/>
      <c r="Q333" s="46"/>
      <c r="R333" s="46"/>
      <c r="S333" s="46"/>
      <c r="T333" s="235"/>
      <c r="U333" s="243"/>
      <c r="V333" s="214"/>
      <c r="W333" s="34"/>
    </row>
    <row r="334" spans="1:23" x14ac:dyDescent="0.35">
      <c r="A334" s="46"/>
      <c r="B334" s="211"/>
      <c r="C334" s="211"/>
      <c r="D334" s="33"/>
      <c r="E334" s="33"/>
      <c r="F334" s="33"/>
      <c r="G334" s="33"/>
      <c r="H334" s="46"/>
      <c r="I334" s="212"/>
      <c r="J334" s="212"/>
      <c r="K334" s="46"/>
      <c r="L334" s="46"/>
      <c r="M334" s="213"/>
      <c r="N334" s="200"/>
      <c r="O334" s="46"/>
      <c r="P334" s="46"/>
      <c r="Q334" s="46"/>
      <c r="R334" s="46"/>
      <c r="S334" s="46"/>
      <c r="T334" s="235"/>
      <c r="U334" s="243"/>
      <c r="V334" s="214"/>
      <c r="W334" s="34"/>
    </row>
    <row r="335" spans="1:23" x14ac:dyDescent="0.35">
      <c r="A335" s="46"/>
      <c r="B335" s="211"/>
      <c r="C335" s="211"/>
      <c r="D335" s="33"/>
      <c r="E335" s="33"/>
      <c r="F335" s="33"/>
      <c r="G335" s="33"/>
      <c r="H335" s="46"/>
      <c r="I335" s="212"/>
      <c r="J335" s="212"/>
      <c r="K335" s="46"/>
      <c r="L335" s="46"/>
      <c r="M335" s="213"/>
      <c r="N335" s="200"/>
      <c r="O335" s="46"/>
      <c r="P335" s="46"/>
      <c r="Q335" s="46"/>
      <c r="R335" s="46"/>
      <c r="S335" s="46"/>
      <c r="T335" s="235"/>
      <c r="U335" s="243"/>
      <c r="V335" s="214"/>
      <c r="W335" s="34"/>
    </row>
    <row r="336" spans="1:23" x14ac:dyDescent="0.35">
      <c r="A336" s="46"/>
      <c r="B336" s="211"/>
      <c r="C336" s="211"/>
      <c r="D336" s="33"/>
      <c r="E336" s="33"/>
      <c r="F336" s="33"/>
      <c r="G336" s="33"/>
      <c r="H336" s="46"/>
      <c r="I336" s="212"/>
      <c r="J336" s="212"/>
      <c r="K336" s="46"/>
      <c r="L336" s="46"/>
      <c r="M336" s="213"/>
      <c r="N336" s="200"/>
      <c r="O336" s="46"/>
      <c r="P336" s="46"/>
      <c r="Q336" s="46"/>
      <c r="R336" s="46"/>
      <c r="S336" s="46"/>
      <c r="T336" s="235"/>
      <c r="U336" s="243"/>
      <c r="V336" s="214"/>
      <c r="W336" s="34"/>
    </row>
    <row r="337" spans="1:23" x14ac:dyDescent="0.35">
      <c r="A337" s="46"/>
      <c r="B337" s="211"/>
      <c r="C337" s="211"/>
      <c r="D337" s="33"/>
      <c r="E337" s="33"/>
      <c r="F337" s="33"/>
      <c r="G337" s="33"/>
      <c r="H337" s="46"/>
      <c r="I337" s="212"/>
      <c r="J337" s="212"/>
      <c r="K337" s="46"/>
      <c r="L337" s="46"/>
      <c r="M337" s="213"/>
      <c r="N337" s="200"/>
      <c r="O337" s="46"/>
      <c r="P337" s="46"/>
      <c r="Q337" s="46"/>
      <c r="R337" s="46"/>
      <c r="S337" s="46"/>
      <c r="T337" s="235"/>
      <c r="U337" s="243"/>
      <c r="V337" s="214"/>
      <c r="W337" s="34"/>
    </row>
    <row r="338" spans="1:23" x14ac:dyDescent="0.35">
      <c r="A338" s="46"/>
      <c r="B338" s="211"/>
      <c r="C338" s="211"/>
      <c r="D338" s="33"/>
      <c r="E338" s="33"/>
      <c r="F338" s="33"/>
      <c r="G338" s="33"/>
      <c r="H338" s="46"/>
      <c r="I338" s="212"/>
      <c r="J338" s="212"/>
      <c r="K338" s="46"/>
      <c r="L338" s="46"/>
      <c r="M338" s="213"/>
      <c r="N338" s="200"/>
      <c r="O338" s="46"/>
      <c r="P338" s="46"/>
      <c r="Q338" s="46"/>
      <c r="R338" s="46"/>
      <c r="S338" s="46"/>
      <c r="T338" s="235"/>
      <c r="U338" s="243"/>
      <c r="V338" s="214"/>
      <c r="W338" s="34"/>
    </row>
    <row r="339" spans="1:23" x14ac:dyDescent="0.35">
      <c r="A339" s="46"/>
      <c r="B339" s="211"/>
      <c r="C339" s="211"/>
      <c r="D339" s="33"/>
      <c r="E339" s="33"/>
      <c r="F339" s="33"/>
      <c r="G339" s="33"/>
      <c r="H339" s="46"/>
      <c r="I339" s="212"/>
      <c r="J339" s="212"/>
      <c r="K339" s="46"/>
      <c r="L339" s="46"/>
      <c r="M339" s="213"/>
      <c r="N339" s="200"/>
      <c r="O339" s="46"/>
      <c r="P339" s="46"/>
      <c r="Q339" s="46"/>
      <c r="R339" s="46"/>
      <c r="S339" s="46"/>
      <c r="T339" s="235"/>
      <c r="U339" s="243"/>
      <c r="V339" s="214"/>
      <c r="W339" s="34"/>
    </row>
    <row r="340" spans="1:23" x14ac:dyDescent="0.35">
      <c r="A340" s="46"/>
      <c r="B340" s="211"/>
      <c r="C340" s="211"/>
      <c r="D340" s="33"/>
      <c r="E340" s="33"/>
      <c r="F340" s="33"/>
      <c r="G340" s="33"/>
      <c r="H340" s="46"/>
      <c r="I340" s="212"/>
      <c r="J340" s="212"/>
      <c r="K340" s="46"/>
      <c r="L340" s="46"/>
      <c r="M340" s="213"/>
      <c r="N340" s="200"/>
      <c r="O340" s="46"/>
      <c r="P340" s="46"/>
      <c r="Q340" s="46"/>
      <c r="R340" s="46"/>
      <c r="S340" s="46"/>
      <c r="T340" s="235"/>
      <c r="U340" s="243"/>
      <c r="V340" s="214"/>
      <c r="W340" s="34"/>
    </row>
    <row r="341" spans="1:23" x14ac:dyDescent="0.35">
      <c r="A341" s="46"/>
      <c r="B341" s="211"/>
      <c r="C341" s="211"/>
      <c r="D341" s="33"/>
      <c r="E341" s="33"/>
      <c r="F341" s="33"/>
      <c r="G341" s="33"/>
      <c r="H341" s="46"/>
      <c r="I341" s="212"/>
      <c r="J341" s="212"/>
      <c r="K341" s="46"/>
      <c r="L341" s="46"/>
      <c r="M341" s="213"/>
      <c r="N341" s="200"/>
      <c r="O341" s="46"/>
      <c r="P341" s="46"/>
      <c r="Q341" s="46"/>
      <c r="R341" s="46"/>
      <c r="S341" s="46"/>
      <c r="T341" s="235"/>
      <c r="U341" s="243"/>
      <c r="V341" s="214"/>
      <c r="W341" s="34"/>
    </row>
    <row r="342" spans="1:23" x14ac:dyDescent="0.35">
      <c r="A342" s="46"/>
      <c r="B342" s="211"/>
      <c r="C342" s="211"/>
      <c r="D342" s="33"/>
      <c r="E342" s="33"/>
      <c r="F342" s="33"/>
      <c r="G342" s="33"/>
      <c r="H342" s="46"/>
      <c r="I342" s="212"/>
      <c r="J342" s="212"/>
      <c r="K342" s="46"/>
      <c r="L342" s="46"/>
      <c r="M342" s="213"/>
      <c r="N342" s="200"/>
      <c r="O342" s="46"/>
      <c r="P342" s="46"/>
      <c r="Q342" s="46"/>
      <c r="R342" s="46"/>
      <c r="S342" s="46"/>
      <c r="T342" s="235"/>
      <c r="U342" s="243"/>
      <c r="V342" s="214"/>
      <c r="W342" s="34"/>
    </row>
    <row r="343" spans="1:23" x14ac:dyDescent="0.35">
      <c r="A343" s="46"/>
      <c r="B343" s="211"/>
      <c r="C343" s="211"/>
      <c r="D343" s="33"/>
      <c r="E343" s="33"/>
      <c r="F343" s="33"/>
      <c r="G343" s="33"/>
      <c r="H343" s="46"/>
      <c r="I343" s="212"/>
      <c r="J343" s="212"/>
      <c r="K343" s="46"/>
      <c r="L343" s="46"/>
      <c r="M343" s="213"/>
      <c r="N343" s="200"/>
      <c r="O343" s="46"/>
      <c r="P343" s="46"/>
      <c r="Q343" s="46"/>
      <c r="R343" s="46"/>
      <c r="S343" s="46"/>
      <c r="T343" s="235"/>
      <c r="U343" s="243"/>
      <c r="V343" s="214"/>
      <c r="W343" s="34"/>
    </row>
    <row r="344" spans="1:23" x14ac:dyDescent="0.35">
      <c r="A344" s="46"/>
      <c r="B344" s="211"/>
      <c r="C344" s="211"/>
      <c r="D344" s="33"/>
      <c r="E344" s="33"/>
      <c r="F344" s="33"/>
      <c r="G344" s="33"/>
      <c r="H344" s="46"/>
      <c r="I344" s="212"/>
      <c r="J344" s="212"/>
      <c r="K344" s="46"/>
      <c r="L344" s="46"/>
      <c r="M344" s="213"/>
      <c r="N344" s="200"/>
      <c r="O344" s="46"/>
      <c r="P344" s="46"/>
      <c r="Q344" s="46"/>
      <c r="R344" s="46"/>
      <c r="S344" s="46"/>
      <c r="T344" s="235"/>
      <c r="U344" s="243"/>
      <c r="V344" s="214"/>
      <c r="W344" s="34"/>
    </row>
    <row r="345" spans="1:23" x14ac:dyDescent="0.35">
      <c r="A345" s="46"/>
      <c r="B345" s="211"/>
      <c r="C345" s="211"/>
      <c r="D345" s="33"/>
      <c r="E345" s="33"/>
      <c r="F345" s="33"/>
      <c r="G345" s="33"/>
      <c r="H345" s="46"/>
      <c r="I345" s="212"/>
      <c r="J345" s="212"/>
      <c r="K345" s="46"/>
      <c r="L345" s="46"/>
      <c r="M345" s="213"/>
      <c r="N345" s="200"/>
      <c r="O345" s="46"/>
      <c r="P345" s="46"/>
      <c r="Q345" s="46"/>
      <c r="R345" s="46"/>
      <c r="S345" s="46"/>
      <c r="T345" s="235"/>
      <c r="U345" s="243"/>
      <c r="V345" s="214"/>
      <c r="W345" s="34"/>
    </row>
    <row r="346" spans="1:23" x14ac:dyDescent="0.35">
      <c r="A346" s="46"/>
      <c r="B346" s="211"/>
      <c r="C346" s="211"/>
      <c r="D346" s="33"/>
      <c r="E346" s="33"/>
      <c r="F346" s="33"/>
      <c r="G346" s="33"/>
      <c r="H346" s="46"/>
      <c r="I346" s="212"/>
      <c r="J346" s="212"/>
      <c r="K346" s="46"/>
      <c r="L346" s="46"/>
      <c r="M346" s="213"/>
      <c r="N346" s="200"/>
      <c r="O346" s="46"/>
      <c r="P346" s="46"/>
      <c r="Q346" s="46"/>
      <c r="R346" s="46"/>
      <c r="S346" s="46"/>
      <c r="T346" s="235"/>
      <c r="U346" s="243"/>
      <c r="V346" s="214"/>
      <c r="W346" s="34"/>
    </row>
    <row r="347" spans="1:23" x14ac:dyDescent="0.35">
      <c r="A347" s="46"/>
      <c r="B347" s="211"/>
      <c r="C347" s="211"/>
      <c r="D347" s="33"/>
      <c r="E347" s="33"/>
      <c r="F347" s="33"/>
      <c r="G347" s="33"/>
      <c r="H347" s="46"/>
      <c r="I347" s="212"/>
      <c r="J347" s="212"/>
      <c r="K347" s="46"/>
      <c r="L347" s="46"/>
      <c r="M347" s="213"/>
      <c r="N347" s="200"/>
      <c r="O347" s="46"/>
      <c r="P347" s="46"/>
      <c r="Q347" s="46"/>
      <c r="R347" s="46"/>
      <c r="S347" s="46"/>
      <c r="T347" s="235"/>
      <c r="U347" s="243"/>
      <c r="V347" s="214"/>
      <c r="W347" s="34"/>
    </row>
    <row r="348" spans="1:23" x14ac:dyDescent="0.35">
      <c r="A348" s="46"/>
      <c r="B348" s="211"/>
      <c r="C348" s="211"/>
      <c r="D348" s="33"/>
      <c r="E348" s="33"/>
      <c r="F348" s="33"/>
      <c r="G348" s="33"/>
      <c r="H348" s="46"/>
      <c r="I348" s="212"/>
      <c r="J348" s="212"/>
      <c r="K348" s="46"/>
      <c r="L348" s="46"/>
      <c r="M348" s="213"/>
      <c r="N348" s="200"/>
      <c r="O348" s="46"/>
      <c r="P348" s="46"/>
      <c r="Q348" s="46"/>
      <c r="R348" s="46"/>
      <c r="S348" s="46"/>
      <c r="T348" s="235"/>
      <c r="U348" s="243"/>
      <c r="V348" s="214"/>
      <c r="W348" s="34"/>
    </row>
    <row r="349" spans="1:23" x14ac:dyDescent="0.35">
      <c r="A349" s="46"/>
      <c r="B349" s="211"/>
      <c r="C349" s="211"/>
      <c r="D349" s="33"/>
      <c r="E349" s="33"/>
      <c r="F349" s="33"/>
      <c r="G349" s="33"/>
      <c r="H349" s="46"/>
      <c r="I349" s="212"/>
      <c r="J349" s="212"/>
      <c r="K349" s="46"/>
      <c r="L349" s="46"/>
      <c r="M349" s="213"/>
      <c r="N349" s="200"/>
      <c r="O349" s="46"/>
      <c r="P349" s="46"/>
      <c r="Q349" s="46"/>
      <c r="R349" s="46"/>
      <c r="S349" s="46"/>
      <c r="T349" s="235"/>
      <c r="U349" s="243"/>
      <c r="V349" s="214"/>
      <c r="W349" s="34"/>
    </row>
    <row r="350" spans="1:23" x14ac:dyDescent="0.35">
      <c r="A350" s="46"/>
      <c r="B350" s="211"/>
      <c r="C350" s="211"/>
      <c r="D350" s="33"/>
      <c r="E350" s="33"/>
      <c r="F350" s="33"/>
      <c r="G350" s="33"/>
      <c r="H350" s="46"/>
      <c r="I350" s="212"/>
      <c r="J350" s="212"/>
      <c r="K350" s="46"/>
      <c r="L350" s="46"/>
      <c r="M350" s="213"/>
      <c r="N350" s="200"/>
      <c r="O350" s="46"/>
      <c r="P350" s="46"/>
      <c r="Q350" s="46"/>
      <c r="R350" s="46"/>
      <c r="S350" s="46"/>
      <c r="T350" s="235"/>
      <c r="U350" s="243"/>
      <c r="V350" s="214"/>
      <c r="W350" s="34"/>
    </row>
    <row r="351" spans="1:23" x14ac:dyDescent="0.35">
      <c r="A351" s="46"/>
      <c r="B351" s="211"/>
      <c r="C351" s="211"/>
      <c r="D351" s="33"/>
      <c r="E351" s="33"/>
      <c r="F351" s="33"/>
      <c r="G351" s="33"/>
      <c r="H351" s="46"/>
      <c r="I351" s="212"/>
      <c r="J351" s="212"/>
      <c r="K351" s="46"/>
      <c r="L351" s="46"/>
      <c r="M351" s="213"/>
      <c r="N351" s="200"/>
      <c r="O351" s="46"/>
      <c r="P351" s="46"/>
      <c r="Q351" s="46"/>
      <c r="R351" s="46"/>
      <c r="S351" s="46"/>
      <c r="T351" s="235"/>
      <c r="U351" s="243"/>
      <c r="V351" s="214"/>
      <c r="W351" s="34"/>
    </row>
    <row r="352" spans="1:23" x14ac:dyDescent="0.35">
      <c r="A352" s="46"/>
      <c r="B352" s="211"/>
      <c r="C352" s="211"/>
      <c r="D352" s="33"/>
      <c r="E352" s="33"/>
      <c r="F352" s="33"/>
      <c r="G352" s="33"/>
      <c r="H352" s="46"/>
      <c r="I352" s="212"/>
      <c r="J352" s="212"/>
      <c r="K352" s="46"/>
      <c r="L352" s="46"/>
      <c r="M352" s="213"/>
      <c r="N352" s="200"/>
      <c r="O352" s="46"/>
      <c r="P352" s="46"/>
      <c r="Q352" s="46"/>
      <c r="R352" s="46"/>
      <c r="S352" s="46"/>
      <c r="T352" s="235"/>
      <c r="U352" s="243"/>
      <c r="V352" s="214"/>
      <c r="W352" s="34"/>
    </row>
    <row r="353" spans="1:23" x14ac:dyDescent="0.35">
      <c r="A353" s="46"/>
      <c r="B353" s="211"/>
      <c r="C353" s="211"/>
      <c r="D353" s="33"/>
      <c r="E353" s="33"/>
      <c r="F353" s="33"/>
      <c r="G353" s="33"/>
      <c r="H353" s="46"/>
      <c r="I353" s="212"/>
      <c r="J353" s="212"/>
      <c r="K353" s="46"/>
      <c r="L353" s="46"/>
      <c r="M353" s="213"/>
      <c r="N353" s="200"/>
      <c r="O353" s="46"/>
      <c r="P353" s="46"/>
      <c r="Q353" s="46"/>
      <c r="R353" s="46"/>
      <c r="S353" s="46"/>
      <c r="T353" s="235"/>
      <c r="U353" s="243"/>
      <c r="V353" s="214"/>
      <c r="W353" s="34"/>
    </row>
    <row r="354" spans="1:23" x14ac:dyDescent="0.35">
      <c r="A354" s="46"/>
      <c r="B354" s="211"/>
      <c r="C354" s="211"/>
      <c r="D354" s="33"/>
      <c r="E354" s="33"/>
      <c r="F354" s="33"/>
      <c r="G354" s="33"/>
      <c r="H354" s="46"/>
      <c r="I354" s="212"/>
      <c r="J354" s="212"/>
      <c r="K354" s="46"/>
      <c r="L354" s="46"/>
      <c r="M354" s="213"/>
      <c r="N354" s="200"/>
      <c r="O354" s="46"/>
      <c r="P354" s="46"/>
      <c r="Q354" s="46"/>
      <c r="R354" s="46"/>
      <c r="S354" s="46"/>
      <c r="T354" s="235"/>
      <c r="U354" s="243"/>
      <c r="V354" s="214"/>
      <c r="W354" s="34"/>
    </row>
    <row r="355" spans="1:23" x14ac:dyDescent="0.35">
      <c r="A355" s="46"/>
      <c r="B355" s="211"/>
      <c r="C355" s="211"/>
      <c r="D355" s="33"/>
      <c r="E355" s="33"/>
      <c r="F355" s="33"/>
      <c r="G355" s="33"/>
      <c r="H355" s="46"/>
      <c r="I355" s="212"/>
      <c r="J355" s="212"/>
      <c r="K355" s="46"/>
      <c r="L355" s="46"/>
      <c r="M355" s="213"/>
      <c r="N355" s="200"/>
      <c r="O355" s="46"/>
      <c r="P355" s="46"/>
      <c r="Q355" s="46"/>
      <c r="R355" s="46"/>
      <c r="S355" s="46"/>
      <c r="T355" s="235"/>
      <c r="U355" s="243"/>
      <c r="V355" s="214"/>
      <c r="W355" s="34"/>
    </row>
    <row r="356" spans="1:23" x14ac:dyDescent="0.35">
      <c r="A356" s="46"/>
      <c r="B356" s="211"/>
      <c r="C356" s="211"/>
      <c r="D356" s="33"/>
      <c r="E356" s="33"/>
      <c r="F356" s="33"/>
      <c r="G356" s="33"/>
      <c r="H356" s="46"/>
      <c r="I356" s="212"/>
      <c r="J356" s="212"/>
      <c r="K356" s="46"/>
      <c r="L356" s="46"/>
      <c r="M356" s="213"/>
      <c r="N356" s="200"/>
      <c r="O356" s="46"/>
      <c r="P356" s="46"/>
      <c r="Q356" s="46"/>
      <c r="R356" s="46"/>
      <c r="S356" s="46"/>
      <c r="T356" s="235"/>
      <c r="U356" s="243"/>
      <c r="V356" s="214"/>
      <c r="W356" s="34"/>
    </row>
    <row r="357" spans="1:23" x14ac:dyDescent="0.35">
      <c r="A357" s="46"/>
      <c r="B357" s="211"/>
      <c r="C357" s="211"/>
      <c r="D357" s="33"/>
      <c r="E357" s="33"/>
      <c r="F357" s="33"/>
      <c r="G357" s="33"/>
      <c r="H357" s="46"/>
      <c r="I357" s="212"/>
      <c r="J357" s="212"/>
      <c r="K357" s="46"/>
      <c r="L357" s="46"/>
      <c r="M357" s="213"/>
      <c r="N357" s="200"/>
      <c r="O357" s="46"/>
      <c r="P357" s="46"/>
      <c r="Q357" s="46"/>
      <c r="R357" s="46"/>
      <c r="S357" s="46"/>
      <c r="T357" s="235"/>
      <c r="U357" s="243"/>
      <c r="V357" s="214"/>
      <c r="W357" s="34"/>
    </row>
    <row r="358" spans="1:23" x14ac:dyDescent="0.35">
      <c r="A358" s="46"/>
      <c r="B358" s="211"/>
      <c r="C358" s="211"/>
      <c r="D358" s="33"/>
      <c r="E358" s="33"/>
      <c r="F358" s="33"/>
      <c r="G358" s="33"/>
      <c r="H358" s="46"/>
      <c r="I358" s="212"/>
      <c r="J358" s="212"/>
      <c r="K358" s="46"/>
      <c r="L358" s="46"/>
      <c r="M358" s="213"/>
      <c r="N358" s="200"/>
      <c r="O358" s="46"/>
      <c r="P358" s="46"/>
      <c r="Q358" s="46"/>
      <c r="R358" s="46"/>
      <c r="S358" s="46"/>
      <c r="T358" s="235"/>
      <c r="U358" s="243"/>
      <c r="V358" s="214"/>
      <c r="W358" s="34"/>
    </row>
    <row r="359" spans="1:23" x14ac:dyDescent="0.35">
      <c r="A359" s="46"/>
      <c r="B359" s="211"/>
      <c r="C359" s="211"/>
      <c r="D359" s="33"/>
      <c r="E359" s="33"/>
      <c r="F359" s="33"/>
      <c r="G359" s="33"/>
      <c r="H359" s="46"/>
      <c r="I359" s="212"/>
      <c r="J359" s="212"/>
      <c r="K359" s="46"/>
      <c r="L359" s="46"/>
      <c r="M359" s="213"/>
      <c r="N359" s="200"/>
      <c r="O359" s="46"/>
      <c r="P359" s="46"/>
      <c r="Q359" s="46"/>
      <c r="R359" s="46"/>
      <c r="S359" s="46"/>
      <c r="T359" s="235"/>
      <c r="U359" s="243"/>
      <c r="V359" s="214"/>
      <c r="W359" s="34"/>
    </row>
  </sheetData>
  <mergeCells count="13">
    <mergeCell ref="O6:O28"/>
    <mergeCell ref="P6:P28"/>
    <mergeCell ref="Q6:Q28"/>
    <mergeCell ref="R6:R28"/>
    <mergeCell ref="A1:W1"/>
    <mergeCell ref="A2:W2"/>
    <mergeCell ref="A3:T3"/>
    <mergeCell ref="A4:E4"/>
    <mergeCell ref="F4:L4"/>
    <mergeCell ref="M4:N4"/>
    <mergeCell ref="O4:Q4"/>
    <mergeCell ref="S4:U4"/>
    <mergeCell ref="V4:W4"/>
  </mergeCells>
  <conditionalFormatting sqref="O6:R6 O30:R1048576">
    <cfRule type="containsText" dxfId="54" priority="4" operator="containsText" text="No">
      <formula>NOT(ISERROR(SEARCH("No",O6)))</formula>
    </cfRule>
    <cfRule type="containsText" dxfId="53" priority="5" operator="containsText" text="Yes">
      <formula>NOT(ISERROR(SEARCH("Yes",O6)))</formula>
    </cfRule>
  </conditionalFormatting>
  <conditionalFormatting sqref="S6:S1048576">
    <cfRule type="containsText" dxfId="52" priority="1" operator="containsText" text="Rejected">
      <formula>NOT(ISERROR(SEARCH("Rejected",S6)))</formula>
    </cfRule>
    <cfRule type="containsText" dxfId="51" priority="2" operator="containsText" text="Revisions Needed">
      <formula>NOT(ISERROR(SEARCH("Revisions Needed",S6)))</formula>
    </cfRule>
    <cfRule type="containsText" dxfId="50" priority="3" operator="containsText" text="Approved">
      <formula>NOT(ISERROR(SEARCH("Approved",S6)))</formula>
    </cfRule>
  </conditionalFormatting>
  <dataValidations count="4">
    <dataValidation type="list" allowBlank="1" showInputMessage="1" showErrorMessage="1" sqref="O6 O30:Q1048576" xr:uid="{A7289FB5-2CA8-47DD-B4B3-F556AEE8251D}">
      <formula1>"No, Yes"</formula1>
    </dataValidation>
    <dataValidation type="list" allowBlank="1" showInputMessage="1" showErrorMessage="1" sqref="C6:C1048576" xr:uid="{482ED98A-5AA7-4D20-9B77-2817A92A7BC4}">
      <formula1>"Monthly, Yearly"</formula1>
    </dataValidation>
    <dataValidation type="list" allowBlank="1" showInputMessage="1" showErrorMessage="1" sqref="P6:Q6" xr:uid="{454613C8-FD26-4F0A-8AB0-5E76567AA4C3}">
      <formula1>"Yes, No"</formula1>
    </dataValidation>
    <dataValidation type="list" allowBlank="1" sqref="S6:S1048576" xr:uid="{177C872F-12DB-49A2-ADCE-F945C28BB9DE}">
      <formula1>"Approved,Revisions Needed, Rejected"</formula1>
    </dataValidation>
  </dataValidation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06B3-B856-4982-BFCF-34A3647E3A38}">
  <sheetPr>
    <tabColor theme="6"/>
  </sheetPr>
  <dimension ref="A1:X359"/>
  <sheetViews>
    <sheetView showGridLines="0" topLeftCell="D1" zoomScale="70" zoomScaleNormal="70" workbookViewId="0">
      <selection activeCell="T6" sqref="T6"/>
    </sheetView>
  </sheetViews>
  <sheetFormatPr defaultColWidth="8.54296875" defaultRowHeight="14.5" x14ac:dyDescent="0.35"/>
  <cols>
    <col min="1" max="1" width="9" style="2" customWidth="1"/>
    <col min="2" max="3" width="12" style="14" customWidth="1"/>
    <col min="4" max="4" width="18.81640625" style="2" customWidth="1"/>
    <col min="5" max="6" width="21.453125" style="2" customWidth="1"/>
    <col min="7" max="7" width="11.54296875" style="2" customWidth="1"/>
    <col min="8" max="8" width="13.1796875" style="2" hidden="1" customWidth="1"/>
    <col min="9" max="9" width="12.453125" style="2" customWidth="1"/>
    <col min="10" max="10" width="11.81640625" style="29" customWidth="1"/>
    <col min="11" max="11" width="11.453125" style="29" customWidth="1"/>
    <col min="12" max="12" width="15.54296875" style="2" customWidth="1"/>
    <col min="13" max="13" width="13.1796875" style="2" hidden="1" customWidth="1"/>
    <col min="14" max="14" width="36" style="1" customWidth="1"/>
    <col min="15" max="15" width="46.1796875" style="143" customWidth="1"/>
    <col min="16" max="16" width="12.81640625" style="76" customWidth="1"/>
    <col min="17" max="17" width="10.81640625" style="76" customWidth="1"/>
    <col min="18" max="18" width="13.1796875" style="76" customWidth="1"/>
    <col min="19" max="19" width="45.26953125" style="76" customWidth="1"/>
    <col min="20" max="20" width="20.54296875" style="2" customWidth="1"/>
    <col min="21" max="21" width="76.54296875" style="17" customWidth="1"/>
    <col min="22" max="22" width="53.7265625" style="236" customWidth="1"/>
    <col min="23" max="23" width="16.26953125" style="159" customWidth="1"/>
    <col min="24" max="24" width="76.54296875" style="17" customWidth="1"/>
    <col min="25" max="16384" width="8.54296875" style="1"/>
  </cols>
  <sheetData>
    <row r="1" spans="1:24"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0"/>
      <c r="X1" s="511"/>
    </row>
    <row r="2" spans="1:24" ht="37.5" customHeight="1" thickTop="1" thickBot="1" x14ac:dyDescent="0.4">
      <c r="A2" s="509" t="s">
        <v>827</v>
      </c>
      <c r="B2" s="510"/>
      <c r="C2" s="510"/>
      <c r="D2" s="510"/>
      <c r="E2" s="510"/>
      <c r="F2" s="510"/>
      <c r="G2" s="510"/>
      <c r="H2" s="510"/>
      <c r="I2" s="510"/>
      <c r="J2" s="510"/>
      <c r="K2" s="510"/>
      <c r="L2" s="510"/>
      <c r="M2" s="510"/>
      <c r="N2" s="510"/>
      <c r="O2" s="510"/>
      <c r="P2" s="510"/>
      <c r="Q2" s="510"/>
      <c r="R2" s="510"/>
      <c r="S2" s="510"/>
      <c r="T2" s="510"/>
      <c r="U2" s="510"/>
      <c r="V2" s="510"/>
      <c r="W2" s="510"/>
      <c r="X2" s="511"/>
    </row>
    <row r="3" spans="1:24" ht="19.5" customHeight="1" thickTop="1" thickBot="1" x14ac:dyDescent="0.4">
      <c r="A3" s="550" t="s">
        <v>2</v>
      </c>
      <c r="B3" s="550"/>
      <c r="C3" s="550"/>
      <c r="D3" s="550"/>
      <c r="E3" s="550"/>
      <c r="F3" s="550"/>
      <c r="G3" s="550"/>
      <c r="H3" s="550"/>
      <c r="I3" s="550"/>
      <c r="J3" s="550"/>
      <c r="K3" s="550"/>
      <c r="L3" s="550"/>
      <c r="M3" s="550"/>
      <c r="N3" s="550"/>
      <c r="O3" s="550"/>
      <c r="P3" s="550"/>
      <c r="Q3" s="550"/>
      <c r="R3" s="550"/>
      <c r="S3" s="550"/>
      <c r="T3" s="550"/>
      <c r="U3" s="550"/>
      <c r="V3" s="82"/>
      <c r="W3" s="82"/>
      <c r="X3" s="82"/>
    </row>
    <row r="4" spans="1:24" s="4" customFormat="1" ht="27.75" customHeight="1" thickTop="1" thickBot="1" x14ac:dyDescent="0.45">
      <c r="A4" s="513" t="s">
        <v>3</v>
      </c>
      <c r="B4" s="514"/>
      <c r="C4" s="514"/>
      <c r="D4" s="514"/>
      <c r="E4" s="514"/>
      <c r="F4" s="515"/>
      <c r="G4" s="513" t="s">
        <v>4</v>
      </c>
      <c r="H4" s="514"/>
      <c r="I4" s="514"/>
      <c r="J4" s="514"/>
      <c r="K4" s="514"/>
      <c r="L4" s="514"/>
      <c r="M4" s="515"/>
      <c r="N4" s="516" t="s">
        <v>5</v>
      </c>
      <c r="O4" s="516"/>
      <c r="P4" s="571" t="s">
        <v>6</v>
      </c>
      <c r="Q4" s="572"/>
      <c r="R4" s="572"/>
      <c r="S4" s="573"/>
      <c r="T4" s="513" t="s">
        <v>7</v>
      </c>
      <c r="U4" s="514"/>
      <c r="V4" s="515"/>
      <c r="W4" s="571" t="s">
        <v>8</v>
      </c>
      <c r="X4" s="573"/>
    </row>
    <row r="5" spans="1:24" ht="71.5" customHeight="1" thickTop="1" thickBot="1" x14ac:dyDescent="0.4">
      <c r="A5" s="160" t="s">
        <v>9</v>
      </c>
      <c r="B5" s="163" t="s">
        <v>10</v>
      </c>
      <c r="C5" s="10" t="s">
        <v>11</v>
      </c>
      <c r="D5" s="164" t="s">
        <v>12</v>
      </c>
      <c r="E5" s="164" t="s">
        <v>13</v>
      </c>
      <c r="F5" s="166" t="s">
        <v>828</v>
      </c>
      <c r="G5" s="164" t="s">
        <v>14</v>
      </c>
      <c r="H5" s="164" t="s">
        <v>228</v>
      </c>
      <c r="I5" s="164" t="s">
        <v>15</v>
      </c>
      <c r="J5" s="164" t="s">
        <v>16</v>
      </c>
      <c r="K5" s="164" t="s">
        <v>17</v>
      </c>
      <c r="L5" s="164" t="s">
        <v>18</v>
      </c>
      <c r="M5" s="164" t="s">
        <v>19</v>
      </c>
      <c r="N5" s="164" t="s">
        <v>20</v>
      </c>
      <c r="O5" s="164" t="s">
        <v>21</v>
      </c>
      <c r="P5" s="164" t="s">
        <v>22</v>
      </c>
      <c r="Q5" s="164" t="s">
        <v>23</v>
      </c>
      <c r="R5" s="164" t="s">
        <v>24</v>
      </c>
      <c r="S5" s="191" t="s">
        <v>25</v>
      </c>
      <c r="T5" s="165" t="s">
        <v>26</v>
      </c>
      <c r="U5" s="166" t="s">
        <v>27</v>
      </c>
      <c r="V5" s="18" t="s">
        <v>28</v>
      </c>
      <c r="W5" s="177" t="s">
        <v>29</v>
      </c>
      <c r="X5" s="167" t="s">
        <v>30</v>
      </c>
    </row>
    <row r="6" spans="1:24" s="5" customFormat="1" ht="394.5" customHeight="1" x14ac:dyDescent="0.35">
      <c r="A6" s="8">
        <v>1</v>
      </c>
      <c r="B6" s="244" t="s">
        <v>361</v>
      </c>
      <c r="C6" s="144" t="s">
        <v>46</v>
      </c>
      <c r="D6" s="117" t="s">
        <v>829</v>
      </c>
      <c r="E6" s="149" t="s">
        <v>830</v>
      </c>
      <c r="F6" s="238" t="s">
        <v>831</v>
      </c>
      <c r="G6" s="117" t="s">
        <v>70</v>
      </c>
      <c r="H6" s="117"/>
      <c r="I6" s="117" t="s">
        <v>399</v>
      </c>
      <c r="J6" s="25" t="s">
        <v>154</v>
      </c>
      <c r="K6" s="25"/>
      <c r="L6" s="117" t="s">
        <v>74</v>
      </c>
      <c r="M6" s="117"/>
      <c r="N6" s="161" t="s">
        <v>616</v>
      </c>
      <c r="O6" s="162" t="s">
        <v>52</v>
      </c>
      <c r="P6" s="546" t="s">
        <v>150</v>
      </c>
      <c r="Q6" s="546" t="s">
        <v>150</v>
      </c>
      <c r="R6" s="570" t="s">
        <v>55</v>
      </c>
      <c r="S6" s="517" t="s">
        <v>832</v>
      </c>
      <c r="T6" s="130" t="s">
        <v>56</v>
      </c>
      <c r="U6" s="168"/>
      <c r="V6" s="174"/>
      <c r="W6" s="179" t="s">
        <v>314</v>
      </c>
      <c r="X6" s="176"/>
    </row>
    <row r="7" spans="1:24" s="5" customFormat="1" ht="254.15" customHeight="1" x14ac:dyDescent="0.35">
      <c r="A7" s="8">
        <v>2</v>
      </c>
      <c r="B7" s="13" t="s">
        <v>361</v>
      </c>
      <c r="C7" s="144" t="s">
        <v>46</v>
      </c>
      <c r="D7" s="8" t="s">
        <v>829</v>
      </c>
      <c r="E7" s="137" t="s">
        <v>833</v>
      </c>
      <c r="F7" s="239" t="s">
        <v>834</v>
      </c>
      <c r="G7" s="8" t="s">
        <v>70</v>
      </c>
      <c r="H7" s="8"/>
      <c r="I7" s="8" t="s">
        <v>399</v>
      </c>
      <c r="J7" s="26" t="s">
        <v>154</v>
      </c>
      <c r="K7" s="25"/>
      <c r="L7" s="8" t="s">
        <v>74</v>
      </c>
      <c r="M7" s="132"/>
      <c r="N7" s="134" t="s">
        <v>616</v>
      </c>
      <c r="O7" s="136" t="s">
        <v>52</v>
      </c>
      <c r="P7" s="543"/>
      <c r="Q7" s="543"/>
      <c r="R7" s="568"/>
      <c r="S7" s="524"/>
      <c r="T7" s="102" t="s">
        <v>56</v>
      </c>
      <c r="U7" s="169"/>
      <c r="V7" s="174"/>
      <c r="W7" s="179" t="s">
        <v>314</v>
      </c>
      <c r="X7" s="126"/>
    </row>
    <row r="8" spans="1:24" s="5" customFormat="1" ht="250.5" hidden="1" customHeight="1" x14ac:dyDescent="0.35">
      <c r="A8" s="8">
        <v>3</v>
      </c>
      <c r="B8" s="12" t="s">
        <v>361</v>
      </c>
      <c r="C8" s="144" t="s">
        <v>46</v>
      </c>
      <c r="D8" s="8" t="s">
        <v>829</v>
      </c>
      <c r="E8" s="137" t="s">
        <v>835</v>
      </c>
      <c r="F8" s="137"/>
      <c r="G8" s="8" t="s">
        <v>70</v>
      </c>
      <c r="H8" s="8"/>
      <c r="I8" s="8" t="s">
        <v>71</v>
      </c>
      <c r="J8" s="26" t="s">
        <v>154</v>
      </c>
      <c r="K8" s="26"/>
      <c r="L8" s="8" t="s">
        <v>74</v>
      </c>
      <c r="M8" s="8"/>
      <c r="N8" s="135" t="s">
        <v>616</v>
      </c>
      <c r="O8" s="141" t="s">
        <v>52</v>
      </c>
      <c r="P8" s="543"/>
      <c r="Q8" s="543"/>
      <c r="R8" s="568"/>
      <c r="S8" s="518"/>
      <c r="T8" s="102" t="s">
        <v>56</v>
      </c>
      <c r="U8" s="169"/>
      <c r="V8" s="174"/>
      <c r="W8" s="179" t="s">
        <v>314</v>
      </c>
      <c r="X8" s="171"/>
    </row>
    <row r="9" spans="1:24" s="5" customFormat="1" ht="264" hidden="1" customHeight="1" x14ac:dyDescent="0.35">
      <c r="A9" s="8">
        <v>4</v>
      </c>
      <c r="B9" s="12" t="s">
        <v>361</v>
      </c>
      <c r="C9" s="144" t="s">
        <v>67</v>
      </c>
      <c r="D9" s="128" t="s">
        <v>836</v>
      </c>
      <c r="E9" s="129" t="s">
        <v>837</v>
      </c>
      <c r="F9" s="237"/>
      <c r="G9" s="130" t="s">
        <v>49</v>
      </c>
      <c r="H9" s="117"/>
      <c r="I9" s="117" t="s">
        <v>399</v>
      </c>
      <c r="J9" s="26" t="s">
        <v>154</v>
      </c>
      <c r="K9" s="25"/>
      <c r="L9" s="8" t="s">
        <v>74</v>
      </c>
      <c r="M9" s="8"/>
      <c r="N9" s="135" t="s">
        <v>838</v>
      </c>
      <c r="O9" s="142" t="s">
        <v>839</v>
      </c>
      <c r="P9" s="569" t="s">
        <v>55</v>
      </c>
      <c r="Q9" s="543" t="s">
        <v>150</v>
      </c>
      <c r="R9" s="568" t="s">
        <v>55</v>
      </c>
      <c r="S9" s="517" t="s">
        <v>840</v>
      </c>
      <c r="T9" s="102" t="s">
        <v>56</v>
      </c>
      <c r="U9" s="169"/>
      <c r="V9" s="174"/>
      <c r="W9" s="179" t="s">
        <v>314</v>
      </c>
      <c r="X9" s="171"/>
    </row>
    <row r="10" spans="1:24" s="5" customFormat="1" ht="262" hidden="1" customHeight="1" x14ac:dyDescent="0.35">
      <c r="A10" s="8">
        <v>5</v>
      </c>
      <c r="B10" s="12" t="s">
        <v>361</v>
      </c>
      <c r="C10" s="144"/>
      <c r="D10" s="128" t="s">
        <v>836</v>
      </c>
      <c r="E10" s="99" t="s">
        <v>841</v>
      </c>
      <c r="F10" s="237"/>
      <c r="G10" s="130" t="s">
        <v>49</v>
      </c>
      <c r="H10" s="8"/>
      <c r="I10" s="8" t="s">
        <v>71</v>
      </c>
      <c r="J10" s="26" t="s">
        <v>154</v>
      </c>
      <c r="K10" s="26"/>
      <c r="L10" s="8" t="s">
        <v>74</v>
      </c>
      <c r="M10" s="8"/>
      <c r="N10" s="135" t="s">
        <v>838</v>
      </c>
      <c r="O10" s="38" t="s">
        <v>52</v>
      </c>
      <c r="P10" s="569"/>
      <c r="Q10" s="543"/>
      <c r="R10" s="568"/>
      <c r="S10" s="518"/>
      <c r="T10" s="102" t="s">
        <v>56</v>
      </c>
      <c r="U10" s="169"/>
      <c r="V10" s="174"/>
      <c r="W10" s="179" t="s">
        <v>314</v>
      </c>
      <c r="X10" s="171"/>
    </row>
    <row r="11" spans="1:24" s="5" customFormat="1" ht="257.14999999999998" hidden="1" customHeight="1" x14ac:dyDescent="0.4">
      <c r="A11" s="8">
        <v>6</v>
      </c>
      <c r="B11" s="12" t="s">
        <v>361</v>
      </c>
      <c r="C11" s="144"/>
      <c r="D11" s="101" t="s">
        <v>842</v>
      </c>
      <c r="E11" s="99" t="s">
        <v>843</v>
      </c>
      <c r="F11" s="237"/>
      <c r="G11" s="130" t="s">
        <v>49</v>
      </c>
      <c r="H11" s="8"/>
      <c r="I11" s="8" t="s">
        <v>399</v>
      </c>
      <c r="J11" s="26" t="s">
        <v>154</v>
      </c>
      <c r="K11" s="25"/>
      <c r="L11" s="8" t="s">
        <v>74</v>
      </c>
      <c r="M11" s="8"/>
      <c r="N11" s="135" t="s">
        <v>838</v>
      </c>
      <c r="O11" s="142" t="s">
        <v>839</v>
      </c>
      <c r="P11" s="569" t="s">
        <v>55</v>
      </c>
      <c r="Q11" s="543" t="s">
        <v>150</v>
      </c>
      <c r="R11" s="568" t="s">
        <v>55</v>
      </c>
      <c r="S11" s="517" t="s">
        <v>840</v>
      </c>
      <c r="T11" s="102" t="s">
        <v>56</v>
      </c>
      <c r="U11" s="169"/>
      <c r="V11" s="174"/>
      <c r="W11" s="179" t="s">
        <v>314</v>
      </c>
      <c r="X11" s="173"/>
    </row>
    <row r="12" spans="1:24" s="5" customFormat="1" ht="202.5" hidden="1" customHeight="1" x14ac:dyDescent="0.35">
      <c r="A12" s="8">
        <v>7</v>
      </c>
      <c r="B12" s="12" t="s">
        <v>361</v>
      </c>
      <c r="C12" s="144"/>
      <c r="D12" s="101" t="s">
        <v>842</v>
      </c>
      <c r="E12" s="99" t="s">
        <v>844</v>
      </c>
      <c r="F12" s="237"/>
      <c r="G12" s="130" t="s">
        <v>49</v>
      </c>
      <c r="H12" s="8"/>
      <c r="I12" s="8" t="s">
        <v>399</v>
      </c>
      <c r="J12" s="26" t="s">
        <v>154</v>
      </c>
      <c r="K12" s="25"/>
      <c r="L12" s="8" t="s">
        <v>74</v>
      </c>
      <c r="M12" s="8"/>
      <c r="N12" s="135" t="s">
        <v>838</v>
      </c>
      <c r="O12" s="142" t="s">
        <v>839</v>
      </c>
      <c r="P12" s="569"/>
      <c r="Q12" s="543"/>
      <c r="R12" s="568"/>
      <c r="S12" s="524"/>
      <c r="T12" s="102" t="s">
        <v>56</v>
      </c>
      <c r="U12" s="169"/>
      <c r="V12" s="265"/>
      <c r="W12" s="179" t="s">
        <v>314</v>
      </c>
      <c r="X12" s="34"/>
    </row>
    <row r="13" spans="1:24" s="5" customFormat="1" ht="187" hidden="1" customHeight="1" x14ac:dyDescent="0.35">
      <c r="A13" s="8">
        <v>8</v>
      </c>
      <c r="B13" s="12" t="s">
        <v>361</v>
      </c>
      <c r="C13" s="144"/>
      <c r="D13" s="101" t="s">
        <v>842</v>
      </c>
      <c r="E13" s="99" t="s">
        <v>845</v>
      </c>
      <c r="F13" s="237"/>
      <c r="G13" s="130" t="s">
        <v>49</v>
      </c>
      <c r="H13" s="8"/>
      <c r="I13" s="8" t="s">
        <v>71</v>
      </c>
      <c r="J13" s="26" t="s">
        <v>154</v>
      </c>
      <c r="K13" s="25"/>
      <c r="L13" s="8" t="s">
        <v>74</v>
      </c>
      <c r="M13" s="8"/>
      <c r="N13" s="135" t="s">
        <v>838</v>
      </c>
      <c r="O13" s="38" t="s">
        <v>52</v>
      </c>
      <c r="P13" s="569"/>
      <c r="Q13" s="543"/>
      <c r="R13" s="568"/>
      <c r="S13" s="518"/>
      <c r="T13" s="102" t="s">
        <v>56</v>
      </c>
      <c r="U13" s="169"/>
      <c r="V13" s="265"/>
      <c r="W13" s="179" t="s">
        <v>314</v>
      </c>
      <c r="X13" s="34"/>
    </row>
    <row r="14" spans="1:24" s="5" customFormat="1" ht="173.5" hidden="1" customHeight="1" x14ac:dyDescent="0.35">
      <c r="A14" s="8">
        <v>9</v>
      </c>
      <c r="B14" s="12" t="s">
        <v>361</v>
      </c>
      <c r="C14" s="144"/>
      <c r="D14" s="139" t="s">
        <v>846</v>
      </c>
      <c r="E14" s="99" t="s">
        <v>847</v>
      </c>
      <c r="F14" s="237"/>
      <c r="G14" s="130" t="s">
        <v>49</v>
      </c>
      <c r="H14" s="8"/>
      <c r="I14" s="8" t="s">
        <v>399</v>
      </c>
      <c r="J14" s="26" t="s">
        <v>154</v>
      </c>
      <c r="K14" s="26"/>
      <c r="L14" s="8" t="s">
        <v>74</v>
      </c>
      <c r="M14" s="8"/>
      <c r="N14" s="135" t="s">
        <v>838</v>
      </c>
      <c r="O14" s="142" t="s">
        <v>839</v>
      </c>
      <c r="P14" s="569" t="s">
        <v>150</v>
      </c>
      <c r="Q14" s="543" t="s">
        <v>150</v>
      </c>
      <c r="R14" s="568" t="s">
        <v>150</v>
      </c>
      <c r="S14" s="517" t="s">
        <v>848</v>
      </c>
      <c r="T14" s="102" t="s">
        <v>56</v>
      </c>
      <c r="U14" s="169"/>
      <c r="V14" s="174"/>
      <c r="W14" s="179" t="s">
        <v>314</v>
      </c>
      <c r="X14" s="34"/>
    </row>
    <row r="15" spans="1:24" s="5" customFormat="1" ht="166" hidden="1" customHeight="1" x14ac:dyDescent="0.35">
      <c r="A15" s="8">
        <v>10</v>
      </c>
      <c r="B15" s="12" t="s">
        <v>361</v>
      </c>
      <c r="C15" s="144"/>
      <c r="D15" s="139" t="s">
        <v>846</v>
      </c>
      <c r="E15" s="99" t="s">
        <v>849</v>
      </c>
      <c r="F15" s="237"/>
      <c r="G15" s="130" t="s">
        <v>49</v>
      </c>
      <c r="H15" s="8"/>
      <c r="I15" s="8" t="s">
        <v>399</v>
      </c>
      <c r="J15" s="26" t="s">
        <v>154</v>
      </c>
      <c r="K15" s="26"/>
      <c r="L15" s="8" t="s">
        <v>74</v>
      </c>
      <c r="M15" s="8"/>
      <c r="N15" s="135" t="s">
        <v>838</v>
      </c>
      <c r="O15" s="142" t="s">
        <v>839</v>
      </c>
      <c r="P15" s="569"/>
      <c r="Q15" s="543"/>
      <c r="R15" s="568"/>
      <c r="S15" s="524"/>
      <c r="T15" s="102" t="s">
        <v>56</v>
      </c>
      <c r="U15" s="169"/>
      <c r="V15" s="174"/>
      <c r="W15" s="179" t="s">
        <v>314</v>
      </c>
      <c r="X15" s="34"/>
    </row>
    <row r="16" spans="1:24" s="5" customFormat="1" ht="173.15" hidden="1" customHeight="1" x14ac:dyDescent="0.35">
      <c r="A16" s="8">
        <v>11</v>
      </c>
      <c r="B16" s="12" t="s">
        <v>361</v>
      </c>
      <c r="C16" s="144"/>
      <c r="D16" s="139" t="s">
        <v>846</v>
      </c>
      <c r="E16" s="99" t="s">
        <v>845</v>
      </c>
      <c r="F16" s="237"/>
      <c r="G16" s="130" t="s">
        <v>49</v>
      </c>
      <c r="H16" s="8"/>
      <c r="I16" s="8" t="s">
        <v>71</v>
      </c>
      <c r="J16" s="26" t="s">
        <v>154</v>
      </c>
      <c r="K16" s="26"/>
      <c r="L16" s="8" t="s">
        <v>74</v>
      </c>
      <c r="M16" s="8"/>
      <c r="N16" s="135" t="s">
        <v>838</v>
      </c>
      <c r="O16" s="38" t="s">
        <v>52</v>
      </c>
      <c r="P16" s="569"/>
      <c r="Q16" s="543"/>
      <c r="R16" s="568"/>
      <c r="S16" s="518"/>
      <c r="T16" s="102" t="s">
        <v>56</v>
      </c>
      <c r="U16" s="169"/>
      <c r="V16" s="174"/>
      <c r="W16" s="179" t="s">
        <v>314</v>
      </c>
      <c r="X16" s="34"/>
    </row>
    <row r="17" spans="1:24" s="5" customFormat="1" ht="115.5" customHeight="1" x14ac:dyDescent="0.35">
      <c r="A17" s="8"/>
      <c r="B17" s="13"/>
      <c r="C17" s="144"/>
      <c r="D17" s="8"/>
      <c r="E17" s="8"/>
      <c r="F17" s="8"/>
      <c r="G17" s="8"/>
      <c r="H17" s="8"/>
      <c r="I17" s="8"/>
      <c r="J17" s="26"/>
      <c r="K17" s="26"/>
      <c r="L17" s="8"/>
      <c r="M17" s="8"/>
      <c r="N17" s="138"/>
      <c r="O17" s="75"/>
      <c r="P17" s="75"/>
      <c r="Q17" s="75"/>
      <c r="R17" s="75"/>
      <c r="S17" s="75"/>
      <c r="T17" s="102"/>
      <c r="U17" s="169"/>
      <c r="V17" s="174"/>
      <c r="W17" s="174"/>
      <c r="X17" s="34"/>
    </row>
    <row r="18" spans="1:24" s="3" customFormat="1" ht="79.5" customHeight="1" x14ac:dyDescent="0.35">
      <c r="A18" s="8"/>
      <c r="B18" s="12"/>
      <c r="C18" s="144"/>
      <c r="D18" s="8"/>
      <c r="E18" s="8"/>
      <c r="F18" s="8"/>
      <c r="G18" s="8"/>
      <c r="H18" s="8"/>
      <c r="I18" s="8"/>
      <c r="J18" s="26"/>
      <c r="K18" s="26"/>
      <c r="L18" s="8"/>
      <c r="M18" s="8"/>
      <c r="N18" s="9"/>
      <c r="O18" s="119"/>
      <c r="P18" s="38"/>
      <c r="Q18" s="38"/>
      <c r="R18" s="136"/>
      <c r="S18" s="38"/>
      <c r="T18" s="102"/>
      <c r="U18" s="169"/>
      <c r="V18" s="174"/>
      <c r="W18" s="174"/>
      <c r="X18" s="34"/>
    </row>
    <row r="19" spans="1:24" s="3" customFormat="1" ht="223.5" customHeight="1" x14ac:dyDescent="0.35">
      <c r="A19" s="8"/>
      <c r="B19" s="13"/>
      <c r="C19" s="144"/>
      <c r="D19" s="8"/>
      <c r="E19" s="8"/>
      <c r="F19" s="8"/>
      <c r="G19" s="8"/>
      <c r="H19" s="8"/>
      <c r="I19" s="8"/>
      <c r="J19" s="26"/>
      <c r="K19" s="26"/>
      <c r="L19" s="8"/>
      <c r="M19" s="8"/>
      <c r="N19" s="9"/>
      <c r="O19" s="9"/>
      <c r="P19" s="77"/>
      <c r="Q19" s="77"/>
      <c r="R19" s="141"/>
      <c r="S19" s="38"/>
      <c r="T19" s="102"/>
      <c r="U19" s="169"/>
      <c r="V19" s="174"/>
      <c r="W19" s="174"/>
      <c r="X19" s="34"/>
    </row>
    <row r="20" spans="1:24" s="3" customFormat="1" ht="79.5" customHeight="1" x14ac:dyDescent="0.35">
      <c r="A20" s="8"/>
      <c r="B20" s="12"/>
      <c r="C20" s="144"/>
      <c r="D20" s="8"/>
      <c r="E20" s="8"/>
      <c r="F20" s="8"/>
      <c r="G20" s="8"/>
      <c r="H20" s="8"/>
      <c r="I20" s="8"/>
      <c r="J20" s="26"/>
      <c r="K20" s="27"/>
      <c r="L20" s="8"/>
      <c r="M20" s="8"/>
      <c r="N20" s="9"/>
      <c r="O20" s="9"/>
      <c r="P20" s="8"/>
      <c r="Q20" s="8"/>
      <c r="R20" s="132"/>
      <c r="S20" s="38"/>
      <c r="T20" s="102"/>
      <c r="U20" s="169"/>
      <c r="V20" s="174"/>
      <c r="W20" s="174"/>
      <c r="X20" s="34"/>
    </row>
    <row r="21" spans="1:24" s="3" customFormat="1" ht="79.5" customHeight="1" x14ac:dyDescent="0.35">
      <c r="A21" s="8"/>
      <c r="B21" s="12"/>
      <c r="C21" s="144"/>
      <c r="D21" s="8"/>
      <c r="E21" s="8"/>
      <c r="F21" s="8"/>
      <c r="G21" s="8"/>
      <c r="H21" s="8"/>
      <c r="I21" s="8"/>
      <c r="J21" s="26"/>
      <c r="K21" s="26"/>
      <c r="L21" s="8"/>
      <c r="M21" s="8"/>
      <c r="N21" s="9"/>
      <c r="O21" s="9"/>
      <c r="P21" s="8"/>
      <c r="Q21" s="8"/>
      <c r="R21" s="132"/>
      <c r="S21" s="38"/>
      <c r="T21" s="102"/>
      <c r="U21" s="169"/>
      <c r="V21" s="174"/>
      <c r="W21" s="174"/>
      <c r="X21" s="34"/>
    </row>
    <row r="22" spans="1:24" s="3" customFormat="1" ht="79.5" customHeight="1" x14ac:dyDescent="0.35">
      <c r="A22" s="8"/>
      <c r="B22" s="12"/>
      <c r="C22" s="144"/>
      <c r="D22" s="8"/>
      <c r="E22" s="8"/>
      <c r="F22" s="8"/>
      <c r="G22" s="8"/>
      <c r="H22" s="8"/>
      <c r="I22" s="8"/>
      <c r="J22" s="26"/>
      <c r="K22" s="26"/>
      <c r="L22" s="8"/>
      <c r="M22" s="8"/>
      <c r="N22" s="9"/>
      <c r="O22" s="9"/>
      <c r="P22" s="8"/>
      <c r="Q22" s="8"/>
      <c r="R22" s="132"/>
      <c r="S22" s="38"/>
      <c r="T22" s="102"/>
      <c r="U22" s="169"/>
      <c r="V22" s="174"/>
      <c r="W22" s="174"/>
      <c r="X22" s="34"/>
    </row>
    <row r="23" spans="1:24" s="3" customFormat="1" ht="79.5" customHeight="1" x14ac:dyDescent="0.35">
      <c r="A23" s="8"/>
      <c r="B23" s="12"/>
      <c r="C23" s="144"/>
      <c r="D23" s="8"/>
      <c r="E23" s="8"/>
      <c r="F23" s="8"/>
      <c r="G23" s="8"/>
      <c r="H23" s="8"/>
      <c r="I23" s="8"/>
      <c r="J23" s="26"/>
      <c r="K23" s="26"/>
      <c r="L23" s="8"/>
      <c r="M23" s="8"/>
      <c r="N23" s="9"/>
      <c r="O23" s="9"/>
      <c r="P23" s="8"/>
      <c r="Q23" s="8"/>
      <c r="R23" s="132"/>
      <c r="S23" s="38"/>
      <c r="T23" s="102"/>
      <c r="U23" s="169"/>
      <c r="V23" s="174"/>
      <c r="W23" s="174"/>
      <c r="X23" s="34"/>
    </row>
    <row r="24" spans="1:24" s="3" customFormat="1" ht="79.5" customHeight="1" x14ac:dyDescent="0.35">
      <c r="A24" s="8"/>
      <c r="B24" s="12"/>
      <c r="C24" s="144"/>
      <c r="D24" s="8"/>
      <c r="E24" s="8"/>
      <c r="F24" s="8"/>
      <c r="G24" s="8"/>
      <c r="H24" s="8"/>
      <c r="I24" s="8"/>
      <c r="J24" s="26"/>
      <c r="K24" s="26"/>
      <c r="L24" s="8"/>
      <c r="M24" s="8"/>
      <c r="N24" s="9"/>
      <c r="O24" s="9"/>
      <c r="P24" s="8"/>
      <c r="Q24" s="8"/>
      <c r="R24" s="132"/>
      <c r="S24" s="38"/>
      <c r="T24" s="102"/>
      <c r="U24" s="169"/>
      <c r="V24" s="174"/>
      <c r="W24" s="174"/>
      <c r="X24" s="34"/>
    </row>
    <row r="25" spans="1:24" s="3" customFormat="1" ht="79.5" customHeight="1" x14ac:dyDescent="0.35">
      <c r="A25" s="8"/>
      <c r="B25" s="12"/>
      <c r="C25" s="144"/>
      <c r="D25" s="8"/>
      <c r="E25" s="8"/>
      <c r="F25" s="8"/>
      <c r="G25" s="8"/>
      <c r="H25" s="8"/>
      <c r="I25" s="8"/>
      <c r="J25" s="26"/>
      <c r="K25" s="26"/>
      <c r="L25" s="8"/>
      <c r="M25" s="8"/>
      <c r="N25" s="9"/>
      <c r="O25" s="9"/>
      <c r="P25" s="80"/>
      <c r="Q25" s="80"/>
      <c r="R25" s="190"/>
      <c r="S25" s="38"/>
      <c r="T25" s="102"/>
      <c r="U25" s="169"/>
      <c r="V25" s="174"/>
      <c r="W25" s="174"/>
      <c r="X25" s="34"/>
    </row>
    <row r="26" spans="1:24" s="3" customFormat="1" ht="79.5" customHeight="1" x14ac:dyDescent="0.35">
      <c r="A26" s="8"/>
      <c r="B26" s="12"/>
      <c r="C26" s="144"/>
      <c r="D26" s="8"/>
      <c r="E26" s="8"/>
      <c r="F26" s="8"/>
      <c r="G26" s="8"/>
      <c r="H26" s="8"/>
      <c r="I26" s="8"/>
      <c r="J26" s="26"/>
      <c r="K26" s="26"/>
      <c r="L26" s="8"/>
      <c r="M26" s="8"/>
      <c r="N26" s="9"/>
      <c r="O26" s="138"/>
      <c r="P26" s="38"/>
      <c r="Q26" s="38"/>
      <c r="R26" s="136"/>
      <c r="S26" s="38"/>
      <c r="T26" s="102"/>
      <c r="U26" s="169"/>
      <c r="V26" s="174"/>
      <c r="W26" s="174"/>
      <c r="X26" s="34"/>
    </row>
    <row r="27" spans="1:24" ht="79.5" customHeight="1" x14ac:dyDescent="0.4">
      <c r="A27" s="19"/>
      <c r="B27" s="20"/>
      <c r="C27" s="144"/>
      <c r="D27" s="19"/>
      <c r="E27" s="19"/>
      <c r="F27" s="19"/>
      <c r="G27" s="19"/>
      <c r="H27" s="19"/>
      <c r="I27" s="19"/>
      <c r="J27" s="28"/>
      <c r="K27" s="28"/>
      <c r="L27" s="19"/>
      <c r="M27" s="19"/>
      <c r="N27" s="21"/>
      <c r="O27" s="138"/>
      <c r="P27" s="38"/>
      <c r="Q27" s="38"/>
      <c r="R27" s="136"/>
      <c r="S27" s="38"/>
      <c r="T27" s="178"/>
      <c r="U27" s="170"/>
      <c r="V27" s="174"/>
      <c r="W27" s="175"/>
      <c r="X27" s="34"/>
    </row>
    <row r="28" spans="1:24" ht="16" x14ac:dyDescent="0.35">
      <c r="P28" s="79"/>
      <c r="Q28" s="79"/>
      <c r="R28" s="79"/>
      <c r="S28" s="79"/>
      <c r="V28" s="235"/>
    </row>
    <row r="29" spans="1:24" ht="16" x14ac:dyDescent="0.35">
      <c r="P29" s="79"/>
      <c r="Q29" s="79"/>
      <c r="R29" s="79"/>
      <c r="S29" s="79"/>
      <c r="V29" s="235"/>
    </row>
    <row r="30" spans="1:24" ht="16" x14ac:dyDescent="0.35">
      <c r="P30" s="79"/>
      <c r="Q30" s="79"/>
      <c r="R30" s="79"/>
      <c r="S30" s="79"/>
      <c r="V30" s="235"/>
    </row>
    <row r="31" spans="1:24" ht="16" x14ac:dyDescent="0.35">
      <c r="P31" s="79"/>
      <c r="Q31" s="79"/>
      <c r="R31" s="79"/>
      <c r="S31" s="79"/>
      <c r="V31" s="235"/>
    </row>
    <row r="32" spans="1:24" ht="16" x14ac:dyDescent="0.35">
      <c r="P32" s="79"/>
      <c r="Q32" s="79"/>
      <c r="R32" s="79"/>
      <c r="S32" s="79"/>
      <c r="V32" s="235"/>
    </row>
    <row r="33" spans="16:22" ht="16" x14ac:dyDescent="0.35">
      <c r="P33" s="79"/>
      <c r="Q33" s="79"/>
      <c r="R33" s="79"/>
      <c r="S33" s="79"/>
      <c r="V33" s="235"/>
    </row>
    <row r="34" spans="16:22" ht="16" x14ac:dyDescent="0.35">
      <c r="P34" s="79"/>
      <c r="Q34" s="79"/>
      <c r="R34" s="79"/>
      <c r="S34" s="79"/>
      <c r="V34" s="235"/>
    </row>
    <row r="35" spans="16:22" ht="16" x14ac:dyDescent="0.35">
      <c r="P35" s="79"/>
      <c r="Q35" s="79"/>
      <c r="R35" s="79"/>
      <c r="S35" s="79"/>
      <c r="V35" s="235"/>
    </row>
    <row r="36" spans="16:22" ht="16" x14ac:dyDescent="0.35">
      <c r="P36" s="79"/>
      <c r="Q36" s="79"/>
      <c r="R36" s="79"/>
      <c r="S36" s="79"/>
      <c r="V36" s="235"/>
    </row>
    <row r="37" spans="16:22" ht="16" x14ac:dyDescent="0.35">
      <c r="P37" s="79"/>
      <c r="Q37" s="79"/>
      <c r="R37" s="79"/>
      <c r="S37" s="79"/>
      <c r="V37" s="235"/>
    </row>
    <row r="38" spans="16:22" ht="16" x14ac:dyDescent="0.35">
      <c r="P38" s="79"/>
      <c r="Q38" s="79"/>
      <c r="R38" s="79"/>
      <c r="S38" s="79"/>
      <c r="V38" s="235"/>
    </row>
    <row r="39" spans="16:22" ht="16" x14ac:dyDescent="0.35">
      <c r="P39" s="79"/>
      <c r="Q39" s="79"/>
      <c r="R39" s="79"/>
      <c r="S39" s="79"/>
      <c r="V39" s="235"/>
    </row>
    <row r="40" spans="16:22" ht="16" x14ac:dyDescent="0.35">
      <c r="P40" s="79"/>
      <c r="Q40" s="79"/>
      <c r="R40" s="79"/>
      <c r="S40" s="79"/>
      <c r="V40" s="235"/>
    </row>
    <row r="41" spans="16:22" ht="16" x14ac:dyDescent="0.35">
      <c r="P41" s="79"/>
      <c r="Q41" s="79"/>
      <c r="R41" s="79"/>
      <c r="S41" s="79"/>
      <c r="V41" s="235"/>
    </row>
    <row r="42" spans="16:22" ht="16" x14ac:dyDescent="0.35">
      <c r="P42" s="79"/>
      <c r="Q42" s="79"/>
      <c r="R42" s="79"/>
      <c r="S42" s="79"/>
      <c r="V42" s="235"/>
    </row>
    <row r="43" spans="16:22" ht="16" x14ac:dyDescent="0.35">
      <c r="P43" s="79"/>
      <c r="Q43" s="79"/>
      <c r="R43" s="79"/>
      <c r="S43" s="79"/>
      <c r="V43" s="235"/>
    </row>
    <row r="44" spans="16:22" ht="16" x14ac:dyDescent="0.35">
      <c r="P44" s="79"/>
      <c r="Q44" s="79"/>
      <c r="R44" s="79"/>
      <c r="S44" s="79"/>
      <c r="V44" s="235"/>
    </row>
    <row r="45" spans="16:22" ht="16" x14ac:dyDescent="0.35">
      <c r="P45" s="79"/>
      <c r="Q45" s="79"/>
      <c r="R45" s="79"/>
      <c r="S45" s="79"/>
      <c r="V45" s="235"/>
    </row>
    <row r="46" spans="16:22" ht="16" x14ac:dyDescent="0.35">
      <c r="P46" s="79"/>
      <c r="Q46" s="79"/>
      <c r="R46" s="79"/>
      <c r="S46" s="79"/>
      <c r="V46" s="235"/>
    </row>
    <row r="47" spans="16:22" ht="16" x14ac:dyDescent="0.35">
      <c r="P47" s="79"/>
      <c r="Q47" s="79"/>
      <c r="R47" s="79"/>
      <c r="S47" s="79"/>
      <c r="V47" s="235"/>
    </row>
    <row r="48" spans="16:22" ht="16" x14ac:dyDescent="0.35">
      <c r="P48" s="79"/>
      <c r="Q48" s="79"/>
      <c r="R48" s="79"/>
      <c r="S48" s="79"/>
      <c r="V48" s="235"/>
    </row>
    <row r="49" spans="16:22" ht="16" x14ac:dyDescent="0.35">
      <c r="P49" s="79"/>
      <c r="Q49" s="79"/>
      <c r="R49" s="79"/>
      <c r="S49" s="79"/>
      <c r="V49" s="235"/>
    </row>
    <row r="50" spans="16:22" ht="16" x14ac:dyDescent="0.35">
      <c r="P50" s="79"/>
      <c r="Q50" s="79"/>
      <c r="R50" s="79"/>
      <c r="S50" s="79"/>
      <c r="V50" s="235"/>
    </row>
    <row r="51" spans="16:22" ht="16" x14ac:dyDescent="0.35">
      <c r="P51" s="79"/>
      <c r="Q51" s="79"/>
      <c r="R51" s="79"/>
      <c r="S51" s="79"/>
      <c r="V51" s="235"/>
    </row>
    <row r="52" spans="16:22" ht="16" x14ac:dyDescent="0.35">
      <c r="P52" s="79"/>
      <c r="Q52" s="79"/>
      <c r="R52" s="79"/>
      <c r="S52" s="79"/>
      <c r="V52" s="235"/>
    </row>
    <row r="53" spans="16:22" ht="16" x14ac:dyDescent="0.35">
      <c r="P53" s="79"/>
      <c r="Q53" s="79"/>
      <c r="R53" s="79"/>
      <c r="S53" s="79"/>
      <c r="V53" s="235"/>
    </row>
    <row r="54" spans="16:22" ht="16" x14ac:dyDescent="0.35">
      <c r="P54" s="79"/>
      <c r="Q54" s="79"/>
      <c r="R54" s="79"/>
      <c r="S54" s="79"/>
      <c r="V54" s="235"/>
    </row>
    <row r="55" spans="16:22" ht="16" x14ac:dyDescent="0.35">
      <c r="P55" s="79"/>
      <c r="Q55" s="79"/>
      <c r="R55" s="79"/>
      <c r="S55" s="79"/>
      <c r="V55" s="235"/>
    </row>
    <row r="56" spans="16:22" ht="16" x14ac:dyDescent="0.35">
      <c r="P56" s="79"/>
      <c r="Q56" s="79"/>
      <c r="R56" s="79"/>
      <c r="S56" s="79"/>
      <c r="V56" s="235"/>
    </row>
    <row r="57" spans="16:22" ht="16" x14ac:dyDescent="0.35">
      <c r="P57" s="79"/>
      <c r="Q57" s="79"/>
      <c r="R57" s="79"/>
      <c r="S57" s="79"/>
      <c r="V57" s="235"/>
    </row>
    <row r="58" spans="16:22" ht="16" x14ac:dyDescent="0.35">
      <c r="P58" s="79"/>
      <c r="Q58" s="79"/>
      <c r="R58" s="79"/>
      <c r="S58" s="79"/>
      <c r="V58" s="235"/>
    </row>
    <row r="59" spans="16:22" ht="16" x14ac:dyDescent="0.35">
      <c r="P59" s="79"/>
      <c r="Q59" s="79"/>
      <c r="R59" s="79"/>
      <c r="S59" s="79"/>
      <c r="V59" s="235"/>
    </row>
    <row r="60" spans="16:22" ht="16" x14ac:dyDescent="0.35">
      <c r="P60" s="79"/>
      <c r="Q60" s="79"/>
      <c r="R60" s="79"/>
      <c r="S60" s="79"/>
      <c r="V60" s="235"/>
    </row>
    <row r="61" spans="16:22" ht="16" x14ac:dyDescent="0.35">
      <c r="P61" s="79"/>
      <c r="Q61" s="79"/>
      <c r="R61" s="79"/>
      <c r="S61" s="79"/>
      <c r="V61" s="235"/>
    </row>
    <row r="62" spans="16:22" ht="16" x14ac:dyDescent="0.35">
      <c r="P62" s="79"/>
      <c r="Q62" s="79"/>
      <c r="R62" s="79"/>
      <c r="S62" s="79"/>
      <c r="V62" s="235"/>
    </row>
    <row r="63" spans="16:22" ht="16" x14ac:dyDescent="0.35">
      <c r="P63" s="79"/>
      <c r="Q63" s="79"/>
      <c r="R63" s="79"/>
      <c r="S63" s="79"/>
      <c r="V63" s="235"/>
    </row>
    <row r="64" spans="16:22" ht="16" x14ac:dyDescent="0.35">
      <c r="P64" s="79"/>
      <c r="Q64" s="79"/>
      <c r="R64" s="79"/>
      <c r="S64" s="79"/>
      <c r="V64" s="235"/>
    </row>
    <row r="65" spans="16:22" ht="16" x14ac:dyDescent="0.35">
      <c r="P65" s="79"/>
      <c r="Q65" s="79"/>
      <c r="R65" s="79"/>
      <c r="S65" s="79"/>
      <c r="V65" s="235"/>
    </row>
    <row r="66" spans="16:22" ht="16" x14ac:dyDescent="0.35">
      <c r="P66" s="79"/>
      <c r="Q66" s="79"/>
      <c r="R66" s="79"/>
      <c r="S66" s="79"/>
      <c r="V66" s="235"/>
    </row>
    <row r="67" spans="16:22" ht="16" x14ac:dyDescent="0.35">
      <c r="P67" s="79"/>
      <c r="Q67" s="79"/>
      <c r="R67" s="79"/>
      <c r="S67" s="79"/>
      <c r="V67" s="235"/>
    </row>
    <row r="68" spans="16:22" ht="16" x14ac:dyDescent="0.35">
      <c r="P68" s="79"/>
      <c r="Q68" s="79"/>
      <c r="R68" s="79"/>
      <c r="S68" s="79"/>
      <c r="V68" s="235"/>
    </row>
    <row r="69" spans="16:22" ht="16" x14ac:dyDescent="0.35">
      <c r="P69" s="79"/>
      <c r="Q69" s="79"/>
      <c r="R69" s="79"/>
      <c r="S69" s="79"/>
      <c r="V69" s="235"/>
    </row>
    <row r="70" spans="16:22" ht="16" x14ac:dyDescent="0.35">
      <c r="P70" s="79"/>
      <c r="Q70" s="79"/>
      <c r="R70" s="79"/>
      <c r="S70" s="79"/>
      <c r="V70" s="235"/>
    </row>
    <row r="71" spans="16:22" ht="16" x14ac:dyDescent="0.35">
      <c r="P71" s="79"/>
      <c r="Q71" s="79"/>
      <c r="R71" s="79"/>
      <c r="S71" s="79"/>
      <c r="V71" s="235"/>
    </row>
    <row r="72" spans="16:22" ht="16" x14ac:dyDescent="0.35">
      <c r="P72" s="79"/>
      <c r="Q72" s="79"/>
      <c r="R72" s="79"/>
      <c r="S72" s="79"/>
      <c r="V72" s="235"/>
    </row>
    <row r="73" spans="16:22" ht="16" x14ac:dyDescent="0.35">
      <c r="P73" s="79"/>
      <c r="Q73" s="79"/>
      <c r="R73" s="79"/>
      <c r="S73" s="79"/>
      <c r="V73" s="235"/>
    </row>
    <row r="74" spans="16:22" ht="16" x14ac:dyDescent="0.35">
      <c r="P74" s="79"/>
      <c r="Q74" s="79"/>
      <c r="R74" s="79"/>
      <c r="S74" s="79"/>
      <c r="V74" s="235"/>
    </row>
    <row r="75" spans="16:22" ht="16" x14ac:dyDescent="0.35">
      <c r="P75" s="79"/>
      <c r="Q75" s="79"/>
      <c r="R75" s="79"/>
      <c r="S75" s="79"/>
      <c r="V75" s="235"/>
    </row>
    <row r="76" spans="16:22" x14ac:dyDescent="0.35">
      <c r="V76" s="235"/>
    </row>
    <row r="77" spans="16:22" x14ac:dyDescent="0.35">
      <c r="V77" s="235"/>
    </row>
    <row r="78" spans="16:22" x14ac:dyDescent="0.35">
      <c r="V78" s="235"/>
    </row>
    <row r="79" spans="16:22" x14ac:dyDescent="0.35">
      <c r="V79" s="235"/>
    </row>
    <row r="80" spans="16:22" x14ac:dyDescent="0.35">
      <c r="V80" s="235"/>
    </row>
    <row r="81" spans="22:22" x14ac:dyDescent="0.35">
      <c r="V81" s="235"/>
    </row>
    <row r="82" spans="22:22" x14ac:dyDescent="0.35">
      <c r="V82" s="235"/>
    </row>
    <row r="83" spans="22:22" x14ac:dyDescent="0.35">
      <c r="V83" s="235"/>
    </row>
    <row r="84" spans="22:22" x14ac:dyDescent="0.35">
      <c r="V84" s="235"/>
    </row>
    <row r="85" spans="22:22" x14ac:dyDescent="0.35">
      <c r="V85" s="235"/>
    </row>
    <row r="86" spans="22:22" x14ac:dyDescent="0.35">
      <c r="V86" s="235"/>
    </row>
    <row r="87" spans="22:22" x14ac:dyDescent="0.35">
      <c r="V87" s="235"/>
    </row>
    <row r="88" spans="22:22" x14ac:dyDescent="0.35">
      <c r="V88" s="235"/>
    </row>
    <row r="89" spans="22:22" x14ac:dyDescent="0.35">
      <c r="V89" s="235"/>
    </row>
    <row r="90" spans="22:22" x14ac:dyDescent="0.35">
      <c r="V90" s="235"/>
    </row>
    <row r="91" spans="22:22" x14ac:dyDescent="0.35">
      <c r="V91" s="235"/>
    </row>
    <row r="92" spans="22:22" x14ac:dyDescent="0.35">
      <c r="V92" s="235"/>
    </row>
    <row r="93" spans="22:22" x14ac:dyDescent="0.35">
      <c r="V93" s="235"/>
    </row>
    <row r="94" spans="22:22" x14ac:dyDescent="0.35">
      <c r="V94" s="235"/>
    </row>
    <row r="95" spans="22:22" x14ac:dyDescent="0.35">
      <c r="V95" s="235"/>
    </row>
    <row r="96" spans="22:22" x14ac:dyDescent="0.35">
      <c r="V96" s="235"/>
    </row>
    <row r="97" spans="22:22" x14ac:dyDescent="0.35">
      <c r="V97" s="235"/>
    </row>
    <row r="98" spans="22:22" x14ac:dyDescent="0.35">
      <c r="V98" s="235"/>
    </row>
    <row r="99" spans="22:22" x14ac:dyDescent="0.35">
      <c r="V99" s="235"/>
    </row>
    <row r="100" spans="22:22" x14ac:dyDescent="0.35">
      <c r="V100" s="235"/>
    </row>
    <row r="101" spans="22:22" x14ac:dyDescent="0.35">
      <c r="V101" s="235"/>
    </row>
    <row r="102" spans="22:22" x14ac:dyDescent="0.35">
      <c r="V102" s="235"/>
    </row>
    <row r="103" spans="22:22" x14ac:dyDescent="0.35">
      <c r="V103" s="235"/>
    </row>
    <row r="104" spans="22:22" x14ac:dyDescent="0.35">
      <c r="V104" s="235"/>
    </row>
    <row r="105" spans="22:22" x14ac:dyDescent="0.35">
      <c r="V105" s="235"/>
    </row>
    <row r="106" spans="22:22" x14ac:dyDescent="0.35">
      <c r="V106" s="235"/>
    </row>
    <row r="107" spans="22:22" x14ac:dyDescent="0.35">
      <c r="V107" s="235"/>
    </row>
    <row r="108" spans="22:22" x14ac:dyDescent="0.35">
      <c r="V108" s="235"/>
    </row>
    <row r="109" spans="22:22" x14ac:dyDescent="0.35">
      <c r="V109" s="235"/>
    </row>
    <row r="110" spans="22:22" x14ac:dyDescent="0.35">
      <c r="V110" s="235"/>
    </row>
    <row r="111" spans="22:22" x14ac:dyDescent="0.35">
      <c r="V111" s="235"/>
    </row>
    <row r="112" spans="22:22" x14ac:dyDescent="0.35">
      <c r="V112" s="235"/>
    </row>
    <row r="113" spans="22:22" x14ac:dyDescent="0.35">
      <c r="V113" s="235"/>
    </row>
    <row r="114" spans="22:22" x14ac:dyDescent="0.35">
      <c r="V114" s="235"/>
    </row>
    <row r="115" spans="22:22" x14ac:dyDescent="0.35">
      <c r="V115" s="235"/>
    </row>
    <row r="116" spans="22:22" x14ac:dyDescent="0.35">
      <c r="V116" s="235"/>
    </row>
    <row r="117" spans="22:22" x14ac:dyDescent="0.35">
      <c r="V117" s="235"/>
    </row>
    <row r="118" spans="22:22" x14ac:dyDescent="0.35">
      <c r="V118" s="235"/>
    </row>
    <row r="119" spans="22:22" x14ac:dyDescent="0.35">
      <c r="V119" s="235"/>
    </row>
    <row r="120" spans="22:22" x14ac:dyDescent="0.35">
      <c r="V120" s="235"/>
    </row>
    <row r="121" spans="22:22" x14ac:dyDescent="0.35">
      <c r="V121" s="235"/>
    </row>
    <row r="122" spans="22:22" x14ac:dyDescent="0.35">
      <c r="V122" s="235"/>
    </row>
    <row r="123" spans="22:22" x14ac:dyDescent="0.35">
      <c r="V123" s="235"/>
    </row>
    <row r="124" spans="22:22" x14ac:dyDescent="0.35">
      <c r="V124" s="235"/>
    </row>
    <row r="125" spans="22:22" x14ac:dyDescent="0.35">
      <c r="V125" s="235"/>
    </row>
    <row r="126" spans="22:22" x14ac:dyDescent="0.35">
      <c r="V126" s="235"/>
    </row>
    <row r="127" spans="22:22" x14ac:dyDescent="0.35">
      <c r="V127" s="235"/>
    </row>
    <row r="128" spans="22:22" x14ac:dyDescent="0.35">
      <c r="V128" s="235"/>
    </row>
    <row r="129" spans="22:22" x14ac:dyDescent="0.35">
      <c r="V129" s="235"/>
    </row>
    <row r="130" spans="22:22" x14ac:dyDescent="0.35">
      <c r="V130" s="235"/>
    </row>
    <row r="131" spans="22:22" x14ac:dyDescent="0.35">
      <c r="V131" s="235"/>
    </row>
    <row r="132" spans="22:22" x14ac:dyDescent="0.35">
      <c r="V132" s="235"/>
    </row>
    <row r="133" spans="22:22" x14ac:dyDescent="0.35">
      <c r="V133" s="235"/>
    </row>
    <row r="134" spans="22:22" x14ac:dyDescent="0.35">
      <c r="V134" s="235"/>
    </row>
    <row r="135" spans="22:22" x14ac:dyDescent="0.35">
      <c r="V135" s="235"/>
    </row>
    <row r="136" spans="22:22" x14ac:dyDescent="0.35">
      <c r="V136" s="235"/>
    </row>
    <row r="137" spans="22:22" x14ac:dyDescent="0.35">
      <c r="V137" s="235"/>
    </row>
    <row r="138" spans="22:22" x14ac:dyDescent="0.35">
      <c r="V138" s="235"/>
    </row>
    <row r="139" spans="22:22" x14ac:dyDescent="0.35">
      <c r="V139" s="235"/>
    </row>
    <row r="140" spans="22:22" x14ac:dyDescent="0.35">
      <c r="V140" s="235"/>
    </row>
    <row r="141" spans="22:22" x14ac:dyDescent="0.35">
      <c r="V141" s="235"/>
    </row>
    <row r="142" spans="22:22" x14ac:dyDescent="0.35">
      <c r="V142" s="235"/>
    </row>
    <row r="143" spans="22:22" x14ac:dyDescent="0.35">
      <c r="V143" s="235"/>
    </row>
    <row r="144" spans="22:22" x14ac:dyDescent="0.35">
      <c r="V144" s="235"/>
    </row>
    <row r="145" spans="22:22" x14ac:dyDescent="0.35">
      <c r="V145" s="235"/>
    </row>
    <row r="146" spans="22:22" x14ac:dyDescent="0.35">
      <c r="V146" s="235"/>
    </row>
    <row r="147" spans="22:22" x14ac:dyDescent="0.35">
      <c r="V147" s="235"/>
    </row>
    <row r="148" spans="22:22" x14ac:dyDescent="0.35">
      <c r="V148" s="235"/>
    </row>
    <row r="149" spans="22:22" x14ac:dyDescent="0.35">
      <c r="V149" s="235"/>
    </row>
    <row r="150" spans="22:22" x14ac:dyDescent="0.35">
      <c r="V150" s="235"/>
    </row>
    <row r="151" spans="22:22" x14ac:dyDescent="0.35">
      <c r="V151" s="235"/>
    </row>
    <row r="152" spans="22:22" x14ac:dyDescent="0.35">
      <c r="V152" s="235"/>
    </row>
    <row r="153" spans="22:22" x14ac:dyDescent="0.35">
      <c r="V153" s="235"/>
    </row>
    <row r="154" spans="22:22" x14ac:dyDescent="0.35">
      <c r="V154" s="235"/>
    </row>
    <row r="155" spans="22:22" x14ac:dyDescent="0.35">
      <c r="V155" s="235"/>
    </row>
    <row r="156" spans="22:22" x14ac:dyDescent="0.35">
      <c r="V156" s="235"/>
    </row>
    <row r="157" spans="22:22" x14ac:dyDescent="0.35">
      <c r="V157" s="235"/>
    </row>
    <row r="158" spans="22:22" x14ac:dyDescent="0.35">
      <c r="V158" s="235"/>
    </row>
    <row r="159" spans="22:22" x14ac:dyDescent="0.35">
      <c r="V159" s="235"/>
    </row>
    <row r="160" spans="22:22" x14ac:dyDescent="0.35">
      <c r="V160" s="235"/>
    </row>
    <row r="161" spans="22:22" x14ac:dyDescent="0.35">
      <c r="V161" s="235"/>
    </row>
    <row r="162" spans="22:22" x14ac:dyDescent="0.35">
      <c r="V162" s="235"/>
    </row>
    <row r="163" spans="22:22" x14ac:dyDescent="0.35">
      <c r="V163" s="235"/>
    </row>
    <row r="164" spans="22:22" x14ac:dyDescent="0.35">
      <c r="V164" s="235"/>
    </row>
    <row r="165" spans="22:22" x14ac:dyDescent="0.35">
      <c r="V165" s="235"/>
    </row>
    <row r="166" spans="22:22" x14ac:dyDescent="0.35">
      <c r="V166" s="235"/>
    </row>
    <row r="167" spans="22:22" x14ac:dyDescent="0.35">
      <c r="V167" s="235"/>
    </row>
    <row r="168" spans="22:22" x14ac:dyDescent="0.35">
      <c r="V168" s="235"/>
    </row>
    <row r="169" spans="22:22" x14ac:dyDescent="0.35">
      <c r="V169" s="235"/>
    </row>
    <row r="170" spans="22:22" x14ac:dyDescent="0.35">
      <c r="V170" s="235"/>
    </row>
    <row r="171" spans="22:22" x14ac:dyDescent="0.35">
      <c r="V171" s="235"/>
    </row>
    <row r="172" spans="22:22" x14ac:dyDescent="0.35">
      <c r="V172" s="235"/>
    </row>
    <row r="173" spans="22:22" x14ac:dyDescent="0.35">
      <c r="V173" s="235"/>
    </row>
    <row r="174" spans="22:22" x14ac:dyDescent="0.35">
      <c r="V174" s="235"/>
    </row>
    <row r="175" spans="22:22" x14ac:dyDescent="0.35">
      <c r="V175" s="235"/>
    </row>
    <row r="176" spans="22:22" x14ac:dyDescent="0.35">
      <c r="V176" s="235"/>
    </row>
    <row r="177" spans="22:22" x14ac:dyDescent="0.35">
      <c r="V177" s="235"/>
    </row>
    <row r="178" spans="22:22" x14ac:dyDescent="0.35">
      <c r="V178" s="235"/>
    </row>
    <row r="179" spans="22:22" x14ac:dyDescent="0.35">
      <c r="V179" s="235"/>
    </row>
    <row r="180" spans="22:22" x14ac:dyDescent="0.35">
      <c r="V180" s="235"/>
    </row>
    <row r="181" spans="22:22" x14ac:dyDescent="0.35">
      <c r="V181" s="235"/>
    </row>
    <row r="182" spans="22:22" x14ac:dyDescent="0.35">
      <c r="V182" s="235"/>
    </row>
    <row r="183" spans="22:22" x14ac:dyDescent="0.35">
      <c r="V183" s="235"/>
    </row>
    <row r="184" spans="22:22" x14ac:dyDescent="0.35">
      <c r="V184" s="235"/>
    </row>
    <row r="185" spans="22:22" x14ac:dyDescent="0.35">
      <c r="V185" s="235"/>
    </row>
    <row r="186" spans="22:22" x14ac:dyDescent="0.35">
      <c r="V186" s="235"/>
    </row>
    <row r="187" spans="22:22" x14ac:dyDescent="0.35">
      <c r="V187" s="235"/>
    </row>
    <row r="188" spans="22:22" x14ac:dyDescent="0.35">
      <c r="V188" s="235"/>
    </row>
    <row r="189" spans="22:22" x14ac:dyDescent="0.35">
      <c r="V189" s="235"/>
    </row>
    <row r="190" spans="22:22" x14ac:dyDescent="0.35">
      <c r="V190" s="235"/>
    </row>
    <row r="191" spans="22:22" x14ac:dyDescent="0.35">
      <c r="V191" s="235"/>
    </row>
    <row r="192" spans="22:22" x14ac:dyDescent="0.35">
      <c r="V192" s="235"/>
    </row>
    <row r="193" spans="22:22" x14ac:dyDescent="0.35">
      <c r="V193" s="235"/>
    </row>
    <row r="194" spans="22:22" x14ac:dyDescent="0.35">
      <c r="V194" s="235"/>
    </row>
    <row r="195" spans="22:22" x14ac:dyDescent="0.35">
      <c r="V195" s="235"/>
    </row>
    <row r="196" spans="22:22" x14ac:dyDescent="0.35">
      <c r="V196" s="235"/>
    </row>
    <row r="197" spans="22:22" x14ac:dyDescent="0.35">
      <c r="V197" s="235"/>
    </row>
    <row r="198" spans="22:22" x14ac:dyDescent="0.35">
      <c r="V198" s="235"/>
    </row>
    <row r="199" spans="22:22" x14ac:dyDescent="0.35">
      <c r="V199" s="235"/>
    </row>
    <row r="200" spans="22:22" x14ac:dyDescent="0.35">
      <c r="V200" s="235"/>
    </row>
    <row r="201" spans="22:22" x14ac:dyDescent="0.35">
      <c r="V201" s="235"/>
    </row>
    <row r="202" spans="22:22" x14ac:dyDescent="0.35">
      <c r="V202" s="235"/>
    </row>
    <row r="203" spans="22:22" x14ac:dyDescent="0.35">
      <c r="V203" s="235"/>
    </row>
    <row r="204" spans="22:22" x14ac:dyDescent="0.35">
      <c r="V204" s="235"/>
    </row>
    <row r="205" spans="22:22" x14ac:dyDescent="0.35">
      <c r="V205" s="235"/>
    </row>
    <row r="206" spans="22:22" x14ac:dyDescent="0.35">
      <c r="V206" s="235"/>
    </row>
    <row r="207" spans="22:22" x14ac:dyDescent="0.35">
      <c r="V207" s="235"/>
    </row>
    <row r="208" spans="22:22" x14ac:dyDescent="0.35">
      <c r="V208" s="235"/>
    </row>
    <row r="209" spans="22:22" x14ac:dyDescent="0.35">
      <c r="V209" s="235"/>
    </row>
    <row r="210" spans="22:22" x14ac:dyDescent="0.35">
      <c r="V210" s="235"/>
    </row>
    <row r="211" spans="22:22" x14ac:dyDescent="0.35">
      <c r="V211" s="235"/>
    </row>
    <row r="212" spans="22:22" x14ac:dyDescent="0.35">
      <c r="V212" s="235"/>
    </row>
    <row r="213" spans="22:22" x14ac:dyDescent="0.35">
      <c r="V213" s="235"/>
    </row>
    <row r="214" spans="22:22" x14ac:dyDescent="0.35">
      <c r="V214" s="235"/>
    </row>
    <row r="215" spans="22:22" x14ac:dyDescent="0.35">
      <c r="V215" s="235"/>
    </row>
    <row r="216" spans="22:22" x14ac:dyDescent="0.35">
      <c r="V216" s="235"/>
    </row>
    <row r="217" spans="22:22" x14ac:dyDescent="0.35">
      <c r="V217" s="235"/>
    </row>
    <row r="218" spans="22:22" x14ac:dyDescent="0.35">
      <c r="V218" s="235"/>
    </row>
    <row r="219" spans="22:22" x14ac:dyDescent="0.35">
      <c r="V219" s="235"/>
    </row>
    <row r="220" spans="22:22" x14ac:dyDescent="0.35">
      <c r="V220" s="235"/>
    </row>
    <row r="221" spans="22:22" x14ac:dyDescent="0.35">
      <c r="V221" s="235"/>
    </row>
    <row r="222" spans="22:22" x14ac:dyDescent="0.35">
      <c r="V222" s="235"/>
    </row>
    <row r="223" spans="22:22" x14ac:dyDescent="0.35">
      <c r="V223" s="235"/>
    </row>
    <row r="224" spans="22:22" x14ac:dyDescent="0.35">
      <c r="V224" s="235"/>
    </row>
    <row r="225" spans="22:22" x14ac:dyDescent="0.35">
      <c r="V225" s="235"/>
    </row>
    <row r="226" spans="22:22" x14ac:dyDescent="0.35">
      <c r="V226" s="235"/>
    </row>
    <row r="227" spans="22:22" x14ac:dyDescent="0.35">
      <c r="V227" s="235"/>
    </row>
    <row r="228" spans="22:22" x14ac:dyDescent="0.35">
      <c r="V228" s="235"/>
    </row>
    <row r="229" spans="22:22" x14ac:dyDescent="0.35">
      <c r="V229" s="235"/>
    </row>
    <row r="230" spans="22:22" x14ac:dyDescent="0.35">
      <c r="V230" s="235"/>
    </row>
    <row r="231" spans="22:22" x14ac:dyDescent="0.35">
      <c r="V231" s="235"/>
    </row>
    <row r="232" spans="22:22" x14ac:dyDescent="0.35">
      <c r="V232" s="235"/>
    </row>
    <row r="233" spans="22:22" x14ac:dyDescent="0.35">
      <c r="V233" s="235"/>
    </row>
    <row r="234" spans="22:22" x14ac:dyDescent="0.35">
      <c r="V234" s="235"/>
    </row>
    <row r="235" spans="22:22" x14ac:dyDescent="0.35">
      <c r="V235" s="235"/>
    </row>
    <row r="236" spans="22:22" x14ac:dyDescent="0.35">
      <c r="V236" s="235"/>
    </row>
    <row r="237" spans="22:22" x14ac:dyDescent="0.35">
      <c r="V237" s="235"/>
    </row>
    <row r="238" spans="22:22" x14ac:dyDescent="0.35">
      <c r="V238" s="235"/>
    </row>
    <row r="239" spans="22:22" x14ac:dyDescent="0.35">
      <c r="V239" s="235"/>
    </row>
    <row r="240" spans="22:22" x14ac:dyDescent="0.35">
      <c r="V240" s="235"/>
    </row>
    <row r="241" spans="22:22" x14ac:dyDescent="0.35">
      <c r="V241" s="235"/>
    </row>
    <row r="242" spans="22:22" x14ac:dyDescent="0.35">
      <c r="V242" s="235"/>
    </row>
    <row r="243" spans="22:22" x14ac:dyDescent="0.35">
      <c r="V243" s="235"/>
    </row>
    <row r="244" spans="22:22" x14ac:dyDescent="0.35">
      <c r="V244" s="235"/>
    </row>
    <row r="245" spans="22:22" x14ac:dyDescent="0.35">
      <c r="V245" s="235"/>
    </row>
    <row r="246" spans="22:22" x14ac:dyDescent="0.35">
      <c r="V246" s="235"/>
    </row>
    <row r="247" spans="22:22" x14ac:dyDescent="0.35">
      <c r="V247" s="235"/>
    </row>
    <row r="248" spans="22:22" x14ac:dyDescent="0.35">
      <c r="V248" s="235"/>
    </row>
    <row r="249" spans="22:22" x14ac:dyDescent="0.35">
      <c r="V249" s="235"/>
    </row>
    <row r="250" spans="22:22" x14ac:dyDescent="0.35">
      <c r="V250" s="235"/>
    </row>
    <row r="251" spans="22:22" x14ac:dyDescent="0.35">
      <c r="V251" s="235"/>
    </row>
    <row r="252" spans="22:22" x14ac:dyDescent="0.35">
      <c r="V252" s="235"/>
    </row>
    <row r="253" spans="22:22" x14ac:dyDescent="0.35">
      <c r="V253" s="235"/>
    </row>
    <row r="254" spans="22:22" x14ac:dyDescent="0.35">
      <c r="V254" s="235"/>
    </row>
    <row r="255" spans="22:22" x14ac:dyDescent="0.35">
      <c r="V255" s="235"/>
    </row>
    <row r="256" spans="22:22" x14ac:dyDescent="0.35">
      <c r="V256" s="235"/>
    </row>
    <row r="257" spans="22:22" x14ac:dyDescent="0.35">
      <c r="V257" s="235"/>
    </row>
    <row r="258" spans="22:22" x14ac:dyDescent="0.35">
      <c r="V258" s="235"/>
    </row>
    <row r="259" spans="22:22" x14ac:dyDescent="0.35">
      <c r="V259" s="235"/>
    </row>
    <row r="260" spans="22:22" x14ac:dyDescent="0.35">
      <c r="V260" s="235"/>
    </row>
    <row r="261" spans="22:22" x14ac:dyDescent="0.35">
      <c r="V261" s="235"/>
    </row>
    <row r="262" spans="22:22" x14ac:dyDescent="0.35">
      <c r="V262" s="235"/>
    </row>
    <row r="263" spans="22:22" x14ac:dyDescent="0.35">
      <c r="V263" s="235"/>
    </row>
    <row r="264" spans="22:22" x14ac:dyDescent="0.35">
      <c r="V264" s="235"/>
    </row>
    <row r="265" spans="22:22" x14ac:dyDescent="0.35">
      <c r="V265" s="235"/>
    </row>
    <row r="266" spans="22:22" x14ac:dyDescent="0.35">
      <c r="V266" s="235"/>
    </row>
    <row r="267" spans="22:22" x14ac:dyDescent="0.35">
      <c r="V267" s="235"/>
    </row>
    <row r="268" spans="22:22" x14ac:dyDescent="0.35">
      <c r="V268" s="235"/>
    </row>
    <row r="269" spans="22:22" x14ac:dyDescent="0.35">
      <c r="V269" s="235"/>
    </row>
    <row r="270" spans="22:22" x14ac:dyDescent="0.35">
      <c r="V270" s="235"/>
    </row>
    <row r="271" spans="22:22" x14ac:dyDescent="0.35">
      <c r="V271" s="235"/>
    </row>
    <row r="272" spans="22:22" x14ac:dyDescent="0.35">
      <c r="V272" s="235"/>
    </row>
    <row r="273" spans="22:22" x14ac:dyDescent="0.35">
      <c r="V273" s="235"/>
    </row>
    <row r="274" spans="22:22" x14ac:dyDescent="0.35">
      <c r="V274" s="235"/>
    </row>
    <row r="275" spans="22:22" x14ac:dyDescent="0.35">
      <c r="V275" s="235"/>
    </row>
    <row r="276" spans="22:22" x14ac:dyDescent="0.35">
      <c r="V276" s="235"/>
    </row>
    <row r="277" spans="22:22" x14ac:dyDescent="0.35">
      <c r="V277" s="235"/>
    </row>
    <row r="278" spans="22:22" x14ac:dyDescent="0.35">
      <c r="V278" s="235"/>
    </row>
    <row r="279" spans="22:22" x14ac:dyDescent="0.35">
      <c r="V279" s="235"/>
    </row>
    <row r="280" spans="22:22" x14ac:dyDescent="0.35">
      <c r="V280" s="235"/>
    </row>
    <row r="281" spans="22:22" x14ac:dyDescent="0.35">
      <c r="V281" s="235"/>
    </row>
    <row r="282" spans="22:22" x14ac:dyDescent="0.35">
      <c r="V282" s="235"/>
    </row>
    <row r="283" spans="22:22" x14ac:dyDescent="0.35">
      <c r="V283" s="235"/>
    </row>
    <row r="284" spans="22:22" x14ac:dyDescent="0.35">
      <c r="V284" s="235"/>
    </row>
    <row r="285" spans="22:22" x14ac:dyDescent="0.35">
      <c r="V285" s="235"/>
    </row>
    <row r="286" spans="22:22" x14ac:dyDescent="0.35">
      <c r="V286" s="235"/>
    </row>
    <row r="287" spans="22:22" x14ac:dyDescent="0.35">
      <c r="V287" s="235"/>
    </row>
    <row r="288" spans="22:22" x14ac:dyDescent="0.35">
      <c r="V288" s="235"/>
    </row>
    <row r="289" spans="22:22" x14ac:dyDescent="0.35">
      <c r="V289" s="235"/>
    </row>
    <row r="290" spans="22:22" x14ac:dyDescent="0.35">
      <c r="V290" s="235"/>
    </row>
    <row r="291" spans="22:22" x14ac:dyDescent="0.35">
      <c r="V291" s="235"/>
    </row>
    <row r="292" spans="22:22" x14ac:dyDescent="0.35">
      <c r="V292" s="235"/>
    </row>
    <row r="293" spans="22:22" x14ac:dyDescent="0.35">
      <c r="V293" s="235"/>
    </row>
    <row r="294" spans="22:22" x14ac:dyDescent="0.35">
      <c r="V294" s="235"/>
    </row>
    <row r="295" spans="22:22" x14ac:dyDescent="0.35">
      <c r="V295" s="235"/>
    </row>
    <row r="296" spans="22:22" x14ac:dyDescent="0.35">
      <c r="V296" s="235"/>
    </row>
    <row r="297" spans="22:22" x14ac:dyDescent="0.35">
      <c r="V297" s="235"/>
    </row>
    <row r="298" spans="22:22" x14ac:dyDescent="0.35">
      <c r="V298" s="235"/>
    </row>
    <row r="299" spans="22:22" x14ac:dyDescent="0.35">
      <c r="V299" s="235"/>
    </row>
    <row r="300" spans="22:22" x14ac:dyDescent="0.35">
      <c r="V300" s="235"/>
    </row>
    <row r="301" spans="22:22" x14ac:dyDescent="0.35">
      <c r="V301" s="235"/>
    </row>
    <row r="302" spans="22:22" x14ac:dyDescent="0.35">
      <c r="V302" s="235"/>
    </row>
    <row r="303" spans="22:22" x14ac:dyDescent="0.35">
      <c r="V303" s="235"/>
    </row>
    <row r="304" spans="22:22" x14ac:dyDescent="0.35">
      <c r="V304" s="235"/>
    </row>
    <row r="305" spans="22:22" x14ac:dyDescent="0.35">
      <c r="V305" s="235"/>
    </row>
    <row r="306" spans="22:22" x14ac:dyDescent="0.35">
      <c r="V306" s="235"/>
    </row>
    <row r="307" spans="22:22" x14ac:dyDescent="0.35">
      <c r="V307" s="235"/>
    </row>
    <row r="308" spans="22:22" x14ac:dyDescent="0.35">
      <c r="V308" s="235"/>
    </row>
    <row r="309" spans="22:22" x14ac:dyDescent="0.35">
      <c r="V309" s="243"/>
    </row>
    <row r="310" spans="22:22" x14ac:dyDescent="0.35">
      <c r="V310" s="243"/>
    </row>
    <row r="311" spans="22:22" x14ac:dyDescent="0.35">
      <c r="V311" s="243"/>
    </row>
    <row r="312" spans="22:22" x14ac:dyDescent="0.35">
      <c r="V312" s="243"/>
    </row>
    <row r="313" spans="22:22" x14ac:dyDescent="0.35">
      <c r="V313" s="243"/>
    </row>
    <row r="314" spans="22:22" x14ac:dyDescent="0.35">
      <c r="V314" s="243"/>
    </row>
    <row r="315" spans="22:22" x14ac:dyDescent="0.35">
      <c r="V315" s="243"/>
    </row>
    <row r="316" spans="22:22" x14ac:dyDescent="0.35">
      <c r="V316" s="243"/>
    </row>
    <row r="317" spans="22:22" x14ac:dyDescent="0.35">
      <c r="V317" s="243"/>
    </row>
    <row r="318" spans="22:22" x14ac:dyDescent="0.35">
      <c r="V318" s="243"/>
    </row>
    <row r="319" spans="22:22" x14ac:dyDescent="0.35">
      <c r="V319" s="243"/>
    </row>
    <row r="320" spans="22:22" x14ac:dyDescent="0.35">
      <c r="V320" s="243"/>
    </row>
    <row r="321" spans="22:22" x14ac:dyDescent="0.35">
      <c r="V321" s="243"/>
    </row>
    <row r="322" spans="22:22" x14ac:dyDescent="0.35">
      <c r="V322" s="243"/>
    </row>
    <row r="323" spans="22:22" x14ac:dyDescent="0.35">
      <c r="V323" s="243"/>
    </row>
    <row r="324" spans="22:22" x14ac:dyDescent="0.35">
      <c r="V324" s="243"/>
    </row>
    <row r="325" spans="22:22" x14ac:dyDescent="0.35">
      <c r="V325" s="243"/>
    </row>
    <row r="326" spans="22:22" x14ac:dyDescent="0.35">
      <c r="V326" s="243"/>
    </row>
    <row r="327" spans="22:22" x14ac:dyDescent="0.35">
      <c r="V327" s="243"/>
    </row>
    <row r="328" spans="22:22" x14ac:dyDescent="0.35">
      <c r="V328" s="243"/>
    </row>
    <row r="329" spans="22:22" x14ac:dyDescent="0.35">
      <c r="V329" s="243"/>
    </row>
    <row r="330" spans="22:22" x14ac:dyDescent="0.35">
      <c r="V330" s="243"/>
    </row>
    <row r="331" spans="22:22" x14ac:dyDescent="0.35">
      <c r="V331" s="243"/>
    </row>
    <row r="332" spans="22:22" x14ac:dyDescent="0.35">
      <c r="V332" s="243"/>
    </row>
    <row r="333" spans="22:22" x14ac:dyDescent="0.35">
      <c r="V333" s="243"/>
    </row>
    <row r="334" spans="22:22" x14ac:dyDescent="0.35">
      <c r="V334" s="243"/>
    </row>
    <row r="335" spans="22:22" x14ac:dyDescent="0.35">
      <c r="V335" s="243"/>
    </row>
    <row r="336" spans="22:22" x14ac:dyDescent="0.35">
      <c r="V336" s="243"/>
    </row>
    <row r="337" spans="22:22" x14ac:dyDescent="0.35">
      <c r="V337" s="243"/>
    </row>
    <row r="338" spans="22:22" x14ac:dyDescent="0.35">
      <c r="V338" s="243"/>
    </row>
    <row r="339" spans="22:22" x14ac:dyDescent="0.35">
      <c r="V339" s="243"/>
    </row>
    <row r="340" spans="22:22" x14ac:dyDescent="0.35">
      <c r="V340" s="243"/>
    </row>
    <row r="341" spans="22:22" x14ac:dyDescent="0.35">
      <c r="V341" s="243"/>
    </row>
    <row r="342" spans="22:22" x14ac:dyDescent="0.35">
      <c r="V342" s="243"/>
    </row>
    <row r="343" spans="22:22" x14ac:dyDescent="0.35">
      <c r="V343" s="243"/>
    </row>
    <row r="344" spans="22:22" x14ac:dyDescent="0.35">
      <c r="V344" s="243"/>
    </row>
    <row r="345" spans="22:22" x14ac:dyDescent="0.35">
      <c r="V345" s="243"/>
    </row>
    <row r="346" spans="22:22" x14ac:dyDescent="0.35">
      <c r="V346" s="243"/>
    </row>
    <row r="347" spans="22:22" x14ac:dyDescent="0.35">
      <c r="V347" s="243"/>
    </row>
    <row r="348" spans="22:22" x14ac:dyDescent="0.35">
      <c r="V348" s="243"/>
    </row>
    <row r="349" spans="22:22" x14ac:dyDescent="0.35">
      <c r="V349" s="243"/>
    </row>
    <row r="350" spans="22:22" x14ac:dyDescent="0.35">
      <c r="V350" s="243"/>
    </row>
    <row r="351" spans="22:22" x14ac:dyDescent="0.35">
      <c r="V351" s="243"/>
    </row>
    <row r="352" spans="22:22" x14ac:dyDescent="0.35">
      <c r="V352" s="243"/>
    </row>
    <row r="353" spans="22:22" x14ac:dyDescent="0.35">
      <c r="V353" s="243"/>
    </row>
    <row r="354" spans="22:22" x14ac:dyDescent="0.35">
      <c r="V354" s="243"/>
    </row>
    <row r="355" spans="22:22" x14ac:dyDescent="0.35">
      <c r="V355" s="243"/>
    </row>
    <row r="356" spans="22:22" x14ac:dyDescent="0.35">
      <c r="V356" s="243"/>
    </row>
    <row r="357" spans="22:22" x14ac:dyDescent="0.35">
      <c r="V357" s="243"/>
    </row>
    <row r="358" spans="22:22" x14ac:dyDescent="0.35">
      <c r="V358" s="243"/>
    </row>
    <row r="359" spans="22:22" x14ac:dyDescent="0.35">
      <c r="V359" s="243"/>
    </row>
  </sheetData>
  <autoFilter ref="A1:U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25">
    <mergeCell ref="A2:X2"/>
    <mergeCell ref="A1:X1"/>
    <mergeCell ref="S11:S13"/>
    <mergeCell ref="A3:U3"/>
    <mergeCell ref="G4:M4"/>
    <mergeCell ref="N4:O4"/>
    <mergeCell ref="P4:S4"/>
    <mergeCell ref="A4:F4"/>
    <mergeCell ref="T4:V4"/>
    <mergeCell ref="W4:X4"/>
    <mergeCell ref="S14:S16"/>
    <mergeCell ref="R14:R16"/>
    <mergeCell ref="Q14:Q16"/>
    <mergeCell ref="P14:P16"/>
    <mergeCell ref="R6:R8"/>
    <mergeCell ref="Q6:Q8"/>
    <mergeCell ref="P6:P8"/>
    <mergeCell ref="R9:R10"/>
    <mergeCell ref="Q9:Q10"/>
    <mergeCell ref="P9:P10"/>
    <mergeCell ref="R11:R13"/>
    <mergeCell ref="Q11:Q13"/>
    <mergeCell ref="P11:P13"/>
    <mergeCell ref="S6:S8"/>
    <mergeCell ref="S9:S10"/>
  </mergeCells>
  <conditionalFormatting sqref="P6:S6 P7:R8 P9:S9 P10:R10 P11:S11 P12:R13 P14:S14 P15:R16 P17:S1048576">
    <cfRule type="containsText" dxfId="49" priority="1" operator="containsText" text="No">
      <formula>NOT(ISERROR(SEARCH("No",P6)))</formula>
    </cfRule>
    <cfRule type="containsText" dxfId="48" priority="2" operator="containsText" text="Yes">
      <formula>NOT(ISERROR(SEARCH("Yes",P6)))</formula>
    </cfRule>
  </conditionalFormatting>
  <conditionalFormatting sqref="T6:T1048576">
    <cfRule type="containsText" dxfId="47" priority="5" operator="containsText" text="Rejected">
      <formula>NOT(ISERROR(SEARCH("Rejected",T6)))</formula>
    </cfRule>
    <cfRule type="containsText" dxfId="46" priority="6" operator="containsText" text="Revisions Needed">
      <formula>NOT(ISERROR(SEARCH("Revisions Needed",T6)))</formula>
    </cfRule>
    <cfRule type="containsText" dxfId="45" priority="7" operator="containsText" text="Approved">
      <formula>NOT(ISERROR(SEARCH("Approved",T6)))</formula>
    </cfRule>
  </conditionalFormatting>
  <dataValidations count="3">
    <dataValidation type="list" allowBlank="1" sqref="T6:T1048576" xr:uid="{C287A3B7-F517-4114-8C31-C593AF0995E4}">
      <formula1>"Approved,Revisions Needed, Rejected"</formula1>
    </dataValidation>
    <dataValidation type="list" allowBlank="1" showInputMessage="1" showErrorMessage="1" sqref="P9:R9 P11:R11 P14:R14 P17:R1048576 P6:R6" xr:uid="{89004A22-3B5A-4BA5-B41B-2E8209D7EF80}">
      <formula1>"No, Yes"</formula1>
    </dataValidation>
    <dataValidation type="list" allowBlank="1" showInputMessage="1" showErrorMessage="1" sqref="C6:C1048576" xr:uid="{2CB9FF8D-88AC-4030-ADCB-3C10903C6983}">
      <formula1>"Monthly, Yearly"</formula1>
    </dataValidation>
  </dataValidation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C3AE-D599-4CDD-8D1B-1EE4D376BD9B}">
  <sheetPr>
    <tabColor theme="6"/>
  </sheetPr>
  <dimension ref="A1:W359"/>
  <sheetViews>
    <sheetView showGridLines="0" topLeftCell="A16" zoomScale="60" zoomScaleNormal="60" workbookViewId="0">
      <selection activeCell="R28" sqref="R28:R31"/>
    </sheetView>
  </sheetViews>
  <sheetFormatPr defaultColWidth="8.54296875" defaultRowHeight="16" x14ac:dyDescent="0.4"/>
  <cols>
    <col min="1" max="1" width="9" style="76" customWidth="1"/>
    <col min="2" max="2" width="12" style="14" customWidth="1"/>
    <col min="3" max="3" width="16.54296875" style="14" customWidth="1"/>
    <col min="4" max="4" width="18.81640625" style="2" customWidth="1"/>
    <col min="5" max="5" width="33.54296875" style="2" customWidth="1"/>
    <col min="6" max="6" width="15.54296875" style="2" customWidth="1"/>
    <col min="7" max="7" width="13.1796875" style="2" hidden="1" customWidth="1"/>
    <col min="8" max="8" width="12.453125" style="2" customWidth="1"/>
    <col min="9" max="9" width="11.81640625" style="29" customWidth="1"/>
    <col min="10" max="10" width="11.453125" style="29" customWidth="1"/>
    <col min="11" max="11" width="15.54296875" style="76" customWidth="1"/>
    <col min="12" max="12" width="12.81640625" style="76" customWidth="1"/>
    <col min="13" max="13" width="36" style="4" customWidth="1"/>
    <col min="14" max="14" width="46.1796875" style="143" customWidth="1"/>
    <col min="15" max="15" width="12.81640625" style="76" customWidth="1"/>
    <col min="16" max="16" width="10.81640625" style="76" customWidth="1"/>
    <col min="17" max="17" width="13.1796875" style="76" customWidth="1"/>
    <col min="18" max="18" width="45.26953125" style="76" customWidth="1"/>
    <col min="19" max="19" width="20.54296875" style="2" customWidth="1"/>
    <col min="20" max="20" width="61.453125" style="236" customWidth="1"/>
    <col min="21" max="21" width="53.726562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850</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50" t="s">
        <v>2</v>
      </c>
      <c r="B3" s="550"/>
      <c r="C3" s="550"/>
      <c r="D3" s="550"/>
      <c r="E3" s="550"/>
      <c r="F3" s="550"/>
      <c r="G3" s="550"/>
      <c r="H3" s="550"/>
      <c r="I3" s="550"/>
      <c r="J3" s="550"/>
      <c r="K3" s="550"/>
      <c r="L3" s="550"/>
      <c r="M3" s="550"/>
      <c r="N3" s="550"/>
      <c r="O3" s="550"/>
      <c r="P3" s="550"/>
      <c r="Q3" s="550"/>
      <c r="R3" s="550"/>
      <c r="S3" s="550"/>
      <c r="T3" s="550"/>
      <c r="U3" s="82"/>
      <c r="V3" s="82"/>
      <c r="W3" s="82"/>
    </row>
    <row r="4" spans="1:23" s="4" customFormat="1" ht="27.75" customHeight="1" thickTop="1" thickBot="1" x14ac:dyDescent="0.45">
      <c r="A4" s="516" t="s">
        <v>3</v>
      </c>
      <c r="B4" s="516"/>
      <c r="C4" s="516"/>
      <c r="D4" s="516"/>
      <c r="E4" s="516"/>
      <c r="F4" s="547" t="s">
        <v>4</v>
      </c>
      <c r="G4" s="548"/>
      <c r="H4" s="548"/>
      <c r="I4" s="548"/>
      <c r="J4" s="548"/>
      <c r="K4" s="548"/>
      <c r="L4" s="549"/>
      <c r="M4" s="516" t="s">
        <v>5</v>
      </c>
      <c r="N4" s="516"/>
      <c r="O4" s="547" t="s">
        <v>6</v>
      </c>
      <c r="P4" s="548"/>
      <c r="Q4" s="549"/>
      <c r="R4" s="154"/>
      <c r="S4" s="513" t="s">
        <v>7</v>
      </c>
      <c r="T4" s="514"/>
      <c r="U4" s="515"/>
      <c r="V4" s="513" t="s">
        <v>396</v>
      </c>
      <c r="W4" s="515"/>
    </row>
    <row r="5" spans="1:23" ht="92.5" customHeight="1" thickTop="1" thickBot="1" x14ac:dyDescent="0.4">
      <c r="A5" s="10" t="s">
        <v>9</v>
      </c>
      <c r="B5" s="10" t="s">
        <v>10</v>
      </c>
      <c r="C5" s="10" t="s">
        <v>11</v>
      </c>
      <c r="D5" s="247" t="s">
        <v>12</v>
      </c>
      <c r="E5" s="10" t="s">
        <v>13</v>
      </c>
      <c r="F5" s="248" t="s">
        <v>14</v>
      </c>
      <c r="G5" s="10" t="s">
        <v>228</v>
      </c>
      <c r="H5" s="10" t="s">
        <v>15</v>
      </c>
      <c r="I5" s="10" t="s">
        <v>16</v>
      </c>
      <c r="J5" s="10" t="s">
        <v>17</v>
      </c>
      <c r="K5" s="10" t="s">
        <v>18</v>
      </c>
      <c r="L5" s="10" t="s">
        <v>19</v>
      </c>
      <c r="M5" s="254" t="s">
        <v>20</v>
      </c>
      <c r="N5" s="10" t="s">
        <v>21</v>
      </c>
      <c r="O5" s="10" t="s">
        <v>22</v>
      </c>
      <c r="P5" s="10" t="s">
        <v>23</v>
      </c>
      <c r="Q5" s="95" t="s">
        <v>24</v>
      </c>
      <c r="R5" s="95" t="s">
        <v>25</v>
      </c>
      <c r="S5" s="165" t="s">
        <v>26</v>
      </c>
      <c r="T5" s="18" t="s">
        <v>27</v>
      </c>
      <c r="U5" s="18" t="s">
        <v>28</v>
      </c>
      <c r="V5" s="85" t="s">
        <v>29</v>
      </c>
      <c r="W5" s="85" t="s">
        <v>30</v>
      </c>
    </row>
    <row r="6" spans="1:23" s="5" customFormat="1" ht="147.65" customHeight="1" x14ac:dyDescent="0.35">
      <c r="A6" s="145">
        <v>1</v>
      </c>
      <c r="B6" s="227" t="s">
        <v>361</v>
      </c>
      <c r="C6" s="144" t="s">
        <v>46</v>
      </c>
      <c r="D6" s="198" t="s">
        <v>851</v>
      </c>
      <c r="E6" s="251" t="s">
        <v>852</v>
      </c>
      <c r="F6" s="199" t="s">
        <v>364</v>
      </c>
      <c r="G6" s="145"/>
      <c r="H6" s="120" t="s">
        <v>71</v>
      </c>
      <c r="I6" s="253" t="s">
        <v>97</v>
      </c>
      <c r="J6" s="253" t="s">
        <v>52</v>
      </c>
      <c r="K6" s="252" t="s">
        <v>74</v>
      </c>
      <c r="L6" s="120" t="s">
        <v>52</v>
      </c>
      <c r="M6" s="201" t="s">
        <v>281</v>
      </c>
      <c r="N6" s="138" t="s">
        <v>52</v>
      </c>
      <c r="O6" s="544" t="s">
        <v>150</v>
      </c>
      <c r="P6" s="544" t="s">
        <v>150</v>
      </c>
      <c r="Q6" s="577" t="s">
        <v>150</v>
      </c>
      <c r="R6" s="519" t="s">
        <v>853</v>
      </c>
      <c r="S6" s="130" t="s">
        <v>56</v>
      </c>
      <c r="T6" s="261"/>
      <c r="U6" s="174"/>
      <c r="V6" s="259" t="s">
        <v>314</v>
      </c>
      <c r="W6" s="195"/>
    </row>
    <row r="7" spans="1:23" s="5" customFormat="1" ht="201.65" customHeight="1" x14ac:dyDescent="0.4">
      <c r="A7" s="38">
        <v>2</v>
      </c>
      <c r="B7" s="227" t="s">
        <v>361</v>
      </c>
      <c r="C7" s="144" t="s">
        <v>46</v>
      </c>
      <c r="D7" s="38" t="s">
        <v>851</v>
      </c>
      <c r="E7" s="103" t="s">
        <v>854</v>
      </c>
      <c r="F7" s="38" t="s">
        <v>364</v>
      </c>
      <c r="G7" s="249"/>
      <c r="H7" s="38" t="s">
        <v>71</v>
      </c>
      <c r="I7" s="151" t="s">
        <v>84</v>
      </c>
      <c r="J7" s="151" t="s">
        <v>52</v>
      </c>
      <c r="K7" s="230" t="s">
        <v>74</v>
      </c>
      <c r="L7" s="120" t="s">
        <v>52</v>
      </c>
      <c r="M7" s="142" t="s">
        <v>281</v>
      </c>
      <c r="N7" s="256" t="s">
        <v>52</v>
      </c>
      <c r="O7" s="545"/>
      <c r="P7" s="545"/>
      <c r="Q7" s="545"/>
      <c r="R7" s="559"/>
      <c r="S7" s="130" t="s">
        <v>56</v>
      </c>
      <c r="T7" s="263"/>
      <c r="U7" s="174"/>
      <c r="V7" s="259" t="s">
        <v>314</v>
      </c>
      <c r="W7" s="196"/>
    </row>
    <row r="8" spans="1:23" s="5" customFormat="1" ht="186.65" customHeight="1" x14ac:dyDescent="0.35">
      <c r="A8" s="38">
        <v>3</v>
      </c>
      <c r="B8" s="227" t="s">
        <v>361</v>
      </c>
      <c r="C8" s="144" t="s">
        <v>46</v>
      </c>
      <c r="D8" s="38" t="s">
        <v>851</v>
      </c>
      <c r="E8" s="103" t="s">
        <v>855</v>
      </c>
      <c r="F8" s="38" t="s">
        <v>364</v>
      </c>
      <c r="G8" s="250"/>
      <c r="H8" s="38" t="s">
        <v>71</v>
      </c>
      <c r="I8" s="151" t="s">
        <v>551</v>
      </c>
      <c r="J8" s="151" t="s">
        <v>52</v>
      </c>
      <c r="K8" s="230" t="s">
        <v>74</v>
      </c>
      <c r="L8" s="120" t="s">
        <v>52</v>
      </c>
      <c r="M8" s="142" t="s">
        <v>281</v>
      </c>
      <c r="N8" s="256" t="s">
        <v>856</v>
      </c>
      <c r="O8" s="545"/>
      <c r="P8" s="545"/>
      <c r="Q8" s="545"/>
      <c r="R8" s="559"/>
      <c r="S8" s="130" t="s">
        <v>56</v>
      </c>
      <c r="T8" s="262"/>
      <c r="U8" s="174"/>
      <c r="V8" s="259" t="s">
        <v>314</v>
      </c>
      <c r="W8" s="192"/>
    </row>
    <row r="9" spans="1:23" s="5" customFormat="1" ht="138" customHeight="1" x14ac:dyDescent="0.35">
      <c r="A9" s="38">
        <v>4</v>
      </c>
      <c r="B9" s="227" t="s">
        <v>361</v>
      </c>
      <c r="C9" s="144" t="s">
        <v>46</v>
      </c>
      <c r="D9" s="38" t="s">
        <v>851</v>
      </c>
      <c r="E9" s="103" t="s">
        <v>857</v>
      </c>
      <c r="F9" s="38" t="s">
        <v>364</v>
      </c>
      <c r="G9" s="250"/>
      <c r="H9" s="38" t="s">
        <v>71</v>
      </c>
      <c r="I9" s="151" t="s">
        <v>414</v>
      </c>
      <c r="J9" s="151" t="s">
        <v>52</v>
      </c>
      <c r="K9" s="230" t="s">
        <v>74</v>
      </c>
      <c r="L9" s="120" t="s">
        <v>52</v>
      </c>
      <c r="M9" s="142" t="s">
        <v>281</v>
      </c>
      <c r="N9" s="257" t="s">
        <v>858</v>
      </c>
      <c r="O9" s="545"/>
      <c r="P9" s="545"/>
      <c r="Q9" s="545"/>
      <c r="R9" s="559"/>
      <c r="S9" s="130" t="s">
        <v>56</v>
      </c>
      <c r="T9" s="233"/>
      <c r="U9" s="174"/>
      <c r="V9" s="259" t="s">
        <v>314</v>
      </c>
      <c r="W9" s="16"/>
    </row>
    <row r="10" spans="1:23" s="5" customFormat="1" ht="136.5" customHeight="1" x14ac:dyDescent="0.35">
      <c r="A10" s="38">
        <v>5</v>
      </c>
      <c r="B10" s="227" t="s">
        <v>361</v>
      </c>
      <c r="C10" s="144" t="s">
        <v>46</v>
      </c>
      <c r="D10" s="38" t="s">
        <v>851</v>
      </c>
      <c r="E10" s="103" t="s">
        <v>859</v>
      </c>
      <c r="F10" s="38" t="s">
        <v>364</v>
      </c>
      <c r="G10" s="41"/>
      <c r="H10" s="38" t="s">
        <v>399</v>
      </c>
      <c r="I10" s="151" t="s">
        <v>860</v>
      </c>
      <c r="J10" s="151" t="s">
        <v>52</v>
      </c>
      <c r="K10" s="230" t="s">
        <v>74</v>
      </c>
      <c r="L10" s="120" t="s">
        <v>52</v>
      </c>
      <c r="M10" s="142" t="s">
        <v>281</v>
      </c>
      <c r="N10" s="258" t="s">
        <v>861</v>
      </c>
      <c r="O10" s="545"/>
      <c r="P10" s="545"/>
      <c r="Q10" s="545"/>
      <c r="R10" s="559"/>
      <c r="S10" s="130" t="s">
        <v>56</v>
      </c>
      <c r="T10" s="233"/>
      <c r="U10" s="174"/>
      <c r="V10" s="259" t="s">
        <v>314</v>
      </c>
      <c r="W10" s="16"/>
    </row>
    <row r="11" spans="1:23" s="5" customFormat="1" ht="91" customHeight="1" x14ac:dyDescent="0.4">
      <c r="A11" s="38">
        <v>6</v>
      </c>
      <c r="B11" s="227" t="s">
        <v>361</v>
      </c>
      <c r="C11" s="144" t="s">
        <v>46</v>
      </c>
      <c r="D11" s="38" t="s">
        <v>851</v>
      </c>
      <c r="E11" s="103" t="s">
        <v>862</v>
      </c>
      <c r="F11" s="38" t="s">
        <v>364</v>
      </c>
      <c r="G11" s="41"/>
      <c r="H11" s="38" t="s">
        <v>71</v>
      </c>
      <c r="I11" s="151" t="s">
        <v>93</v>
      </c>
      <c r="J11" s="151" t="s">
        <v>52</v>
      </c>
      <c r="K11" s="230" t="s">
        <v>74</v>
      </c>
      <c r="L11" s="120" t="s">
        <v>52</v>
      </c>
      <c r="M11" s="142" t="s">
        <v>281</v>
      </c>
      <c r="N11" s="257" t="s">
        <v>52</v>
      </c>
      <c r="O11" s="545"/>
      <c r="P11" s="545"/>
      <c r="Q11" s="545"/>
      <c r="R11" s="559"/>
      <c r="S11" s="130" t="s">
        <v>56</v>
      </c>
      <c r="T11" s="233"/>
      <c r="U11" s="174"/>
      <c r="V11" s="259" t="s">
        <v>314</v>
      </c>
      <c r="W11" s="188"/>
    </row>
    <row r="12" spans="1:23" s="5" customFormat="1" ht="161.15" customHeight="1" x14ac:dyDescent="0.35">
      <c r="A12" s="38">
        <v>7</v>
      </c>
      <c r="B12" s="227" t="s">
        <v>361</v>
      </c>
      <c r="C12" s="144" t="s">
        <v>46</v>
      </c>
      <c r="D12" s="38" t="s">
        <v>851</v>
      </c>
      <c r="E12" s="103" t="s">
        <v>863</v>
      </c>
      <c r="F12" s="38" t="s">
        <v>364</v>
      </c>
      <c r="G12" s="41"/>
      <c r="H12" s="38" t="s">
        <v>399</v>
      </c>
      <c r="I12" s="151" t="s">
        <v>659</v>
      </c>
      <c r="J12" s="151" t="s">
        <v>52</v>
      </c>
      <c r="K12" s="230" t="s">
        <v>74</v>
      </c>
      <c r="L12" s="120" t="s">
        <v>52</v>
      </c>
      <c r="M12" s="142" t="s">
        <v>281</v>
      </c>
      <c r="N12" s="257" t="s">
        <v>861</v>
      </c>
      <c r="O12" s="545"/>
      <c r="P12" s="545"/>
      <c r="Q12" s="545"/>
      <c r="R12" s="559"/>
      <c r="S12" s="130" t="s">
        <v>56</v>
      </c>
      <c r="T12" s="232"/>
      <c r="U12" s="265"/>
      <c r="V12" s="259" t="s">
        <v>314</v>
      </c>
      <c r="W12" s="34"/>
    </row>
    <row r="13" spans="1:23" s="5" customFormat="1" ht="133.5" customHeight="1" x14ac:dyDescent="0.35">
      <c r="A13" s="38">
        <v>8</v>
      </c>
      <c r="B13" s="227" t="s">
        <v>361</v>
      </c>
      <c r="C13" s="144" t="s">
        <v>46</v>
      </c>
      <c r="D13" s="38" t="s">
        <v>851</v>
      </c>
      <c r="E13" s="103" t="s">
        <v>864</v>
      </c>
      <c r="F13" s="38" t="s">
        <v>364</v>
      </c>
      <c r="G13" s="224"/>
      <c r="H13" s="38" t="s">
        <v>71</v>
      </c>
      <c r="I13" s="151" t="s">
        <v>591</v>
      </c>
      <c r="J13" s="151" t="s">
        <v>52</v>
      </c>
      <c r="K13" s="230" t="s">
        <v>74</v>
      </c>
      <c r="L13" s="120" t="s">
        <v>52</v>
      </c>
      <c r="M13" s="142" t="s">
        <v>281</v>
      </c>
      <c r="N13" s="258" t="s">
        <v>856</v>
      </c>
      <c r="O13" s="545"/>
      <c r="P13" s="545"/>
      <c r="Q13" s="545"/>
      <c r="R13" s="559"/>
      <c r="S13" s="130" t="s">
        <v>56</v>
      </c>
      <c r="T13" s="240"/>
      <c r="U13" s="265"/>
      <c r="V13" s="259" t="s">
        <v>314</v>
      </c>
      <c r="W13" s="34"/>
    </row>
    <row r="14" spans="1:23" s="5" customFormat="1" ht="140.15" customHeight="1" x14ac:dyDescent="0.35">
      <c r="A14" s="38">
        <v>9</v>
      </c>
      <c r="B14" s="227" t="s">
        <v>361</v>
      </c>
      <c r="C14" s="144" t="s">
        <v>46</v>
      </c>
      <c r="D14" s="38" t="s">
        <v>851</v>
      </c>
      <c r="E14" s="103" t="s">
        <v>865</v>
      </c>
      <c r="F14" s="38" t="s">
        <v>364</v>
      </c>
      <c r="G14" s="249"/>
      <c r="H14" s="38" t="s">
        <v>71</v>
      </c>
      <c r="I14" s="151" t="s">
        <v>551</v>
      </c>
      <c r="J14" s="151" t="s">
        <v>52</v>
      </c>
      <c r="K14" s="230" t="s">
        <v>74</v>
      </c>
      <c r="L14" s="120" t="s">
        <v>52</v>
      </c>
      <c r="M14" s="142" t="s">
        <v>281</v>
      </c>
      <c r="N14" s="256" t="s">
        <v>858</v>
      </c>
      <c r="O14" s="545"/>
      <c r="P14" s="545"/>
      <c r="Q14" s="545"/>
      <c r="R14" s="559"/>
      <c r="S14" s="130" t="s">
        <v>56</v>
      </c>
      <c r="T14" s="241"/>
      <c r="U14" s="174"/>
      <c r="V14" s="259" t="s">
        <v>314</v>
      </c>
      <c r="W14" s="34"/>
    </row>
    <row r="15" spans="1:23" s="5" customFormat="1" ht="133.5" customHeight="1" x14ac:dyDescent="0.35">
      <c r="A15" s="38">
        <v>10</v>
      </c>
      <c r="B15" s="227" t="s">
        <v>361</v>
      </c>
      <c r="C15" s="144" t="s">
        <v>46</v>
      </c>
      <c r="D15" s="38" t="s">
        <v>851</v>
      </c>
      <c r="E15" s="103" t="s">
        <v>866</v>
      </c>
      <c r="F15" s="38" t="s">
        <v>364</v>
      </c>
      <c r="G15" s="249"/>
      <c r="H15" s="38" t="s">
        <v>71</v>
      </c>
      <c r="I15" s="151" t="s">
        <v>97</v>
      </c>
      <c r="J15" s="151" t="s">
        <v>52</v>
      </c>
      <c r="K15" s="230" t="s">
        <v>53</v>
      </c>
      <c r="L15" s="38">
        <v>1</v>
      </c>
      <c r="M15" s="142" t="s">
        <v>281</v>
      </c>
      <c r="N15" s="256" t="s">
        <v>867</v>
      </c>
      <c r="O15" s="545"/>
      <c r="P15" s="545"/>
      <c r="Q15" s="545"/>
      <c r="R15" s="559"/>
      <c r="S15" s="130" t="s">
        <v>56</v>
      </c>
      <c r="T15" s="241"/>
      <c r="U15" s="174"/>
      <c r="V15" s="259" t="s">
        <v>314</v>
      </c>
      <c r="W15" s="34"/>
    </row>
    <row r="16" spans="1:23" s="5" customFormat="1" ht="144.65" customHeight="1" x14ac:dyDescent="0.35">
      <c r="A16" s="38">
        <v>11</v>
      </c>
      <c r="B16" s="227" t="s">
        <v>361</v>
      </c>
      <c r="C16" s="144" t="s">
        <v>46</v>
      </c>
      <c r="D16" s="38" t="s">
        <v>851</v>
      </c>
      <c r="E16" s="103" t="s">
        <v>868</v>
      </c>
      <c r="F16" s="38" t="s">
        <v>364</v>
      </c>
      <c r="G16" s="249"/>
      <c r="H16" s="38" t="s">
        <v>399</v>
      </c>
      <c r="I16" s="151" t="s">
        <v>869</v>
      </c>
      <c r="J16" s="151" t="s">
        <v>52</v>
      </c>
      <c r="K16" s="230" t="s">
        <v>74</v>
      </c>
      <c r="L16" s="38" t="s">
        <v>52</v>
      </c>
      <c r="M16" s="75" t="s">
        <v>870</v>
      </c>
      <c r="N16" s="256" t="s">
        <v>871</v>
      </c>
      <c r="O16" s="545"/>
      <c r="P16" s="545"/>
      <c r="Q16" s="545"/>
      <c r="R16" s="559"/>
      <c r="S16" s="130" t="s">
        <v>56</v>
      </c>
      <c r="T16" s="241"/>
      <c r="U16" s="174"/>
      <c r="V16" s="259" t="s">
        <v>314</v>
      </c>
      <c r="W16" s="34"/>
    </row>
    <row r="17" spans="1:23" s="5" customFormat="1" ht="154" customHeight="1" x14ac:dyDescent="0.35">
      <c r="A17" s="38">
        <v>12</v>
      </c>
      <c r="B17" s="227" t="s">
        <v>361</v>
      </c>
      <c r="C17" s="144" t="s">
        <v>46</v>
      </c>
      <c r="D17" s="38" t="s">
        <v>851</v>
      </c>
      <c r="E17" s="103" t="s">
        <v>872</v>
      </c>
      <c r="F17" s="38" t="s">
        <v>364</v>
      </c>
      <c r="G17" s="249"/>
      <c r="H17" s="38" t="s">
        <v>399</v>
      </c>
      <c r="I17" s="151" t="s">
        <v>873</v>
      </c>
      <c r="J17" s="151" t="s">
        <v>52</v>
      </c>
      <c r="K17" s="230" t="s">
        <v>74</v>
      </c>
      <c r="L17" s="38" t="s">
        <v>52</v>
      </c>
      <c r="M17" s="75" t="s">
        <v>870</v>
      </c>
      <c r="N17" s="256" t="s">
        <v>871</v>
      </c>
      <c r="O17" s="545"/>
      <c r="P17" s="545"/>
      <c r="Q17" s="545"/>
      <c r="R17" s="559"/>
      <c r="S17" s="130" t="s">
        <v>56</v>
      </c>
      <c r="T17" s="241"/>
      <c r="U17" s="174"/>
      <c r="V17" s="259" t="s">
        <v>314</v>
      </c>
      <c r="W17" s="34"/>
    </row>
    <row r="18" spans="1:23" s="3" customFormat="1" ht="116.15" customHeight="1" x14ac:dyDescent="0.35">
      <c r="A18" s="38">
        <v>13</v>
      </c>
      <c r="B18" s="227" t="s">
        <v>361</v>
      </c>
      <c r="C18" s="144" t="s">
        <v>46</v>
      </c>
      <c r="D18" s="38" t="s">
        <v>851</v>
      </c>
      <c r="E18" s="103" t="s">
        <v>874</v>
      </c>
      <c r="F18" s="38" t="s">
        <v>364</v>
      </c>
      <c r="G18" s="249"/>
      <c r="H18" s="38" t="s">
        <v>399</v>
      </c>
      <c r="I18" s="151" t="s">
        <v>875</v>
      </c>
      <c r="J18" s="151" t="s">
        <v>52</v>
      </c>
      <c r="K18" s="230" t="s">
        <v>74</v>
      </c>
      <c r="L18" s="38" t="s">
        <v>52</v>
      </c>
      <c r="M18" s="75" t="s">
        <v>876</v>
      </c>
      <c r="N18" s="257" t="s">
        <v>861</v>
      </c>
      <c r="O18" s="545"/>
      <c r="P18" s="545"/>
      <c r="Q18" s="545"/>
      <c r="R18" s="559"/>
      <c r="S18" s="130" t="s">
        <v>56</v>
      </c>
      <c r="T18" s="241"/>
      <c r="U18" s="174"/>
      <c r="V18" s="259" t="s">
        <v>314</v>
      </c>
      <c r="W18" s="34"/>
    </row>
    <row r="19" spans="1:23" s="3" customFormat="1" ht="133.5" customHeight="1" x14ac:dyDescent="0.35">
      <c r="A19" s="38">
        <v>14</v>
      </c>
      <c r="B19" s="227" t="s">
        <v>361</v>
      </c>
      <c r="C19" s="144" t="s">
        <v>46</v>
      </c>
      <c r="D19" s="38" t="s">
        <v>851</v>
      </c>
      <c r="E19" s="103" t="s">
        <v>877</v>
      </c>
      <c r="F19" s="38" t="s">
        <v>364</v>
      </c>
      <c r="G19" s="249"/>
      <c r="H19" s="38" t="s">
        <v>399</v>
      </c>
      <c r="I19" s="151" t="s">
        <v>551</v>
      </c>
      <c r="J19" s="151" t="s">
        <v>52</v>
      </c>
      <c r="K19" s="230" t="s">
        <v>53</v>
      </c>
      <c r="L19" s="38">
        <v>1</v>
      </c>
      <c r="M19" s="142" t="s">
        <v>281</v>
      </c>
      <c r="N19" s="257" t="s">
        <v>861</v>
      </c>
      <c r="O19" s="545"/>
      <c r="P19" s="545"/>
      <c r="Q19" s="545"/>
      <c r="R19" s="559"/>
      <c r="S19" s="130" t="s">
        <v>56</v>
      </c>
      <c r="T19" s="241"/>
      <c r="U19" s="174"/>
      <c r="V19" s="259" t="s">
        <v>314</v>
      </c>
      <c r="W19" s="34"/>
    </row>
    <row r="20" spans="1:23" s="3" customFormat="1" ht="134.5" customHeight="1" x14ac:dyDescent="0.35">
      <c r="A20" s="38">
        <v>15</v>
      </c>
      <c r="B20" s="227" t="s">
        <v>361</v>
      </c>
      <c r="C20" s="144" t="s">
        <v>46</v>
      </c>
      <c r="D20" s="38" t="s">
        <v>851</v>
      </c>
      <c r="E20" s="103" t="s">
        <v>878</v>
      </c>
      <c r="F20" s="38" t="s">
        <v>364</v>
      </c>
      <c r="G20" s="249"/>
      <c r="H20" s="38" t="s">
        <v>399</v>
      </c>
      <c r="I20" s="151" t="s">
        <v>647</v>
      </c>
      <c r="J20" s="151" t="s">
        <v>52</v>
      </c>
      <c r="K20" s="230" t="s">
        <v>53</v>
      </c>
      <c r="L20" s="38">
        <v>1</v>
      </c>
      <c r="M20" s="142" t="s">
        <v>281</v>
      </c>
      <c r="N20" s="257" t="s">
        <v>861</v>
      </c>
      <c r="O20" s="545"/>
      <c r="P20" s="545"/>
      <c r="Q20" s="545"/>
      <c r="R20" s="559"/>
      <c r="S20" s="130" t="s">
        <v>56</v>
      </c>
      <c r="T20" s="241"/>
      <c r="U20" s="174"/>
      <c r="V20" s="259" t="s">
        <v>314</v>
      </c>
      <c r="W20" s="34"/>
    </row>
    <row r="21" spans="1:23" s="3" customFormat="1" ht="134.15" customHeight="1" x14ac:dyDescent="0.35">
      <c r="A21" s="38">
        <v>16</v>
      </c>
      <c r="B21" s="227" t="s">
        <v>361</v>
      </c>
      <c r="C21" s="144" t="s">
        <v>46</v>
      </c>
      <c r="D21" s="38" t="s">
        <v>851</v>
      </c>
      <c r="E21" s="103" t="s">
        <v>879</v>
      </c>
      <c r="F21" s="38" t="s">
        <v>364</v>
      </c>
      <c r="G21" s="136"/>
      <c r="H21" s="38" t="s">
        <v>71</v>
      </c>
      <c r="I21" s="151" t="s">
        <v>880</v>
      </c>
      <c r="J21" s="151" t="s">
        <v>52</v>
      </c>
      <c r="K21" s="230" t="s">
        <v>53</v>
      </c>
      <c r="L21" s="38">
        <v>2</v>
      </c>
      <c r="M21" s="142" t="s">
        <v>281</v>
      </c>
      <c r="N21" s="256" t="s">
        <v>52</v>
      </c>
      <c r="O21" s="545"/>
      <c r="P21" s="545"/>
      <c r="Q21" s="545"/>
      <c r="R21" s="559"/>
      <c r="S21" s="130" t="s">
        <v>56</v>
      </c>
      <c r="T21" s="241"/>
      <c r="U21" s="174"/>
      <c r="V21" s="259" t="s">
        <v>314</v>
      </c>
      <c r="W21" s="34"/>
    </row>
    <row r="22" spans="1:23" s="3" customFormat="1" ht="126.65" customHeight="1" x14ac:dyDescent="0.35">
      <c r="A22" s="38">
        <v>17</v>
      </c>
      <c r="B22" s="227" t="s">
        <v>361</v>
      </c>
      <c r="C22" s="144" t="s">
        <v>46</v>
      </c>
      <c r="D22" s="38" t="s">
        <v>851</v>
      </c>
      <c r="E22" s="103" t="s">
        <v>881</v>
      </c>
      <c r="F22" s="38" t="s">
        <v>364</v>
      </c>
      <c r="G22" s="136"/>
      <c r="H22" s="38" t="s">
        <v>71</v>
      </c>
      <c r="I22" s="151" t="s">
        <v>882</v>
      </c>
      <c r="J22" s="151" t="s">
        <v>52</v>
      </c>
      <c r="K22" s="230" t="s">
        <v>74</v>
      </c>
      <c r="L22" s="38" t="s">
        <v>52</v>
      </c>
      <c r="M22" s="142" t="s">
        <v>281</v>
      </c>
      <c r="N22" s="256" t="s">
        <v>52</v>
      </c>
      <c r="O22" s="545"/>
      <c r="P22" s="545"/>
      <c r="Q22" s="545"/>
      <c r="R22" s="559"/>
      <c r="S22" s="130" t="s">
        <v>56</v>
      </c>
      <c r="T22" s="241"/>
      <c r="U22" s="174"/>
      <c r="V22" s="259" t="s">
        <v>314</v>
      </c>
      <c r="W22" s="34"/>
    </row>
    <row r="23" spans="1:23" s="3" customFormat="1" ht="126.65" customHeight="1" x14ac:dyDescent="0.35">
      <c r="A23" s="38">
        <v>18</v>
      </c>
      <c r="B23" s="227" t="s">
        <v>361</v>
      </c>
      <c r="C23" s="144" t="s">
        <v>46</v>
      </c>
      <c r="D23" s="38" t="s">
        <v>851</v>
      </c>
      <c r="E23" s="103" t="s">
        <v>883</v>
      </c>
      <c r="F23" s="38" t="s">
        <v>364</v>
      </c>
      <c r="G23" s="136"/>
      <c r="H23" s="38" t="s">
        <v>71</v>
      </c>
      <c r="I23" s="151" t="s">
        <v>882</v>
      </c>
      <c r="J23" s="151" t="s">
        <v>52</v>
      </c>
      <c r="K23" s="230" t="s">
        <v>74</v>
      </c>
      <c r="L23" s="38" t="s">
        <v>52</v>
      </c>
      <c r="M23" s="142" t="s">
        <v>281</v>
      </c>
      <c r="N23" s="256" t="s">
        <v>52</v>
      </c>
      <c r="O23" s="545"/>
      <c r="P23" s="545"/>
      <c r="Q23" s="545"/>
      <c r="R23" s="559"/>
      <c r="S23" s="130" t="s">
        <v>56</v>
      </c>
      <c r="T23" s="241"/>
      <c r="U23" s="174"/>
      <c r="V23" s="259" t="s">
        <v>314</v>
      </c>
      <c r="W23" s="34"/>
    </row>
    <row r="24" spans="1:23" s="3" customFormat="1" ht="110.5" customHeight="1" x14ac:dyDescent="0.35">
      <c r="A24" s="38">
        <v>19</v>
      </c>
      <c r="B24" s="227" t="s">
        <v>361</v>
      </c>
      <c r="C24" s="144" t="s">
        <v>46</v>
      </c>
      <c r="D24" s="38" t="s">
        <v>851</v>
      </c>
      <c r="E24" s="103" t="s">
        <v>884</v>
      </c>
      <c r="F24" s="38" t="s">
        <v>364</v>
      </c>
      <c r="G24" s="136"/>
      <c r="H24" s="38" t="s">
        <v>71</v>
      </c>
      <c r="I24" s="151" t="s">
        <v>885</v>
      </c>
      <c r="J24" s="151" t="s">
        <v>52</v>
      </c>
      <c r="K24" s="230" t="s">
        <v>74</v>
      </c>
      <c r="L24" s="38" t="s">
        <v>52</v>
      </c>
      <c r="M24" s="142" t="s">
        <v>281</v>
      </c>
      <c r="N24" s="256" t="s">
        <v>52</v>
      </c>
      <c r="O24" s="545"/>
      <c r="P24" s="546"/>
      <c r="Q24" s="546"/>
      <c r="R24" s="520"/>
      <c r="S24" s="130" t="s">
        <v>56</v>
      </c>
      <c r="T24" s="241"/>
      <c r="U24" s="174"/>
      <c r="V24" s="259" t="s">
        <v>314</v>
      </c>
      <c r="W24" s="34"/>
    </row>
    <row r="25" spans="1:23" s="3" customFormat="1" ht="260.14999999999998" customHeight="1" x14ac:dyDescent="0.35">
      <c r="A25" s="38">
        <v>20</v>
      </c>
      <c r="B25" s="227" t="s">
        <v>361</v>
      </c>
      <c r="C25" s="144" t="s">
        <v>46</v>
      </c>
      <c r="D25" s="136" t="s">
        <v>886</v>
      </c>
      <c r="E25" s="268" t="s">
        <v>887</v>
      </c>
      <c r="F25" s="38" t="s">
        <v>49</v>
      </c>
      <c r="G25" s="136"/>
      <c r="H25" s="38" t="s">
        <v>399</v>
      </c>
      <c r="I25" s="151" t="s">
        <v>524</v>
      </c>
      <c r="J25" s="151" t="s">
        <v>52</v>
      </c>
      <c r="K25" s="230" t="s">
        <v>74</v>
      </c>
      <c r="L25" s="38" t="s">
        <v>52</v>
      </c>
      <c r="M25" s="119" t="s">
        <v>888</v>
      </c>
      <c r="N25" s="138" t="s">
        <v>889</v>
      </c>
      <c r="O25" s="543" t="s">
        <v>150</v>
      </c>
      <c r="P25" s="574" t="s">
        <v>150</v>
      </c>
      <c r="Q25" s="574" t="s">
        <v>150</v>
      </c>
      <c r="R25" s="517" t="s">
        <v>890</v>
      </c>
      <c r="S25" s="130" t="s">
        <v>201</v>
      </c>
      <c r="T25" s="242" t="s">
        <v>891</v>
      </c>
      <c r="U25" s="174"/>
      <c r="V25" s="259" t="s">
        <v>352</v>
      </c>
      <c r="W25" s="34"/>
    </row>
    <row r="26" spans="1:23" s="3" customFormat="1" ht="175" customHeight="1" x14ac:dyDescent="0.35">
      <c r="A26" s="38">
        <v>21</v>
      </c>
      <c r="B26" s="227" t="s">
        <v>361</v>
      </c>
      <c r="C26" s="144" t="s">
        <v>46</v>
      </c>
      <c r="D26" s="136" t="s">
        <v>886</v>
      </c>
      <c r="E26" s="268" t="s">
        <v>892</v>
      </c>
      <c r="F26" s="38" t="s">
        <v>49</v>
      </c>
      <c r="G26" s="136"/>
      <c r="H26" s="38" t="s">
        <v>399</v>
      </c>
      <c r="I26" s="151" t="s">
        <v>104</v>
      </c>
      <c r="J26" s="151" t="s">
        <v>52</v>
      </c>
      <c r="K26" s="230" t="s">
        <v>74</v>
      </c>
      <c r="L26" s="38" t="s">
        <v>52</v>
      </c>
      <c r="M26" s="9" t="s">
        <v>711</v>
      </c>
      <c r="N26" s="138" t="s">
        <v>893</v>
      </c>
      <c r="O26" s="543"/>
      <c r="P26" s="574"/>
      <c r="Q26" s="574"/>
      <c r="R26" s="524"/>
      <c r="S26" s="130" t="s">
        <v>56</v>
      </c>
      <c r="T26" s="263"/>
      <c r="U26" s="174"/>
      <c r="V26" s="259" t="s">
        <v>352</v>
      </c>
      <c r="W26" s="34"/>
    </row>
    <row r="27" spans="1:23" ht="227.15" customHeight="1" x14ac:dyDescent="0.4">
      <c r="A27" s="38">
        <v>22</v>
      </c>
      <c r="B27" s="227" t="s">
        <v>361</v>
      </c>
      <c r="C27" s="144" t="s">
        <v>46</v>
      </c>
      <c r="D27" s="136" t="s">
        <v>886</v>
      </c>
      <c r="E27" s="268" t="s">
        <v>894</v>
      </c>
      <c r="F27" s="38" t="s">
        <v>49</v>
      </c>
      <c r="G27" s="272"/>
      <c r="H27" s="38" t="s">
        <v>399</v>
      </c>
      <c r="I27" s="151" t="s">
        <v>294</v>
      </c>
      <c r="J27" s="151" t="s">
        <v>52</v>
      </c>
      <c r="K27" s="230" t="s">
        <v>74</v>
      </c>
      <c r="L27" s="38" t="s">
        <v>52</v>
      </c>
      <c r="M27" s="206" t="s">
        <v>895</v>
      </c>
      <c r="N27" s="207" t="s">
        <v>896</v>
      </c>
      <c r="O27" s="543"/>
      <c r="P27" s="574"/>
      <c r="Q27" s="574"/>
      <c r="R27" s="524"/>
      <c r="S27" s="130" t="s">
        <v>56</v>
      </c>
      <c r="T27" s="263"/>
      <c r="U27" s="174"/>
      <c r="V27" s="259" t="s">
        <v>352</v>
      </c>
      <c r="W27" s="210"/>
    </row>
    <row r="28" spans="1:23" ht="160" customHeight="1" x14ac:dyDescent="0.35">
      <c r="A28" s="38">
        <v>23</v>
      </c>
      <c r="B28" s="227" t="s">
        <v>361</v>
      </c>
      <c r="C28" s="144" t="s">
        <v>46</v>
      </c>
      <c r="D28" s="136" t="s">
        <v>897</v>
      </c>
      <c r="E28" s="269" t="s">
        <v>898</v>
      </c>
      <c r="F28" s="38" t="s">
        <v>49</v>
      </c>
      <c r="G28" s="44"/>
      <c r="H28" s="38" t="s">
        <v>399</v>
      </c>
      <c r="I28" s="273" t="s">
        <v>899</v>
      </c>
      <c r="J28" s="151" t="s">
        <v>52</v>
      </c>
      <c r="K28" s="230" t="s">
        <v>74</v>
      </c>
      <c r="L28" s="38" t="s">
        <v>52</v>
      </c>
      <c r="M28" s="9" t="s">
        <v>711</v>
      </c>
      <c r="N28" s="138" t="s">
        <v>900</v>
      </c>
      <c r="O28" s="575" t="s">
        <v>150</v>
      </c>
      <c r="P28" s="576" t="s">
        <v>150</v>
      </c>
      <c r="Q28" s="576" t="s">
        <v>150</v>
      </c>
      <c r="R28" s="551" t="s">
        <v>901</v>
      </c>
      <c r="S28" s="130" t="s">
        <v>56</v>
      </c>
      <c r="T28" s="264"/>
      <c r="U28" s="235"/>
      <c r="V28" s="259" t="s">
        <v>352</v>
      </c>
      <c r="W28" s="34"/>
    </row>
    <row r="29" spans="1:23" ht="219.65" customHeight="1" x14ac:dyDescent="0.4">
      <c r="A29" s="38">
        <v>24</v>
      </c>
      <c r="B29" s="227" t="s">
        <v>361</v>
      </c>
      <c r="C29" s="144" t="s">
        <v>46</v>
      </c>
      <c r="D29" s="136" t="s">
        <v>897</v>
      </c>
      <c r="E29" s="269" t="s">
        <v>902</v>
      </c>
      <c r="F29" s="38" t="s">
        <v>49</v>
      </c>
      <c r="G29" s="44"/>
      <c r="H29" s="38" t="s">
        <v>399</v>
      </c>
      <c r="I29" s="273" t="s">
        <v>860</v>
      </c>
      <c r="J29" s="151" t="s">
        <v>52</v>
      </c>
      <c r="K29" s="230" t="s">
        <v>74</v>
      </c>
      <c r="L29" s="38" t="s">
        <v>52</v>
      </c>
      <c r="M29" s="206" t="s">
        <v>247</v>
      </c>
      <c r="N29" s="138" t="s">
        <v>900</v>
      </c>
      <c r="O29" s="575"/>
      <c r="P29" s="574"/>
      <c r="Q29" s="574"/>
      <c r="R29" s="551"/>
      <c r="S29" s="130" t="s">
        <v>56</v>
      </c>
      <c r="T29" s="264"/>
      <c r="U29" s="235"/>
      <c r="V29" s="259" t="s">
        <v>352</v>
      </c>
      <c r="W29" s="34"/>
    </row>
    <row r="30" spans="1:23" ht="246.65" customHeight="1" x14ac:dyDescent="0.35">
      <c r="A30" s="38">
        <v>25</v>
      </c>
      <c r="B30" s="227" t="s">
        <v>361</v>
      </c>
      <c r="C30" s="144" t="s">
        <v>46</v>
      </c>
      <c r="D30" s="136" t="s">
        <v>897</v>
      </c>
      <c r="E30" s="269" t="s">
        <v>903</v>
      </c>
      <c r="F30" s="38" t="s">
        <v>49</v>
      </c>
      <c r="G30" s="44"/>
      <c r="H30" s="38" t="s">
        <v>399</v>
      </c>
      <c r="I30" s="49" t="s">
        <v>904</v>
      </c>
      <c r="J30" s="151" t="s">
        <v>52</v>
      </c>
      <c r="K30" s="230" t="s">
        <v>74</v>
      </c>
      <c r="L30" s="38" t="s">
        <v>52</v>
      </c>
      <c r="M30" s="9" t="s">
        <v>711</v>
      </c>
      <c r="N30" s="138" t="s">
        <v>900</v>
      </c>
      <c r="O30" s="575"/>
      <c r="P30" s="574"/>
      <c r="Q30" s="574"/>
      <c r="R30" s="551"/>
      <c r="S30" s="130" t="s">
        <v>56</v>
      </c>
      <c r="T30" s="264"/>
      <c r="U30" s="235"/>
      <c r="V30" s="259" t="s">
        <v>352</v>
      </c>
      <c r="W30" s="34"/>
    </row>
    <row r="31" spans="1:23" ht="232" customHeight="1" x14ac:dyDescent="0.4">
      <c r="A31" s="38">
        <v>26</v>
      </c>
      <c r="B31" s="227" t="s">
        <v>361</v>
      </c>
      <c r="C31" s="144" t="s">
        <v>46</v>
      </c>
      <c r="D31" s="136" t="s">
        <v>897</v>
      </c>
      <c r="E31" s="269" t="s">
        <v>905</v>
      </c>
      <c r="F31" s="38" t="s">
        <v>49</v>
      </c>
      <c r="G31" s="33"/>
      <c r="H31" s="38" t="s">
        <v>399</v>
      </c>
      <c r="I31" s="271" t="s">
        <v>154</v>
      </c>
      <c r="J31" s="151" t="s">
        <v>52</v>
      </c>
      <c r="K31" s="230" t="s">
        <v>74</v>
      </c>
      <c r="L31" s="38" t="s">
        <v>52</v>
      </c>
      <c r="M31" s="270" t="s">
        <v>906</v>
      </c>
      <c r="N31" s="138" t="s">
        <v>907</v>
      </c>
      <c r="O31" s="576"/>
      <c r="P31" s="574"/>
      <c r="Q31" s="574"/>
      <c r="R31" s="551"/>
      <c r="S31" s="130" t="s">
        <v>56</v>
      </c>
      <c r="T31" s="264"/>
      <c r="U31" s="235"/>
      <c r="V31" s="259" t="s">
        <v>352</v>
      </c>
      <c r="W31" s="34"/>
    </row>
    <row r="32" spans="1:23" x14ac:dyDescent="0.4">
      <c r="A32" s="46"/>
      <c r="B32" s="211"/>
      <c r="C32" s="211"/>
      <c r="D32" s="44"/>
      <c r="E32" s="245"/>
      <c r="F32" s="33"/>
      <c r="G32" s="33"/>
      <c r="H32" s="33"/>
      <c r="I32" s="246"/>
      <c r="J32" s="212"/>
      <c r="K32" s="46"/>
      <c r="L32" s="46"/>
      <c r="M32" s="255"/>
      <c r="N32" s="200"/>
      <c r="O32" s="38"/>
      <c r="P32" s="38"/>
      <c r="Q32" s="38"/>
      <c r="R32" s="38"/>
      <c r="S32" s="33"/>
      <c r="T32" s="264"/>
      <c r="U32" s="235"/>
      <c r="V32" s="260"/>
      <c r="W32" s="34"/>
    </row>
    <row r="33" spans="1:23" x14ac:dyDescent="0.4">
      <c r="A33" s="46"/>
      <c r="B33" s="211"/>
      <c r="C33" s="211"/>
      <c r="D33" s="44"/>
      <c r="E33" s="245"/>
      <c r="F33" s="33"/>
      <c r="G33" s="33"/>
      <c r="H33" s="33"/>
      <c r="I33" s="246"/>
      <c r="J33" s="212"/>
      <c r="K33" s="46"/>
      <c r="L33" s="46"/>
      <c r="M33" s="255"/>
      <c r="N33" s="200"/>
      <c r="O33" s="38"/>
      <c r="P33" s="38"/>
      <c r="Q33" s="38"/>
      <c r="R33" s="38"/>
      <c r="S33" s="33"/>
      <c r="T33" s="264"/>
      <c r="U33" s="235"/>
      <c r="V33" s="260"/>
      <c r="W33" s="34"/>
    </row>
    <row r="34" spans="1:23" x14ac:dyDescent="0.4">
      <c r="A34" s="46"/>
      <c r="B34" s="211"/>
      <c r="C34" s="211"/>
      <c r="D34" s="44"/>
      <c r="E34" s="245"/>
      <c r="F34" s="33"/>
      <c r="G34" s="33"/>
      <c r="H34" s="33"/>
      <c r="I34" s="246"/>
      <c r="J34" s="212"/>
      <c r="K34" s="46"/>
      <c r="L34" s="46"/>
      <c r="M34" s="255"/>
      <c r="N34" s="200"/>
      <c r="O34" s="38"/>
      <c r="P34" s="38"/>
      <c r="Q34" s="38"/>
      <c r="R34" s="38"/>
      <c r="S34" s="33"/>
      <c r="T34" s="264"/>
      <c r="U34" s="235"/>
      <c r="V34" s="260"/>
      <c r="W34" s="34"/>
    </row>
    <row r="35" spans="1:23" x14ac:dyDescent="0.4">
      <c r="A35" s="46"/>
      <c r="B35" s="211"/>
      <c r="C35" s="211"/>
      <c r="D35" s="44"/>
      <c r="E35" s="245"/>
      <c r="F35" s="33"/>
      <c r="G35" s="33"/>
      <c r="H35" s="33"/>
      <c r="I35" s="246"/>
      <c r="J35" s="212"/>
      <c r="K35" s="46"/>
      <c r="L35" s="46"/>
      <c r="M35" s="255"/>
      <c r="N35" s="200"/>
      <c r="O35" s="38"/>
      <c r="P35" s="38"/>
      <c r="Q35" s="38"/>
      <c r="R35" s="38"/>
      <c r="S35" s="33"/>
      <c r="T35" s="264"/>
      <c r="U35" s="235"/>
      <c r="V35" s="260"/>
      <c r="W35" s="34"/>
    </row>
    <row r="36" spans="1:23" x14ac:dyDescent="0.4">
      <c r="A36" s="46"/>
      <c r="B36" s="211"/>
      <c r="C36" s="211"/>
      <c r="D36" s="44"/>
      <c r="E36" s="245"/>
      <c r="F36" s="33"/>
      <c r="G36" s="33"/>
      <c r="H36" s="33"/>
      <c r="I36" s="246"/>
      <c r="J36" s="212"/>
      <c r="K36" s="46"/>
      <c r="L36" s="46"/>
      <c r="M36" s="255"/>
      <c r="N36" s="200"/>
      <c r="O36" s="38"/>
      <c r="P36" s="38"/>
      <c r="Q36" s="38"/>
      <c r="R36" s="38"/>
      <c r="S36" s="33"/>
      <c r="T36" s="264"/>
      <c r="U36" s="235"/>
      <c r="V36" s="260"/>
      <c r="W36" s="34"/>
    </row>
    <row r="37" spans="1:23" x14ac:dyDescent="0.4">
      <c r="A37" s="46"/>
      <c r="B37" s="211"/>
      <c r="C37" s="211"/>
      <c r="D37" s="44"/>
      <c r="E37" s="245"/>
      <c r="F37" s="33"/>
      <c r="G37" s="33"/>
      <c r="H37" s="33"/>
      <c r="I37" s="246"/>
      <c r="J37" s="212"/>
      <c r="K37" s="46"/>
      <c r="L37" s="46"/>
      <c r="M37" s="255"/>
      <c r="N37" s="200"/>
      <c r="O37" s="38"/>
      <c r="P37" s="38"/>
      <c r="Q37" s="38"/>
      <c r="R37" s="38"/>
      <c r="S37" s="33"/>
      <c r="T37" s="264"/>
      <c r="U37" s="235"/>
      <c r="V37" s="260"/>
      <c r="W37" s="34"/>
    </row>
    <row r="38" spans="1:23" x14ac:dyDescent="0.4">
      <c r="A38" s="46"/>
      <c r="B38" s="211"/>
      <c r="C38" s="211"/>
      <c r="D38" s="44"/>
      <c r="E38" s="245"/>
      <c r="F38" s="33"/>
      <c r="G38" s="33"/>
      <c r="H38" s="33"/>
      <c r="I38" s="246"/>
      <c r="J38" s="212"/>
      <c r="K38" s="46"/>
      <c r="L38" s="46"/>
      <c r="M38" s="255"/>
      <c r="N38" s="200"/>
      <c r="O38" s="38"/>
      <c r="P38" s="38"/>
      <c r="Q38" s="38"/>
      <c r="R38" s="38"/>
      <c r="S38" s="33"/>
      <c r="T38" s="264"/>
      <c r="U38" s="235"/>
      <c r="V38" s="260"/>
      <c r="W38" s="34"/>
    </row>
    <row r="39" spans="1:23" x14ac:dyDescent="0.4">
      <c r="A39" s="46"/>
      <c r="B39" s="211"/>
      <c r="C39" s="211"/>
      <c r="D39" s="44"/>
      <c r="E39" s="245"/>
      <c r="F39" s="33"/>
      <c r="G39" s="33"/>
      <c r="H39" s="33"/>
      <c r="I39" s="246"/>
      <c r="J39" s="212"/>
      <c r="K39" s="46"/>
      <c r="L39" s="46"/>
      <c r="M39" s="255"/>
      <c r="N39" s="200"/>
      <c r="O39" s="38"/>
      <c r="P39" s="38"/>
      <c r="Q39" s="38"/>
      <c r="R39" s="38"/>
      <c r="S39" s="33"/>
      <c r="T39" s="264"/>
      <c r="U39" s="235"/>
      <c r="V39" s="260"/>
      <c r="W39" s="34"/>
    </row>
    <row r="40" spans="1:23" x14ac:dyDescent="0.4">
      <c r="A40" s="46"/>
      <c r="B40" s="211"/>
      <c r="C40" s="211"/>
      <c r="D40" s="44"/>
      <c r="E40" s="245"/>
      <c r="F40" s="33"/>
      <c r="G40" s="33"/>
      <c r="H40" s="33"/>
      <c r="I40" s="246"/>
      <c r="J40" s="212"/>
      <c r="K40" s="46"/>
      <c r="L40" s="46"/>
      <c r="M40" s="255"/>
      <c r="N40" s="200"/>
      <c r="O40" s="38"/>
      <c r="P40" s="38"/>
      <c r="Q40" s="38"/>
      <c r="R40" s="38"/>
      <c r="S40" s="33"/>
      <c r="T40" s="264"/>
      <c r="U40" s="235"/>
      <c r="V40" s="260"/>
      <c r="W40" s="34"/>
    </row>
    <row r="41" spans="1:23" x14ac:dyDescent="0.4">
      <c r="A41" s="46"/>
      <c r="B41" s="211"/>
      <c r="C41" s="211"/>
      <c r="D41" s="44"/>
      <c r="E41" s="245"/>
      <c r="F41" s="33"/>
      <c r="G41" s="33"/>
      <c r="H41" s="33"/>
      <c r="I41" s="246"/>
      <c r="J41" s="212"/>
      <c r="K41" s="46"/>
      <c r="L41" s="46"/>
      <c r="M41" s="255"/>
      <c r="N41" s="200"/>
      <c r="O41" s="38"/>
      <c r="P41" s="38"/>
      <c r="Q41" s="38"/>
      <c r="R41" s="38"/>
      <c r="S41" s="33"/>
      <c r="T41" s="264"/>
      <c r="U41" s="235"/>
      <c r="V41" s="260"/>
      <c r="W41" s="34"/>
    </row>
    <row r="42" spans="1:23" x14ac:dyDescent="0.4">
      <c r="A42" s="46"/>
      <c r="B42" s="211"/>
      <c r="C42" s="211"/>
      <c r="D42" s="44"/>
      <c r="E42" s="245"/>
      <c r="F42" s="33"/>
      <c r="G42" s="33"/>
      <c r="H42" s="33"/>
      <c r="I42" s="246"/>
      <c r="J42" s="212"/>
      <c r="K42" s="46"/>
      <c r="L42" s="46"/>
      <c r="M42" s="255"/>
      <c r="N42" s="200"/>
      <c r="O42" s="38"/>
      <c r="P42" s="38"/>
      <c r="Q42" s="38"/>
      <c r="R42" s="38"/>
      <c r="S42" s="33"/>
      <c r="T42" s="264"/>
      <c r="U42" s="235"/>
      <c r="V42" s="260"/>
      <c r="W42" s="34"/>
    </row>
    <row r="43" spans="1:23" x14ac:dyDescent="0.4">
      <c r="A43" s="46"/>
      <c r="B43" s="211"/>
      <c r="C43" s="211"/>
      <c r="D43" s="44"/>
      <c r="E43" s="245"/>
      <c r="F43" s="33"/>
      <c r="G43" s="33"/>
      <c r="H43" s="33"/>
      <c r="I43" s="246"/>
      <c r="J43" s="212"/>
      <c r="K43" s="46"/>
      <c r="L43" s="46"/>
      <c r="M43" s="255"/>
      <c r="N43" s="200"/>
      <c r="O43" s="38"/>
      <c r="P43" s="38"/>
      <c r="Q43" s="38"/>
      <c r="R43" s="38"/>
      <c r="S43" s="33"/>
      <c r="T43" s="264"/>
      <c r="U43" s="235"/>
      <c r="V43" s="260"/>
      <c r="W43" s="34"/>
    </row>
    <row r="44" spans="1:23" x14ac:dyDescent="0.4">
      <c r="A44" s="46"/>
      <c r="B44" s="211"/>
      <c r="C44" s="211"/>
      <c r="D44" s="44"/>
      <c r="E44" s="245"/>
      <c r="F44" s="33"/>
      <c r="G44" s="33"/>
      <c r="H44" s="33"/>
      <c r="I44" s="246"/>
      <c r="J44" s="212"/>
      <c r="K44" s="46"/>
      <c r="L44" s="46"/>
      <c r="M44" s="255"/>
      <c r="N44" s="200"/>
      <c r="O44" s="38"/>
      <c r="P44" s="38"/>
      <c r="Q44" s="38"/>
      <c r="R44" s="38"/>
      <c r="S44" s="33"/>
      <c r="T44" s="264"/>
      <c r="U44" s="235"/>
      <c r="V44" s="260"/>
      <c r="W44" s="34"/>
    </row>
    <row r="45" spans="1:23" x14ac:dyDescent="0.4">
      <c r="A45" s="46"/>
      <c r="B45" s="211"/>
      <c r="C45" s="211"/>
      <c r="D45" s="44"/>
      <c r="E45" s="245"/>
      <c r="F45" s="33"/>
      <c r="G45" s="33"/>
      <c r="H45" s="33"/>
      <c r="I45" s="246"/>
      <c r="J45" s="212"/>
      <c r="K45" s="46"/>
      <c r="L45" s="46"/>
      <c r="M45" s="255"/>
      <c r="N45" s="200"/>
      <c r="O45" s="38"/>
      <c r="P45" s="38"/>
      <c r="Q45" s="38"/>
      <c r="R45" s="38"/>
      <c r="S45" s="33"/>
      <c r="T45" s="264"/>
      <c r="U45" s="235"/>
      <c r="V45" s="260"/>
      <c r="W45" s="34"/>
    </row>
    <row r="46" spans="1:23" x14ac:dyDescent="0.4">
      <c r="A46" s="46"/>
      <c r="B46" s="211"/>
      <c r="C46" s="211"/>
      <c r="D46" s="44"/>
      <c r="E46" s="245"/>
      <c r="F46" s="33"/>
      <c r="G46" s="33"/>
      <c r="H46" s="33"/>
      <c r="I46" s="246"/>
      <c r="J46" s="212"/>
      <c r="K46" s="46"/>
      <c r="L46" s="46"/>
      <c r="M46" s="255"/>
      <c r="N46" s="200"/>
      <c r="O46" s="38"/>
      <c r="P46" s="38"/>
      <c r="Q46" s="38"/>
      <c r="R46" s="38"/>
      <c r="S46" s="33"/>
      <c r="T46" s="264"/>
      <c r="U46" s="235"/>
      <c r="V46" s="260"/>
      <c r="W46" s="34"/>
    </row>
    <row r="47" spans="1:23" x14ac:dyDescent="0.4">
      <c r="A47" s="46"/>
      <c r="B47" s="211"/>
      <c r="C47" s="211"/>
      <c r="D47" s="44"/>
      <c r="E47" s="48"/>
      <c r="F47" s="33"/>
      <c r="G47" s="33"/>
      <c r="H47" s="33"/>
      <c r="I47" s="246"/>
      <c r="J47" s="212"/>
      <c r="K47" s="46"/>
      <c r="L47" s="46"/>
      <c r="M47" s="255"/>
      <c r="N47" s="200"/>
      <c r="O47" s="38"/>
      <c r="P47" s="38"/>
      <c r="Q47" s="38"/>
      <c r="R47" s="38"/>
      <c r="S47" s="33"/>
      <c r="T47" s="264"/>
      <c r="U47" s="235"/>
      <c r="V47" s="260"/>
      <c r="W47" s="34"/>
    </row>
    <row r="48" spans="1:23" x14ac:dyDescent="0.4">
      <c r="A48" s="46"/>
      <c r="B48" s="211"/>
      <c r="C48" s="211"/>
      <c r="D48" s="44"/>
      <c r="E48" s="33"/>
      <c r="F48" s="33"/>
      <c r="G48" s="33"/>
      <c r="H48" s="33"/>
      <c r="I48" s="246"/>
      <c r="J48" s="212"/>
      <c r="K48" s="46"/>
      <c r="L48" s="46"/>
      <c r="M48" s="255"/>
      <c r="N48" s="200"/>
      <c r="O48" s="38"/>
      <c r="P48" s="38"/>
      <c r="Q48" s="38"/>
      <c r="R48" s="38"/>
      <c r="S48" s="33"/>
      <c r="T48" s="264"/>
      <c r="U48" s="235"/>
      <c r="V48" s="260"/>
      <c r="W48" s="34"/>
    </row>
    <row r="49" spans="1:23" x14ac:dyDescent="0.4">
      <c r="A49" s="46"/>
      <c r="B49" s="211"/>
      <c r="C49" s="211"/>
      <c r="D49" s="44"/>
      <c r="E49" s="33"/>
      <c r="F49" s="33"/>
      <c r="G49" s="33"/>
      <c r="H49" s="33"/>
      <c r="I49" s="246"/>
      <c r="J49" s="212"/>
      <c r="K49" s="46"/>
      <c r="L49" s="46"/>
      <c r="M49" s="255"/>
      <c r="N49" s="200"/>
      <c r="O49" s="38"/>
      <c r="P49" s="38"/>
      <c r="Q49" s="38"/>
      <c r="R49" s="38"/>
      <c r="S49" s="33"/>
      <c r="T49" s="264"/>
      <c r="U49" s="235"/>
      <c r="V49" s="260"/>
      <c r="W49" s="34"/>
    </row>
    <row r="50" spans="1:23" x14ac:dyDescent="0.4">
      <c r="A50" s="46"/>
      <c r="B50" s="211"/>
      <c r="C50" s="211"/>
      <c r="D50" s="44"/>
      <c r="E50" s="33"/>
      <c r="F50" s="33"/>
      <c r="G50" s="33"/>
      <c r="H50" s="33"/>
      <c r="I50" s="246"/>
      <c r="J50" s="212"/>
      <c r="K50" s="46"/>
      <c r="L50" s="46"/>
      <c r="M50" s="255"/>
      <c r="N50" s="200"/>
      <c r="O50" s="38"/>
      <c r="P50" s="38"/>
      <c r="Q50" s="38"/>
      <c r="R50" s="38"/>
      <c r="S50" s="33"/>
      <c r="T50" s="264"/>
      <c r="U50" s="235"/>
      <c r="V50" s="260"/>
      <c r="W50" s="34"/>
    </row>
    <row r="51" spans="1:23" x14ac:dyDescent="0.4">
      <c r="A51" s="46"/>
      <c r="B51" s="211"/>
      <c r="C51" s="211"/>
      <c r="D51" s="44"/>
      <c r="E51" s="33"/>
      <c r="F51" s="33"/>
      <c r="G51" s="33"/>
      <c r="H51" s="33"/>
      <c r="I51" s="246"/>
      <c r="J51" s="212"/>
      <c r="K51" s="46"/>
      <c r="L51" s="46"/>
      <c r="M51" s="255"/>
      <c r="N51" s="200"/>
      <c r="O51" s="38"/>
      <c r="P51" s="38"/>
      <c r="Q51" s="38"/>
      <c r="R51" s="38"/>
      <c r="S51" s="33"/>
      <c r="T51" s="264"/>
      <c r="U51" s="235"/>
      <c r="V51" s="260"/>
      <c r="W51" s="34"/>
    </row>
    <row r="52" spans="1:23" x14ac:dyDescent="0.4">
      <c r="A52" s="46"/>
      <c r="B52" s="211"/>
      <c r="C52" s="211"/>
      <c r="D52" s="44"/>
      <c r="E52" s="33"/>
      <c r="F52" s="33"/>
      <c r="G52" s="33"/>
      <c r="H52" s="33"/>
      <c r="I52" s="246"/>
      <c r="J52" s="212"/>
      <c r="K52" s="46"/>
      <c r="L52" s="46"/>
      <c r="M52" s="255"/>
      <c r="N52" s="200"/>
      <c r="O52" s="38"/>
      <c r="P52" s="38"/>
      <c r="Q52" s="38"/>
      <c r="R52" s="38"/>
      <c r="S52" s="33"/>
      <c r="T52" s="264"/>
      <c r="U52" s="235"/>
      <c r="V52" s="260"/>
      <c r="W52" s="34"/>
    </row>
    <row r="53" spans="1:23" x14ac:dyDescent="0.4">
      <c r="A53" s="46"/>
      <c r="B53" s="211"/>
      <c r="C53" s="211"/>
      <c r="D53" s="44"/>
      <c r="E53" s="33"/>
      <c r="F53" s="33"/>
      <c r="G53" s="33"/>
      <c r="H53" s="33"/>
      <c r="I53" s="246"/>
      <c r="J53" s="212"/>
      <c r="K53" s="46"/>
      <c r="L53" s="46"/>
      <c r="M53" s="255"/>
      <c r="N53" s="200"/>
      <c r="O53" s="38"/>
      <c r="P53" s="38"/>
      <c r="Q53" s="38"/>
      <c r="R53" s="38"/>
      <c r="S53" s="33"/>
      <c r="T53" s="264"/>
      <c r="U53" s="235"/>
      <c r="V53" s="260"/>
      <c r="W53" s="34"/>
    </row>
    <row r="54" spans="1:23" x14ac:dyDescent="0.4">
      <c r="A54" s="46"/>
      <c r="B54" s="211"/>
      <c r="C54" s="211"/>
      <c r="D54" s="44"/>
      <c r="E54" s="33"/>
      <c r="F54" s="33"/>
      <c r="G54" s="33"/>
      <c r="H54" s="33"/>
      <c r="I54" s="246"/>
      <c r="J54" s="212"/>
      <c r="K54" s="46"/>
      <c r="L54" s="46"/>
      <c r="M54" s="255"/>
      <c r="N54" s="200"/>
      <c r="O54" s="38"/>
      <c r="P54" s="38"/>
      <c r="Q54" s="38"/>
      <c r="R54" s="38"/>
      <c r="S54" s="33"/>
      <c r="T54" s="264"/>
      <c r="U54" s="235"/>
      <c r="V54" s="260"/>
      <c r="W54" s="34"/>
    </row>
    <row r="55" spans="1:23" x14ac:dyDescent="0.4">
      <c r="A55" s="46"/>
      <c r="B55" s="211"/>
      <c r="C55" s="211"/>
      <c r="D55" s="44"/>
      <c r="E55" s="33"/>
      <c r="F55" s="33"/>
      <c r="G55" s="33"/>
      <c r="H55" s="33"/>
      <c r="I55" s="246"/>
      <c r="J55" s="212"/>
      <c r="K55" s="46"/>
      <c r="L55" s="46"/>
      <c r="M55" s="255"/>
      <c r="N55" s="200"/>
      <c r="O55" s="38"/>
      <c r="P55" s="38"/>
      <c r="Q55" s="38"/>
      <c r="R55" s="38"/>
      <c r="S55" s="33"/>
      <c r="T55" s="264"/>
      <c r="U55" s="235"/>
      <c r="V55" s="260"/>
      <c r="W55" s="34"/>
    </row>
    <row r="56" spans="1:23" x14ac:dyDescent="0.4">
      <c r="A56" s="46"/>
      <c r="B56" s="211"/>
      <c r="C56" s="211"/>
      <c r="D56" s="44"/>
      <c r="E56" s="33"/>
      <c r="F56" s="33"/>
      <c r="G56" s="33"/>
      <c r="H56" s="33"/>
      <c r="I56" s="246"/>
      <c r="J56" s="212"/>
      <c r="K56" s="46"/>
      <c r="L56" s="46"/>
      <c r="M56" s="255"/>
      <c r="N56" s="200"/>
      <c r="O56" s="38"/>
      <c r="P56" s="38"/>
      <c r="Q56" s="38"/>
      <c r="R56" s="38"/>
      <c r="S56" s="33"/>
      <c r="T56" s="264"/>
      <c r="U56" s="235"/>
      <c r="V56" s="260"/>
      <c r="W56" s="34"/>
    </row>
    <row r="57" spans="1:23" x14ac:dyDescent="0.4">
      <c r="A57" s="46"/>
      <c r="B57" s="211"/>
      <c r="C57" s="211"/>
      <c r="D57" s="44"/>
      <c r="E57" s="33"/>
      <c r="F57" s="33"/>
      <c r="G57" s="33"/>
      <c r="H57" s="33"/>
      <c r="I57" s="246"/>
      <c r="J57" s="212"/>
      <c r="K57" s="46"/>
      <c r="L57" s="46"/>
      <c r="M57" s="255"/>
      <c r="N57" s="200"/>
      <c r="O57" s="38"/>
      <c r="P57" s="38"/>
      <c r="Q57" s="38"/>
      <c r="R57" s="38"/>
      <c r="S57" s="33"/>
      <c r="T57" s="264"/>
      <c r="U57" s="235"/>
      <c r="V57" s="260"/>
      <c r="W57" s="34"/>
    </row>
    <row r="58" spans="1:23" x14ac:dyDescent="0.4">
      <c r="A58" s="46"/>
      <c r="B58" s="211"/>
      <c r="C58" s="211"/>
      <c r="D58" s="44"/>
      <c r="E58" s="33"/>
      <c r="F58" s="33"/>
      <c r="G58" s="33"/>
      <c r="H58" s="33"/>
      <c r="I58" s="246"/>
      <c r="J58" s="212"/>
      <c r="K58" s="46"/>
      <c r="L58" s="46"/>
      <c r="M58" s="255"/>
      <c r="N58" s="200"/>
      <c r="O58" s="38"/>
      <c r="P58" s="38"/>
      <c r="Q58" s="38"/>
      <c r="R58" s="38"/>
      <c r="S58" s="33"/>
      <c r="T58" s="264"/>
      <c r="U58" s="235"/>
      <c r="V58" s="260"/>
      <c r="W58" s="34"/>
    </row>
    <row r="59" spans="1:23" x14ac:dyDescent="0.4">
      <c r="A59" s="46"/>
      <c r="B59" s="211"/>
      <c r="C59" s="211"/>
      <c r="D59" s="44"/>
      <c r="E59" s="33"/>
      <c r="F59" s="33"/>
      <c r="G59" s="33"/>
      <c r="H59" s="33"/>
      <c r="I59" s="246"/>
      <c r="J59" s="212"/>
      <c r="K59" s="46"/>
      <c r="L59" s="46"/>
      <c r="M59" s="255"/>
      <c r="N59" s="200"/>
      <c r="O59" s="38"/>
      <c r="P59" s="38"/>
      <c r="Q59" s="38"/>
      <c r="R59" s="38"/>
      <c r="S59" s="33"/>
      <c r="T59" s="264"/>
      <c r="U59" s="235"/>
      <c r="V59" s="260"/>
      <c r="W59" s="34"/>
    </row>
    <row r="60" spans="1:23" x14ac:dyDescent="0.4">
      <c r="A60" s="46"/>
      <c r="B60" s="211"/>
      <c r="C60" s="211"/>
      <c r="D60" s="44"/>
      <c r="E60" s="33"/>
      <c r="F60" s="33"/>
      <c r="G60" s="33"/>
      <c r="H60" s="33"/>
      <c r="I60" s="246"/>
      <c r="J60" s="212"/>
      <c r="K60" s="46"/>
      <c r="L60" s="46"/>
      <c r="M60" s="255"/>
      <c r="N60" s="200"/>
      <c r="O60" s="38"/>
      <c r="P60" s="38"/>
      <c r="Q60" s="38"/>
      <c r="R60" s="38"/>
      <c r="S60" s="33"/>
      <c r="T60" s="264"/>
      <c r="U60" s="235"/>
      <c r="V60" s="260"/>
      <c r="W60" s="34"/>
    </row>
    <row r="61" spans="1:23" x14ac:dyDescent="0.4">
      <c r="A61" s="46"/>
      <c r="B61" s="211"/>
      <c r="C61" s="211"/>
      <c r="D61" s="44"/>
      <c r="E61" s="33"/>
      <c r="F61" s="33"/>
      <c r="G61" s="33"/>
      <c r="H61" s="33"/>
      <c r="I61" s="246"/>
      <c r="J61" s="212"/>
      <c r="K61" s="46"/>
      <c r="L61" s="46"/>
      <c r="M61" s="255"/>
      <c r="N61" s="200"/>
      <c r="O61" s="38"/>
      <c r="P61" s="38"/>
      <c r="Q61" s="38"/>
      <c r="R61" s="38"/>
      <c r="S61" s="33"/>
      <c r="T61" s="264"/>
      <c r="U61" s="235"/>
      <c r="V61" s="260"/>
      <c r="W61" s="34"/>
    </row>
    <row r="62" spans="1:23" x14ac:dyDescent="0.4">
      <c r="A62" s="46"/>
      <c r="B62" s="211"/>
      <c r="C62" s="211"/>
      <c r="D62" s="33"/>
      <c r="E62" s="33"/>
      <c r="F62" s="33"/>
      <c r="G62" s="33"/>
      <c r="H62" s="33"/>
      <c r="I62" s="212"/>
      <c r="J62" s="212"/>
      <c r="K62" s="46"/>
      <c r="L62" s="46"/>
      <c r="M62" s="255"/>
      <c r="N62" s="200"/>
      <c r="O62" s="38"/>
      <c r="P62" s="38"/>
      <c r="Q62" s="38"/>
      <c r="R62" s="38"/>
      <c r="S62" s="33"/>
      <c r="T62" s="264"/>
      <c r="U62" s="235"/>
      <c r="V62" s="260"/>
      <c r="W62" s="34"/>
    </row>
    <row r="63" spans="1:23" x14ac:dyDescent="0.4">
      <c r="A63" s="46"/>
      <c r="B63" s="211"/>
      <c r="C63" s="211"/>
      <c r="D63" s="33"/>
      <c r="E63" s="33"/>
      <c r="F63" s="33"/>
      <c r="G63" s="33"/>
      <c r="H63" s="33"/>
      <c r="I63" s="212"/>
      <c r="J63" s="212"/>
      <c r="K63" s="46"/>
      <c r="L63" s="46"/>
      <c r="M63" s="255"/>
      <c r="N63" s="200"/>
      <c r="O63" s="38"/>
      <c r="P63" s="38"/>
      <c r="Q63" s="38"/>
      <c r="R63" s="38"/>
      <c r="S63" s="33"/>
      <c r="T63" s="264"/>
      <c r="U63" s="235"/>
      <c r="V63" s="260"/>
      <c r="W63" s="34"/>
    </row>
    <row r="64" spans="1:23" x14ac:dyDescent="0.4">
      <c r="A64" s="46"/>
      <c r="B64" s="211"/>
      <c r="C64" s="211"/>
      <c r="D64" s="33"/>
      <c r="E64" s="33"/>
      <c r="F64" s="33"/>
      <c r="G64" s="33"/>
      <c r="H64" s="33"/>
      <c r="I64" s="212"/>
      <c r="J64" s="212"/>
      <c r="K64" s="46"/>
      <c r="L64" s="46"/>
      <c r="M64" s="255"/>
      <c r="N64" s="200"/>
      <c r="O64" s="38"/>
      <c r="P64" s="38"/>
      <c r="Q64" s="38"/>
      <c r="R64" s="38"/>
      <c r="S64" s="33"/>
      <c r="T64" s="264"/>
      <c r="U64" s="235"/>
      <c r="V64" s="260"/>
      <c r="W64" s="34"/>
    </row>
    <row r="65" spans="1:23" x14ac:dyDescent="0.4">
      <c r="A65" s="46"/>
      <c r="B65" s="211"/>
      <c r="C65" s="211"/>
      <c r="D65" s="33"/>
      <c r="E65" s="33"/>
      <c r="F65" s="33"/>
      <c r="G65" s="33"/>
      <c r="H65" s="33"/>
      <c r="I65" s="212"/>
      <c r="J65" s="212"/>
      <c r="K65" s="46"/>
      <c r="L65" s="46"/>
      <c r="M65" s="255"/>
      <c r="N65" s="200"/>
      <c r="O65" s="38"/>
      <c r="P65" s="38"/>
      <c r="Q65" s="38"/>
      <c r="R65" s="38"/>
      <c r="S65" s="33"/>
      <c r="T65" s="264"/>
      <c r="U65" s="235"/>
      <c r="V65" s="260"/>
      <c r="W65" s="34"/>
    </row>
    <row r="66" spans="1:23" x14ac:dyDescent="0.4">
      <c r="A66" s="46"/>
      <c r="B66" s="211"/>
      <c r="C66" s="211"/>
      <c r="D66" s="33"/>
      <c r="E66" s="33"/>
      <c r="F66" s="33"/>
      <c r="G66" s="33"/>
      <c r="H66" s="33"/>
      <c r="I66" s="212"/>
      <c r="J66" s="212"/>
      <c r="K66" s="46"/>
      <c r="L66" s="46"/>
      <c r="M66" s="255"/>
      <c r="N66" s="200"/>
      <c r="O66" s="38"/>
      <c r="P66" s="38"/>
      <c r="Q66" s="38"/>
      <c r="R66" s="38"/>
      <c r="S66" s="33"/>
      <c r="T66" s="264"/>
      <c r="U66" s="235"/>
      <c r="V66" s="260"/>
      <c r="W66" s="34"/>
    </row>
    <row r="67" spans="1:23" x14ac:dyDescent="0.4">
      <c r="A67" s="46"/>
      <c r="B67" s="211"/>
      <c r="C67" s="211"/>
      <c r="D67" s="33"/>
      <c r="E67" s="33"/>
      <c r="F67" s="33"/>
      <c r="G67" s="33"/>
      <c r="H67" s="33"/>
      <c r="I67" s="212"/>
      <c r="J67" s="212"/>
      <c r="K67" s="46"/>
      <c r="L67" s="46"/>
      <c r="M67" s="255"/>
      <c r="N67" s="200"/>
      <c r="O67" s="38"/>
      <c r="P67" s="38"/>
      <c r="Q67" s="38"/>
      <c r="R67" s="38"/>
      <c r="S67" s="33"/>
      <c r="T67" s="264"/>
      <c r="U67" s="235"/>
      <c r="V67" s="260"/>
      <c r="W67" s="34"/>
    </row>
    <row r="68" spans="1:23" x14ac:dyDescent="0.4">
      <c r="A68" s="46"/>
      <c r="B68" s="211"/>
      <c r="C68" s="211"/>
      <c r="D68" s="33"/>
      <c r="E68" s="33"/>
      <c r="F68" s="33"/>
      <c r="G68" s="33"/>
      <c r="H68" s="33"/>
      <c r="I68" s="212"/>
      <c r="J68" s="212"/>
      <c r="K68" s="46"/>
      <c r="L68" s="46"/>
      <c r="M68" s="255"/>
      <c r="N68" s="200"/>
      <c r="O68" s="38"/>
      <c r="P68" s="38"/>
      <c r="Q68" s="38"/>
      <c r="R68" s="38"/>
      <c r="S68" s="33"/>
      <c r="T68" s="264"/>
      <c r="U68" s="235"/>
      <c r="V68" s="260"/>
      <c r="W68" s="34"/>
    </row>
    <row r="69" spans="1:23" x14ac:dyDescent="0.4">
      <c r="A69" s="46"/>
      <c r="B69" s="211"/>
      <c r="C69" s="211"/>
      <c r="D69" s="33"/>
      <c r="E69" s="33"/>
      <c r="F69" s="33"/>
      <c r="G69" s="33"/>
      <c r="H69" s="33"/>
      <c r="I69" s="212"/>
      <c r="J69" s="212"/>
      <c r="K69" s="46"/>
      <c r="L69" s="46"/>
      <c r="M69" s="255"/>
      <c r="N69" s="200"/>
      <c r="O69" s="38"/>
      <c r="P69" s="38"/>
      <c r="Q69" s="38"/>
      <c r="R69" s="38"/>
      <c r="S69" s="33"/>
      <c r="T69" s="264"/>
      <c r="U69" s="235"/>
      <c r="V69" s="260"/>
      <c r="W69" s="34"/>
    </row>
    <row r="70" spans="1:23" x14ac:dyDescent="0.4">
      <c r="A70" s="46"/>
      <c r="B70" s="211"/>
      <c r="C70" s="211"/>
      <c r="D70" s="33"/>
      <c r="E70" s="33"/>
      <c r="F70" s="33"/>
      <c r="G70" s="33"/>
      <c r="H70" s="33"/>
      <c r="I70" s="212"/>
      <c r="J70" s="212"/>
      <c r="K70" s="46"/>
      <c r="L70" s="46"/>
      <c r="M70" s="255"/>
      <c r="N70" s="200"/>
      <c r="O70" s="38"/>
      <c r="P70" s="38"/>
      <c r="Q70" s="38"/>
      <c r="R70" s="38"/>
      <c r="S70" s="33"/>
      <c r="T70" s="264"/>
      <c r="U70" s="235"/>
      <c r="V70" s="260"/>
      <c r="W70" s="34"/>
    </row>
    <row r="71" spans="1:23" x14ac:dyDescent="0.4">
      <c r="A71" s="46"/>
      <c r="B71" s="211"/>
      <c r="C71" s="211"/>
      <c r="D71" s="33"/>
      <c r="E71" s="33"/>
      <c r="F71" s="33"/>
      <c r="G71" s="33"/>
      <c r="H71" s="33"/>
      <c r="I71" s="212"/>
      <c r="J71" s="212"/>
      <c r="K71" s="46"/>
      <c r="L71" s="46"/>
      <c r="M71" s="255"/>
      <c r="N71" s="200"/>
      <c r="O71" s="38"/>
      <c r="P71" s="38"/>
      <c r="Q71" s="38"/>
      <c r="R71" s="38"/>
      <c r="S71" s="33"/>
      <c r="T71" s="264"/>
      <c r="U71" s="235"/>
      <c r="V71" s="260"/>
      <c r="W71" s="34"/>
    </row>
    <row r="72" spans="1:23" x14ac:dyDescent="0.4">
      <c r="A72" s="46"/>
      <c r="B72" s="211"/>
      <c r="C72" s="211"/>
      <c r="D72" s="33"/>
      <c r="E72" s="33"/>
      <c r="F72" s="33"/>
      <c r="G72" s="33"/>
      <c r="H72" s="33"/>
      <c r="I72" s="212"/>
      <c r="J72" s="212"/>
      <c r="K72" s="46"/>
      <c r="L72" s="46"/>
      <c r="M72" s="255"/>
      <c r="N72" s="200"/>
      <c r="O72" s="38"/>
      <c r="P72" s="38"/>
      <c r="Q72" s="38"/>
      <c r="R72" s="38"/>
      <c r="S72" s="33"/>
      <c r="T72" s="264"/>
      <c r="U72" s="235"/>
      <c r="V72" s="260"/>
      <c r="W72" s="34"/>
    </row>
    <row r="73" spans="1:23" x14ac:dyDescent="0.4">
      <c r="A73" s="46"/>
      <c r="B73" s="211"/>
      <c r="C73" s="211"/>
      <c r="D73" s="33"/>
      <c r="E73" s="33"/>
      <c r="F73" s="33"/>
      <c r="G73" s="33"/>
      <c r="H73" s="33"/>
      <c r="I73" s="212"/>
      <c r="J73" s="212"/>
      <c r="K73" s="46"/>
      <c r="L73" s="46"/>
      <c r="M73" s="255"/>
      <c r="N73" s="200"/>
      <c r="O73" s="38"/>
      <c r="P73" s="38"/>
      <c r="Q73" s="38"/>
      <c r="R73" s="38"/>
      <c r="S73" s="33"/>
      <c r="T73" s="264"/>
      <c r="U73" s="235"/>
      <c r="V73" s="260"/>
      <c r="W73" s="34"/>
    </row>
    <row r="74" spans="1:23" x14ac:dyDescent="0.4">
      <c r="A74" s="46"/>
      <c r="B74" s="211"/>
      <c r="C74" s="211"/>
      <c r="D74" s="33"/>
      <c r="E74" s="33"/>
      <c r="F74" s="33"/>
      <c r="G74" s="33"/>
      <c r="H74" s="33"/>
      <c r="I74" s="212"/>
      <c r="J74" s="212"/>
      <c r="K74" s="46"/>
      <c r="L74" s="46"/>
      <c r="M74" s="255"/>
      <c r="N74" s="200"/>
      <c r="O74" s="38"/>
      <c r="P74" s="38"/>
      <c r="Q74" s="38"/>
      <c r="R74" s="38"/>
      <c r="S74" s="33"/>
      <c r="T74" s="264"/>
      <c r="U74" s="235"/>
      <c r="V74" s="260"/>
      <c r="W74" s="34"/>
    </row>
    <row r="75" spans="1:23" x14ac:dyDescent="0.4">
      <c r="A75" s="46"/>
      <c r="B75" s="211"/>
      <c r="C75" s="211"/>
      <c r="D75" s="33"/>
      <c r="E75" s="33"/>
      <c r="F75" s="33"/>
      <c r="G75" s="33"/>
      <c r="H75" s="33"/>
      <c r="I75" s="212"/>
      <c r="J75" s="212"/>
      <c r="K75" s="46"/>
      <c r="L75" s="46"/>
      <c r="M75" s="255"/>
      <c r="N75" s="200"/>
      <c r="O75" s="38"/>
      <c r="P75" s="38"/>
      <c r="Q75" s="38"/>
      <c r="R75" s="38"/>
      <c r="S75" s="33"/>
      <c r="T75" s="264"/>
      <c r="U75" s="235"/>
      <c r="V75" s="260"/>
      <c r="W75" s="34"/>
    </row>
    <row r="76" spans="1:23" x14ac:dyDescent="0.4">
      <c r="A76" s="46"/>
      <c r="B76" s="211"/>
      <c r="C76" s="211"/>
      <c r="D76" s="33"/>
      <c r="E76" s="33"/>
      <c r="F76" s="33"/>
      <c r="G76" s="33"/>
      <c r="H76" s="33"/>
      <c r="I76" s="212"/>
      <c r="J76" s="212"/>
      <c r="K76" s="46"/>
      <c r="L76" s="46"/>
      <c r="M76" s="255"/>
      <c r="N76" s="200"/>
      <c r="O76" s="46"/>
      <c r="P76" s="46"/>
      <c r="Q76" s="46"/>
      <c r="R76" s="46"/>
      <c r="S76" s="33"/>
      <c r="T76" s="264"/>
      <c r="U76" s="235"/>
      <c r="V76" s="260"/>
      <c r="W76" s="34"/>
    </row>
    <row r="77" spans="1:23" x14ac:dyDescent="0.4">
      <c r="A77" s="46"/>
      <c r="B77" s="211"/>
      <c r="C77" s="211"/>
      <c r="D77" s="33"/>
      <c r="E77" s="33"/>
      <c r="F77" s="33"/>
      <c r="G77" s="33"/>
      <c r="H77" s="33"/>
      <c r="I77" s="212"/>
      <c r="J77" s="212"/>
      <c r="K77" s="46"/>
      <c r="L77" s="46"/>
      <c r="M77" s="255"/>
      <c r="N77" s="200"/>
      <c r="O77" s="46"/>
      <c r="P77" s="46"/>
      <c r="Q77" s="46"/>
      <c r="R77" s="46"/>
      <c r="S77" s="33"/>
      <c r="T77" s="264"/>
      <c r="U77" s="235"/>
      <c r="V77" s="260"/>
      <c r="W77" s="34"/>
    </row>
    <row r="78" spans="1:23" x14ac:dyDescent="0.4">
      <c r="A78" s="46"/>
      <c r="B78" s="211"/>
      <c r="C78" s="211"/>
      <c r="D78" s="33"/>
      <c r="E78" s="33"/>
      <c r="F78" s="33"/>
      <c r="G78" s="33"/>
      <c r="H78" s="33"/>
      <c r="I78" s="212"/>
      <c r="J78" s="212"/>
      <c r="K78" s="46"/>
      <c r="L78" s="46"/>
      <c r="M78" s="255"/>
      <c r="N78" s="200"/>
      <c r="O78" s="46"/>
      <c r="P78" s="46"/>
      <c r="Q78" s="46"/>
      <c r="R78" s="46"/>
      <c r="S78" s="33"/>
      <c r="T78" s="264"/>
      <c r="U78" s="235"/>
      <c r="V78" s="260"/>
      <c r="W78" s="34"/>
    </row>
    <row r="79" spans="1:23" x14ac:dyDescent="0.4">
      <c r="A79" s="46"/>
      <c r="B79" s="211"/>
      <c r="C79" s="211"/>
      <c r="D79" s="33"/>
      <c r="E79" s="33"/>
      <c r="F79" s="33"/>
      <c r="G79" s="33"/>
      <c r="H79" s="33"/>
      <c r="I79" s="212"/>
      <c r="J79" s="212"/>
      <c r="K79" s="46"/>
      <c r="L79" s="46"/>
      <c r="M79" s="255"/>
      <c r="N79" s="200"/>
      <c r="O79" s="46"/>
      <c r="P79" s="46"/>
      <c r="Q79" s="46"/>
      <c r="R79" s="46"/>
      <c r="S79" s="33"/>
      <c r="T79" s="264"/>
      <c r="U79" s="235"/>
      <c r="V79" s="260"/>
      <c r="W79" s="34"/>
    </row>
    <row r="80" spans="1:23" x14ac:dyDescent="0.4">
      <c r="A80" s="46"/>
      <c r="B80" s="211"/>
      <c r="C80" s="211"/>
      <c r="D80" s="33"/>
      <c r="E80" s="33"/>
      <c r="F80" s="33"/>
      <c r="G80" s="33"/>
      <c r="H80" s="33"/>
      <c r="I80" s="212"/>
      <c r="J80" s="212"/>
      <c r="K80" s="46"/>
      <c r="L80" s="46"/>
      <c r="M80" s="255"/>
      <c r="N80" s="200"/>
      <c r="O80" s="46"/>
      <c r="P80" s="46"/>
      <c r="Q80" s="46"/>
      <c r="R80" s="46"/>
      <c r="S80" s="33"/>
      <c r="T80" s="264"/>
      <c r="U80" s="235"/>
      <c r="V80" s="260"/>
      <c r="W80" s="34"/>
    </row>
    <row r="81" spans="1:23" x14ac:dyDescent="0.4">
      <c r="A81" s="46"/>
      <c r="B81" s="211"/>
      <c r="C81" s="211"/>
      <c r="D81" s="33"/>
      <c r="E81" s="33"/>
      <c r="F81" s="33"/>
      <c r="G81" s="33"/>
      <c r="H81" s="33"/>
      <c r="I81" s="212"/>
      <c r="J81" s="212"/>
      <c r="K81" s="46"/>
      <c r="L81" s="46"/>
      <c r="M81" s="255"/>
      <c r="N81" s="200"/>
      <c r="O81" s="46"/>
      <c r="P81" s="46"/>
      <c r="Q81" s="46"/>
      <c r="R81" s="46"/>
      <c r="S81" s="33"/>
      <c r="T81" s="264"/>
      <c r="U81" s="235"/>
      <c r="V81" s="260"/>
      <c r="W81" s="34"/>
    </row>
    <row r="82" spans="1:23" x14ac:dyDescent="0.4">
      <c r="A82" s="46"/>
      <c r="B82" s="211"/>
      <c r="C82" s="211"/>
      <c r="D82" s="33"/>
      <c r="E82" s="33"/>
      <c r="F82" s="33"/>
      <c r="G82" s="33"/>
      <c r="H82" s="33"/>
      <c r="I82" s="212"/>
      <c r="J82" s="212"/>
      <c r="K82" s="46"/>
      <c r="L82" s="46"/>
      <c r="M82" s="255"/>
      <c r="N82" s="200"/>
      <c r="O82" s="46"/>
      <c r="P82" s="46"/>
      <c r="Q82" s="46"/>
      <c r="R82" s="46"/>
      <c r="S82" s="33"/>
      <c r="T82" s="264"/>
      <c r="U82" s="235"/>
      <c r="V82" s="260"/>
      <c r="W82" s="34"/>
    </row>
    <row r="83" spans="1:23" x14ac:dyDescent="0.4">
      <c r="A83" s="46"/>
      <c r="B83" s="211"/>
      <c r="C83" s="211"/>
      <c r="D83" s="33"/>
      <c r="E83" s="33"/>
      <c r="F83" s="33"/>
      <c r="G83" s="33"/>
      <c r="H83" s="33"/>
      <c r="I83" s="212"/>
      <c r="J83" s="212"/>
      <c r="K83" s="46"/>
      <c r="L83" s="46"/>
      <c r="M83" s="255"/>
      <c r="N83" s="200"/>
      <c r="O83" s="46"/>
      <c r="P83" s="46"/>
      <c r="Q83" s="46"/>
      <c r="R83" s="46"/>
      <c r="S83" s="33"/>
      <c r="T83" s="264"/>
      <c r="U83" s="235"/>
      <c r="V83" s="260"/>
      <c r="W83" s="34"/>
    </row>
    <row r="84" spans="1:23" x14ac:dyDescent="0.4">
      <c r="A84" s="46"/>
      <c r="B84" s="211"/>
      <c r="C84" s="211"/>
      <c r="D84" s="33"/>
      <c r="E84" s="33"/>
      <c r="F84" s="33"/>
      <c r="G84" s="33"/>
      <c r="H84" s="33"/>
      <c r="I84" s="212"/>
      <c r="J84" s="212"/>
      <c r="K84" s="46"/>
      <c r="L84" s="46"/>
      <c r="M84" s="255"/>
      <c r="N84" s="200"/>
      <c r="O84" s="46"/>
      <c r="P84" s="46"/>
      <c r="Q84" s="46"/>
      <c r="R84" s="46"/>
      <c r="S84" s="33"/>
      <c r="T84" s="264"/>
      <c r="U84" s="235"/>
      <c r="V84" s="260"/>
      <c r="W84" s="34"/>
    </row>
    <row r="85" spans="1:23" x14ac:dyDescent="0.4">
      <c r="A85" s="46"/>
      <c r="B85" s="211"/>
      <c r="C85" s="211"/>
      <c r="D85" s="33"/>
      <c r="E85" s="33"/>
      <c r="F85" s="33"/>
      <c r="G85" s="33"/>
      <c r="H85" s="33"/>
      <c r="I85" s="212"/>
      <c r="J85" s="212"/>
      <c r="K85" s="46"/>
      <c r="L85" s="46"/>
      <c r="M85" s="255"/>
      <c r="N85" s="200"/>
      <c r="O85" s="46"/>
      <c r="P85" s="46"/>
      <c r="Q85" s="46"/>
      <c r="R85" s="46"/>
      <c r="S85" s="33"/>
      <c r="T85" s="264"/>
      <c r="U85" s="235"/>
      <c r="V85" s="260"/>
      <c r="W85" s="34"/>
    </row>
    <row r="86" spans="1:23" x14ac:dyDescent="0.4">
      <c r="A86" s="46"/>
      <c r="B86" s="211"/>
      <c r="C86" s="211"/>
      <c r="D86" s="33"/>
      <c r="E86" s="33"/>
      <c r="F86" s="33"/>
      <c r="G86" s="33"/>
      <c r="H86" s="33"/>
      <c r="I86" s="212"/>
      <c r="J86" s="212"/>
      <c r="K86" s="46"/>
      <c r="L86" s="46"/>
      <c r="M86" s="255"/>
      <c r="N86" s="200"/>
      <c r="O86" s="46"/>
      <c r="P86" s="46"/>
      <c r="Q86" s="46"/>
      <c r="R86" s="46"/>
      <c r="S86" s="33"/>
      <c r="T86" s="264"/>
      <c r="U86" s="235"/>
      <c r="V86" s="260"/>
      <c r="W86" s="34"/>
    </row>
    <row r="87" spans="1:23" x14ac:dyDescent="0.4">
      <c r="A87" s="46"/>
      <c r="B87" s="211"/>
      <c r="C87" s="211"/>
      <c r="D87" s="33"/>
      <c r="E87" s="33"/>
      <c r="F87" s="33"/>
      <c r="G87" s="33"/>
      <c r="H87" s="33"/>
      <c r="I87" s="212"/>
      <c r="J87" s="212"/>
      <c r="K87" s="46"/>
      <c r="L87" s="46"/>
      <c r="M87" s="255"/>
      <c r="N87" s="200"/>
      <c r="O87" s="46"/>
      <c r="P87" s="46"/>
      <c r="Q87" s="46"/>
      <c r="R87" s="46"/>
      <c r="S87" s="33"/>
      <c r="T87" s="264"/>
      <c r="U87" s="235"/>
      <c r="V87" s="260"/>
      <c r="W87" s="34"/>
    </row>
    <row r="88" spans="1:23" x14ac:dyDescent="0.4">
      <c r="A88" s="46"/>
      <c r="B88" s="211"/>
      <c r="C88" s="211"/>
      <c r="D88" s="33"/>
      <c r="E88" s="33"/>
      <c r="F88" s="33"/>
      <c r="G88" s="33"/>
      <c r="H88" s="33"/>
      <c r="I88" s="212"/>
      <c r="J88" s="212"/>
      <c r="K88" s="46"/>
      <c r="L88" s="46"/>
      <c r="M88" s="255"/>
      <c r="N88" s="200"/>
      <c r="O88" s="46"/>
      <c r="P88" s="46"/>
      <c r="Q88" s="46"/>
      <c r="R88" s="46"/>
      <c r="S88" s="33"/>
      <c r="T88" s="264"/>
      <c r="U88" s="235"/>
      <c r="V88" s="260"/>
      <c r="W88" s="34"/>
    </row>
    <row r="89" spans="1:23" x14ac:dyDescent="0.4">
      <c r="A89" s="46"/>
      <c r="B89" s="211"/>
      <c r="C89" s="211"/>
      <c r="D89" s="33"/>
      <c r="E89" s="33"/>
      <c r="F89" s="33"/>
      <c r="G89" s="33"/>
      <c r="H89" s="33"/>
      <c r="I89" s="212"/>
      <c r="J89" s="212"/>
      <c r="K89" s="46"/>
      <c r="L89" s="46"/>
      <c r="M89" s="255"/>
      <c r="N89" s="200"/>
      <c r="O89" s="46"/>
      <c r="P89" s="46"/>
      <c r="Q89" s="46"/>
      <c r="R89" s="46"/>
      <c r="S89" s="33"/>
      <c r="T89" s="264"/>
      <c r="U89" s="235"/>
      <c r="V89" s="260"/>
      <c r="W89" s="34"/>
    </row>
    <row r="90" spans="1:23" x14ac:dyDescent="0.4">
      <c r="A90" s="46"/>
      <c r="B90" s="211"/>
      <c r="C90" s="211"/>
      <c r="D90" s="33"/>
      <c r="E90" s="33"/>
      <c r="F90" s="33"/>
      <c r="G90" s="33"/>
      <c r="H90" s="33"/>
      <c r="I90" s="212"/>
      <c r="J90" s="212"/>
      <c r="K90" s="46"/>
      <c r="L90" s="46"/>
      <c r="M90" s="255"/>
      <c r="N90" s="200"/>
      <c r="O90" s="46"/>
      <c r="P90" s="46"/>
      <c r="Q90" s="46"/>
      <c r="R90" s="46"/>
      <c r="S90" s="33"/>
      <c r="T90" s="264"/>
      <c r="U90" s="235"/>
      <c r="V90" s="260"/>
      <c r="W90" s="34"/>
    </row>
    <row r="91" spans="1:23" x14ac:dyDescent="0.4">
      <c r="A91" s="46"/>
      <c r="B91" s="211"/>
      <c r="C91" s="211"/>
      <c r="D91" s="33"/>
      <c r="E91" s="33"/>
      <c r="F91" s="33"/>
      <c r="G91" s="33"/>
      <c r="H91" s="33"/>
      <c r="I91" s="212"/>
      <c r="J91" s="212"/>
      <c r="K91" s="46"/>
      <c r="L91" s="46"/>
      <c r="M91" s="255"/>
      <c r="N91" s="200"/>
      <c r="O91" s="46"/>
      <c r="P91" s="46"/>
      <c r="Q91" s="46"/>
      <c r="R91" s="46"/>
      <c r="S91" s="33"/>
      <c r="T91" s="264"/>
      <c r="U91" s="235"/>
      <c r="V91" s="260"/>
      <c r="W91" s="34"/>
    </row>
    <row r="92" spans="1:23" x14ac:dyDescent="0.4">
      <c r="A92" s="46"/>
      <c r="B92" s="211"/>
      <c r="C92" s="211"/>
      <c r="D92" s="33"/>
      <c r="E92" s="33"/>
      <c r="F92" s="33"/>
      <c r="G92" s="33"/>
      <c r="H92" s="33"/>
      <c r="I92" s="212"/>
      <c r="J92" s="212"/>
      <c r="K92" s="46"/>
      <c r="L92" s="46"/>
      <c r="M92" s="255"/>
      <c r="N92" s="200"/>
      <c r="O92" s="46"/>
      <c r="P92" s="46"/>
      <c r="Q92" s="46"/>
      <c r="R92" s="46"/>
      <c r="S92" s="33"/>
      <c r="T92" s="264"/>
      <c r="U92" s="235"/>
      <c r="V92" s="260"/>
      <c r="W92" s="34"/>
    </row>
    <row r="93" spans="1:23" x14ac:dyDescent="0.4">
      <c r="A93" s="46"/>
      <c r="B93" s="211"/>
      <c r="C93" s="211"/>
      <c r="D93" s="33"/>
      <c r="E93" s="33"/>
      <c r="F93" s="33"/>
      <c r="G93" s="33"/>
      <c r="H93" s="33"/>
      <c r="I93" s="212"/>
      <c r="J93" s="212"/>
      <c r="K93" s="46"/>
      <c r="L93" s="46"/>
      <c r="M93" s="255"/>
      <c r="N93" s="200"/>
      <c r="O93" s="46"/>
      <c r="P93" s="46"/>
      <c r="Q93" s="46"/>
      <c r="R93" s="46"/>
      <c r="S93" s="33"/>
      <c r="T93" s="264"/>
      <c r="U93" s="235"/>
      <c r="V93" s="260"/>
      <c r="W93" s="34"/>
    </row>
    <row r="94" spans="1:23" x14ac:dyDescent="0.4">
      <c r="A94" s="46"/>
      <c r="B94" s="211"/>
      <c r="C94" s="211"/>
      <c r="D94" s="33"/>
      <c r="E94" s="33"/>
      <c r="F94" s="33"/>
      <c r="G94" s="33"/>
      <c r="H94" s="33"/>
      <c r="I94" s="212"/>
      <c r="J94" s="212"/>
      <c r="K94" s="46"/>
      <c r="L94" s="46"/>
      <c r="M94" s="255"/>
      <c r="N94" s="200"/>
      <c r="O94" s="46"/>
      <c r="P94" s="46"/>
      <c r="Q94" s="46"/>
      <c r="R94" s="46"/>
      <c r="S94" s="33"/>
      <c r="T94" s="264"/>
      <c r="U94" s="235"/>
      <c r="V94" s="260"/>
      <c r="W94" s="34"/>
    </row>
    <row r="95" spans="1:23" x14ac:dyDescent="0.4">
      <c r="A95" s="46"/>
      <c r="B95" s="211"/>
      <c r="C95" s="211"/>
      <c r="D95" s="33"/>
      <c r="E95" s="33"/>
      <c r="F95" s="33"/>
      <c r="G95" s="33"/>
      <c r="H95" s="33"/>
      <c r="I95" s="212"/>
      <c r="J95" s="212"/>
      <c r="K95" s="46"/>
      <c r="L95" s="46"/>
      <c r="M95" s="255"/>
      <c r="N95" s="200"/>
      <c r="O95" s="46"/>
      <c r="P95" s="46"/>
      <c r="Q95" s="46"/>
      <c r="R95" s="46"/>
      <c r="S95" s="33"/>
      <c r="T95" s="264"/>
      <c r="U95" s="235"/>
      <c r="V95" s="260"/>
      <c r="W95" s="34"/>
    </row>
    <row r="96" spans="1:23" x14ac:dyDescent="0.4">
      <c r="A96" s="46"/>
      <c r="B96" s="211"/>
      <c r="C96" s="211"/>
      <c r="D96" s="33"/>
      <c r="E96" s="33"/>
      <c r="F96" s="33"/>
      <c r="G96" s="33"/>
      <c r="H96" s="33"/>
      <c r="I96" s="212"/>
      <c r="J96" s="212"/>
      <c r="K96" s="46"/>
      <c r="L96" s="46"/>
      <c r="M96" s="255"/>
      <c r="N96" s="200"/>
      <c r="O96" s="46"/>
      <c r="P96" s="46"/>
      <c r="Q96" s="46"/>
      <c r="R96" s="46"/>
      <c r="S96" s="33"/>
      <c r="T96" s="264"/>
      <c r="U96" s="235"/>
      <c r="V96" s="260"/>
      <c r="W96" s="34"/>
    </row>
    <row r="97" spans="1:23" x14ac:dyDescent="0.4">
      <c r="A97" s="46"/>
      <c r="B97" s="211"/>
      <c r="C97" s="211"/>
      <c r="D97" s="33"/>
      <c r="E97" s="33"/>
      <c r="F97" s="33"/>
      <c r="G97" s="33"/>
      <c r="H97" s="33"/>
      <c r="I97" s="212"/>
      <c r="J97" s="212"/>
      <c r="K97" s="46"/>
      <c r="L97" s="46"/>
      <c r="M97" s="255"/>
      <c r="N97" s="200"/>
      <c r="O97" s="46"/>
      <c r="P97" s="46"/>
      <c r="Q97" s="46"/>
      <c r="R97" s="46"/>
      <c r="S97" s="33"/>
      <c r="T97" s="264"/>
      <c r="U97" s="235"/>
      <c r="V97" s="260"/>
      <c r="W97" s="34"/>
    </row>
    <row r="98" spans="1:23" x14ac:dyDescent="0.4">
      <c r="A98" s="46"/>
      <c r="B98" s="211"/>
      <c r="C98" s="211"/>
      <c r="D98" s="33"/>
      <c r="E98" s="33"/>
      <c r="F98" s="33"/>
      <c r="G98" s="33"/>
      <c r="H98" s="33"/>
      <c r="I98" s="212"/>
      <c r="J98" s="212"/>
      <c r="K98" s="46"/>
      <c r="L98" s="46"/>
      <c r="M98" s="255"/>
      <c r="N98" s="200"/>
      <c r="O98" s="46"/>
      <c r="P98" s="46"/>
      <c r="Q98" s="46"/>
      <c r="R98" s="46"/>
      <c r="S98" s="33"/>
      <c r="T98" s="264"/>
      <c r="U98" s="235"/>
      <c r="V98" s="260"/>
      <c r="W98" s="34"/>
    </row>
    <row r="99" spans="1:23" x14ac:dyDescent="0.4">
      <c r="A99" s="46"/>
      <c r="B99" s="211"/>
      <c r="C99" s="211"/>
      <c r="D99" s="33"/>
      <c r="E99" s="33"/>
      <c r="F99" s="33"/>
      <c r="G99" s="33"/>
      <c r="H99" s="33"/>
      <c r="I99" s="212"/>
      <c r="J99" s="212"/>
      <c r="K99" s="46"/>
      <c r="L99" s="46"/>
      <c r="M99" s="255"/>
      <c r="N99" s="200"/>
      <c r="O99" s="46"/>
      <c r="P99" s="46"/>
      <c r="Q99" s="46"/>
      <c r="R99" s="46"/>
      <c r="S99" s="33"/>
      <c r="T99" s="264"/>
      <c r="U99" s="235"/>
      <c r="V99" s="260"/>
      <c r="W99" s="34"/>
    </row>
    <row r="100" spans="1:23" x14ac:dyDescent="0.4">
      <c r="A100" s="46"/>
      <c r="B100" s="211"/>
      <c r="C100" s="211"/>
      <c r="D100" s="33"/>
      <c r="E100" s="33"/>
      <c r="F100" s="33"/>
      <c r="G100" s="33"/>
      <c r="H100" s="33"/>
      <c r="I100" s="212"/>
      <c r="J100" s="212"/>
      <c r="K100" s="46"/>
      <c r="L100" s="46"/>
      <c r="M100" s="255"/>
      <c r="N100" s="200"/>
      <c r="O100" s="46"/>
      <c r="P100" s="46"/>
      <c r="Q100" s="46"/>
      <c r="R100" s="46"/>
      <c r="S100" s="33"/>
      <c r="T100" s="264"/>
      <c r="U100" s="235"/>
      <c r="V100" s="260"/>
      <c r="W100" s="34"/>
    </row>
    <row r="101" spans="1:23" x14ac:dyDescent="0.4">
      <c r="A101" s="46"/>
      <c r="B101" s="211"/>
      <c r="C101" s="211"/>
      <c r="D101" s="33"/>
      <c r="E101" s="33"/>
      <c r="F101" s="33"/>
      <c r="G101" s="33"/>
      <c r="H101" s="33"/>
      <c r="I101" s="212"/>
      <c r="J101" s="212"/>
      <c r="K101" s="46"/>
      <c r="L101" s="46"/>
      <c r="M101" s="255"/>
      <c r="N101" s="200"/>
      <c r="O101" s="46"/>
      <c r="P101" s="46"/>
      <c r="Q101" s="46"/>
      <c r="R101" s="46"/>
      <c r="S101" s="33"/>
      <c r="T101" s="264"/>
      <c r="U101" s="235"/>
      <c r="V101" s="260"/>
      <c r="W101" s="34"/>
    </row>
    <row r="102" spans="1:23" x14ac:dyDescent="0.4">
      <c r="A102" s="46"/>
      <c r="B102" s="211"/>
      <c r="C102" s="211"/>
      <c r="D102" s="33"/>
      <c r="E102" s="33"/>
      <c r="F102" s="33"/>
      <c r="G102" s="33"/>
      <c r="H102" s="33"/>
      <c r="I102" s="212"/>
      <c r="J102" s="212"/>
      <c r="K102" s="46"/>
      <c r="L102" s="46"/>
      <c r="M102" s="255"/>
      <c r="N102" s="200"/>
      <c r="O102" s="46"/>
      <c r="P102" s="46"/>
      <c r="Q102" s="46"/>
      <c r="R102" s="46"/>
      <c r="S102" s="33"/>
      <c r="T102" s="264"/>
      <c r="U102" s="235"/>
      <c r="V102" s="260"/>
      <c r="W102" s="34"/>
    </row>
    <row r="103" spans="1:23" x14ac:dyDescent="0.4">
      <c r="A103" s="46"/>
      <c r="B103" s="211"/>
      <c r="C103" s="211"/>
      <c r="D103" s="33"/>
      <c r="E103" s="33"/>
      <c r="F103" s="33"/>
      <c r="G103" s="33"/>
      <c r="H103" s="33"/>
      <c r="I103" s="212"/>
      <c r="J103" s="212"/>
      <c r="K103" s="46"/>
      <c r="L103" s="46"/>
      <c r="M103" s="255"/>
      <c r="N103" s="200"/>
      <c r="O103" s="46"/>
      <c r="P103" s="46"/>
      <c r="Q103" s="46"/>
      <c r="R103" s="46"/>
      <c r="S103" s="33"/>
      <c r="T103" s="264"/>
      <c r="U103" s="235"/>
      <c r="V103" s="260"/>
      <c r="W103" s="34"/>
    </row>
    <row r="104" spans="1:23" x14ac:dyDescent="0.4">
      <c r="A104" s="46"/>
      <c r="B104" s="211"/>
      <c r="C104" s="211"/>
      <c r="D104" s="33"/>
      <c r="E104" s="33"/>
      <c r="F104" s="33"/>
      <c r="G104" s="33"/>
      <c r="H104" s="33"/>
      <c r="I104" s="212"/>
      <c r="J104" s="212"/>
      <c r="K104" s="46"/>
      <c r="L104" s="46"/>
      <c r="M104" s="255"/>
      <c r="N104" s="200"/>
      <c r="O104" s="46"/>
      <c r="P104" s="46"/>
      <c r="Q104" s="46"/>
      <c r="R104" s="46"/>
      <c r="S104" s="33"/>
      <c r="T104" s="264"/>
      <c r="U104" s="235"/>
      <c r="V104" s="260"/>
      <c r="W104" s="34"/>
    </row>
    <row r="105" spans="1:23" x14ac:dyDescent="0.4">
      <c r="A105" s="46"/>
      <c r="B105" s="211"/>
      <c r="C105" s="211"/>
      <c r="D105" s="33"/>
      <c r="E105" s="33"/>
      <c r="F105" s="33"/>
      <c r="G105" s="33"/>
      <c r="H105" s="33"/>
      <c r="I105" s="212"/>
      <c r="J105" s="212"/>
      <c r="K105" s="46"/>
      <c r="L105" s="46"/>
      <c r="M105" s="255"/>
      <c r="N105" s="200"/>
      <c r="O105" s="46"/>
      <c r="P105" s="46"/>
      <c r="Q105" s="46"/>
      <c r="R105" s="46"/>
      <c r="S105" s="33"/>
      <c r="T105" s="264"/>
      <c r="U105" s="235"/>
      <c r="V105" s="260"/>
      <c r="W105" s="34"/>
    </row>
    <row r="106" spans="1:23" x14ac:dyDescent="0.4">
      <c r="A106" s="46"/>
      <c r="B106" s="211"/>
      <c r="C106" s="211"/>
      <c r="D106" s="33"/>
      <c r="E106" s="33"/>
      <c r="F106" s="33"/>
      <c r="G106" s="33"/>
      <c r="H106" s="33"/>
      <c r="I106" s="212"/>
      <c r="J106" s="212"/>
      <c r="K106" s="46"/>
      <c r="L106" s="46"/>
      <c r="M106" s="255"/>
      <c r="N106" s="200"/>
      <c r="O106" s="46"/>
      <c r="P106" s="46"/>
      <c r="Q106" s="46"/>
      <c r="R106" s="46"/>
      <c r="S106" s="33"/>
      <c r="T106" s="264"/>
      <c r="U106" s="235"/>
      <c r="V106" s="260"/>
      <c r="W106" s="34"/>
    </row>
    <row r="107" spans="1:23" x14ac:dyDescent="0.4">
      <c r="A107" s="46"/>
      <c r="B107" s="211"/>
      <c r="C107" s="211"/>
      <c r="D107" s="33"/>
      <c r="E107" s="33"/>
      <c r="F107" s="33"/>
      <c r="G107" s="33"/>
      <c r="H107" s="33"/>
      <c r="I107" s="212"/>
      <c r="J107" s="212"/>
      <c r="K107" s="46"/>
      <c r="L107" s="46"/>
      <c r="M107" s="255"/>
      <c r="N107" s="200"/>
      <c r="O107" s="46"/>
      <c r="P107" s="46"/>
      <c r="Q107" s="46"/>
      <c r="R107" s="46"/>
      <c r="S107" s="33"/>
      <c r="T107" s="264"/>
      <c r="U107" s="235"/>
      <c r="V107" s="260"/>
      <c r="W107" s="34"/>
    </row>
    <row r="108" spans="1:23" x14ac:dyDescent="0.4">
      <c r="A108" s="46"/>
      <c r="B108" s="211"/>
      <c r="C108" s="211"/>
      <c r="D108" s="33"/>
      <c r="E108" s="33"/>
      <c r="F108" s="33"/>
      <c r="G108" s="33"/>
      <c r="H108" s="33"/>
      <c r="I108" s="212"/>
      <c r="J108" s="212"/>
      <c r="K108" s="46"/>
      <c r="L108" s="46"/>
      <c r="M108" s="255"/>
      <c r="N108" s="200"/>
      <c r="O108" s="46"/>
      <c r="P108" s="46"/>
      <c r="Q108" s="46"/>
      <c r="R108" s="46"/>
      <c r="S108" s="33"/>
      <c r="T108" s="264"/>
      <c r="U108" s="235"/>
      <c r="V108" s="260"/>
      <c r="W108" s="34"/>
    </row>
    <row r="109" spans="1:23" x14ac:dyDescent="0.4">
      <c r="A109" s="46"/>
      <c r="B109" s="211"/>
      <c r="C109" s="211"/>
      <c r="D109" s="33"/>
      <c r="E109" s="33"/>
      <c r="F109" s="33"/>
      <c r="G109" s="33"/>
      <c r="H109" s="33"/>
      <c r="I109" s="212"/>
      <c r="J109" s="212"/>
      <c r="K109" s="46"/>
      <c r="L109" s="46"/>
      <c r="M109" s="255"/>
      <c r="N109" s="200"/>
      <c r="O109" s="46"/>
      <c r="P109" s="46"/>
      <c r="Q109" s="46"/>
      <c r="R109" s="46"/>
      <c r="S109" s="33"/>
      <c r="T109" s="264"/>
      <c r="U109" s="235"/>
      <c r="V109" s="260"/>
      <c r="W109" s="34"/>
    </row>
    <row r="110" spans="1:23" x14ac:dyDescent="0.4">
      <c r="A110" s="46"/>
      <c r="B110" s="211"/>
      <c r="C110" s="211"/>
      <c r="D110" s="33"/>
      <c r="E110" s="33"/>
      <c r="F110" s="33"/>
      <c r="G110" s="33"/>
      <c r="H110" s="33"/>
      <c r="I110" s="212"/>
      <c r="J110" s="212"/>
      <c r="K110" s="46"/>
      <c r="L110" s="46"/>
      <c r="M110" s="255"/>
      <c r="N110" s="200"/>
      <c r="O110" s="46"/>
      <c r="P110" s="46"/>
      <c r="Q110" s="46"/>
      <c r="R110" s="46"/>
      <c r="S110" s="33"/>
      <c r="T110" s="264"/>
      <c r="U110" s="235"/>
      <c r="V110" s="260"/>
      <c r="W110" s="34"/>
    </row>
    <row r="111" spans="1:23" x14ac:dyDescent="0.4">
      <c r="A111" s="46"/>
      <c r="B111" s="211"/>
      <c r="C111" s="211"/>
      <c r="D111" s="33"/>
      <c r="E111" s="33"/>
      <c r="F111" s="33"/>
      <c r="G111" s="33"/>
      <c r="H111" s="33"/>
      <c r="I111" s="212"/>
      <c r="J111" s="212"/>
      <c r="K111" s="46"/>
      <c r="L111" s="46"/>
      <c r="M111" s="255"/>
      <c r="N111" s="200"/>
      <c r="O111" s="46"/>
      <c r="P111" s="46"/>
      <c r="Q111" s="46"/>
      <c r="R111" s="46"/>
      <c r="S111" s="33"/>
      <c r="T111" s="264"/>
      <c r="U111" s="235"/>
      <c r="V111" s="260"/>
      <c r="W111" s="34"/>
    </row>
    <row r="112" spans="1:23" x14ac:dyDescent="0.4">
      <c r="A112" s="46"/>
      <c r="B112" s="211"/>
      <c r="C112" s="211"/>
      <c r="D112" s="33"/>
      <c r="E112" s="33"/>
      <c r="F112" s="33"/>
      <c r="G112" s="33"/>
      <c r="H112" s="33"/>
      <c r="I112" s="212"/>
      <c r="J112" s="212"/>
      <c r="K112" s="46"/>
      <c r="L112" s="46"/>
      <c r="M112" s="255"/>
      <c r="N112" s="200"/>
      <c r="O112" s="46"/>
      <c r="P112" s="46"/>
      <c r="Q112" s="46"/>
      <c r="R112" s="46"/>
      <c r="S112" s="33"/>
      <c r="T112" s="264"/>
      <c r="U112" s="235"/>
      <c r="V112" s="260"/>
      <c r="W112" s="34"/>
    </row>
    <row r="113" spans="1:23" x14ac:dyDescent="0.4">
      <c r="A113" s="46"/>
      <c r="B113" s="211"/>
      <c r="C113" s="211"/>
      <c r="D113" s="33"/>
      <c r="E113" s="33"/>
      <c r="F113" s="33"/>
      <c r="G113" s="33"/>
      <c r="H113" s="33"/>
      <c r="I113" s="212"/>
      <c r="J113" s="212"/>
      <c r="K113" s="46"/>
      <c r="L113" s="46"/>
      <c r="M113" s="255"/>
      <c r="N113" s="200"/>
      <c r="O113" s="46"/>
      <c r="P113" s="46"/>
      <c r="Q113" s="46"/>
      <c r="R113" s="46"/>
      <c r="S113" s="33"/>
      <c r="T113" s="264"/>
      <c r="U113" s="235"/>
      <c r="V113" s="260"/>
      <c r="W113" s="34"/>
    </row>
    <row r="114" spans="1:23" x14ac:dyDescent="0.4">
      <c r="A114" s="46"/>
      <c r="B114" s="211"/>
      <c r="C114" s="211"/>
      <c r="D114" s="33"/>
      <c r="E114" s="33"/>
      <c r="F114" s="33"/>
      <c r="G114" s="33"/>
      <c r="H114" s="33"/>
      <c r="I114" s="212"/>
      <c r="J114" s="212"/>
      <c r="K114" s="46"/>
      <c r="L114" s="46"/>
      <c r="M114" s="255"/>
      <c r="N114" s="200"/>
      <c r="O114" s="46"/>
      <c r="P114" s="46"/>
      <c r="Q114" s="46"/>
      <c r="R114" s="46"/>
      <c r="S114" s="33"/>
      <c r="T114" s="264"/>
      <c r="U114" s="235"/>
      <c r="V114" s="260"/>
      <c r="W114" s="34"/>
    </row>
    <row r="115" spans="1:23" x14ac:dyDescent="0.4">
      <c r="A115" s="46"/>
      <c r="B115" s="211"/>
      <c r="C115" s="211"/>
      <c r="D115" s="33"/>
      <c r="E115" s="33"/>
      <c r="F115" s="33"/>
      <c r="G115" s="33"/>
      <c r="H115" s="33"/>
      <c r="I115" s="212"/>
      <c r="J115" s="212"/>
      <c r="K115" s="46"/>
      <c r="L115" s="46"/>
      <c r="M115" s="255"/>
      <c r="N115" s="200"/>
      <c r="O115" s="46"/>
      <c r="P115" s="46"/>
      <c r="Q115" s="46"/>
      <c r="R115" s="46"/>
      <c r="S115" s="33"/>
      <c r="T115" s="264"/>
      <c r="U115" s="235"/>
      <c r="V115" s="260"/>
      <c r="W115" s="34"/>
    </row>
    <row r="116" spans="1:23" x14ac:dyDescent="0.4">
      <c r="A116" s="46"/>
      <c r="B116" s="211"/>
      <c r="C116" s="211"/>
      <c r="D116" s="33"/>
      <c r="E116" s="33"/>
      <c r="F116" s="33"/>
      <c r="G116" s="33"/>
      <c r="H116" s="33"/>
      <c r="I116" s="212"/>
      <c r="J116" s="212"/>
      <c r="K116" s="46"/>
      <c r="L116" s="46"/>
      <c r="M116" s="255"/>
      <c r="N116" s="200"/>
      <c r="O116" s="46"/>
      <c r="P116" s="46"/>
      <c r="Q116" s="46"/>
      <c r="R116" s="46"/>
      <c r="S116" s="33"/>
      <c r="T116" s="264"/>
      <c r="U116" s="235"/>
      <c r="V116" s="260"/>
      <c r="W116" s="34"/>
    </row>
    <row r="117" spans="1:23" x14ac:dyDescent="0.4">
      <c r="A117" s="46"/>
      <c r="B117" s="211"/>
      <c r="C117" s="211"/>
      <c r="D117" s="33"/>
      <c r="E117" s="33"/>
      <c r="F117" s="33"/>
      <c r="G117" s="33"/>
      <c r="H117" s="33"/>
      <c r="I117" s="212"/>
      <c r="J117" s="212"/>
      <c r="K117" s="46"/>
      <c r="L117" s="46"/>
      <c r="M117" s="255"/>
      <c r="N117" s="200"/>
      <c r="O117" s="46"/>
      <c r="P117" s="46"/>
      <c r="Q117" s="46"/>
      <c r="R117" s="46"/>
      <c r="S117" s="33"/>
      <c r="T117" s="264"/>
      <c r="U117" s="235"/>
      <c r="V117" s="260"/>
      <c r="W117" s="34"/>
    </row>
    <row r="118" spans="1:23" x14ac:dyDescent="0.4">
      <c r="A118" s="46"/>
      <c r="B118" s="211"/>
      <c r="C118" s="211"/>
      <c r="D118" s="33"/>
      <c r="E118" s="33"/>
      <c r="F118" s="33"/>
      <c r="G118" s="33"/>
      <c r="H118" s="33"/>
      <c r="I118" s="212"/>
      <c r="J118" s="212"/>
      <c r="K118" s="46"/>
      <c r="L118" s="46"/>
      <c r="M118" s="255"/>
      <c r="N118" s="200"/>
      <c r="O118" s="46"/>
      <c r="P118" s="46"/>
      <c r="Q118" s="46"/>
      <c r="R118" s="46"/>
      <c r="S118" s="33"/>
      <c r="T118" s="264"/>
      <c r="U118" s="235"/>
      <c r="V118" s="260"/>
      <c r="W118" s="34"/>
    </row>
    <row r="119" spans="1:23" x14ac:dyDescent="0.4">
      <c r="A119" s="46"/>
      <c r="B119" s="211"/>
      <c r="C119" s="211"/>
      <c r="D119" s="33"/>
      <c r="E119" s="33"/>
      <c r="F119" s="33"/>
      <c r="G119" s="33"/>
      <c r="H119" s="33"/>
      <c r="I119" s="212"/>
      <c r="J119" s="212"/>
      <c r="K119" s="46"/>
      <c r="L119" s="46"/>
      <c r="M119" s="255"/>
      <c r="N119" s="200"/>
      <c r="O119" s="46"/>
      <c r="P119" s="46"/>
      <c r="Q119" s="46"/>
      <c r="R119" s="46"/>
      <c r="S119" s="33"/>
      <c r="T119" s="264"/>
      <c r="U119" s="235"/>
      <c r="V119" s="260"/>
      <c r="W119" s="34"/>
    </row>
    <row r="120" spans="1:23" x14ac:dyDescent="0.4">
      <c r="A120" s="46"/>
      <c r="B120" s="211"/>
      <c r="C120" s="211"/>
      <c r="D120" s="33"/>
      <c r="E120" s="33"/>
      <c r="F120" s="33"/>
      <c r="G120" s="33"/>
      <c r="H120" s="33"/>
      <c r="I120" s="212"/>
      <c r="J120" s="212"/>
      <c r="K120" s="46"/>
      <c r="L120" s="46"/>
      <c r="M120" s="255"/>
      <c r="N120" s="200"/>
      <c r="O120" s="46"/>
      <c r="P120" s="46"/>
      <c r="Q120" s="46"/>
      <c r="R120" s="46"/>
      <c r="S120" s="33"/>
      <c r="T120" s="264"/>
      <c r="U120" s="235"/>
      <c r="V120" s="260"/>
      <c r="W120" s="34"/>
    </row>
    <row r="121" spans="1:23" x14ac:dyDescent="0.4">
      <c r="A121" s="46"/>
      <c r="B121" s="211"/>
      <c r="C121" s="211"/>
      <c r="D121" s="33"/>
      <c r="E121" s="33"/>
      <c r="F121" s="33"/>
      <c r="G121" s="33"/>
      <c r="H121" s="33"/>
      <c r="I121" s="212"/>
      <c r="J121" s="212"/>
      <c r="K121" s="46"/>
      <c r="L121" s="46"/>
      <c r="M121" s="255"/>
      <c r="N121" s="200"/>
      <c r="O121" s="46"/>
      <c r="P121" s="46"/>
      <c r="Q121" s="46"/>
      <c r="R121" s="46"/>
      <c r="S121" s="33"/>
      <c r="T121" s="264"/>
      <c r="U121" s="235"/>
      <c r="V121" s="260"/>
      <c r="W121" s="34"/>
    </row>
    <row r="122" spans="1:23" x14ac:dyDescent="0.4">
      <c r="A122" s="46"/>
      <c r="B122" s="211"/>
      <c r="C122" s="211"/>
      <c r="D122" s="33"/>
      <c r="E122" s="33"/>
      <c r="F122" s="33"/>
      <c r="G122" s="33"/>
      <c r="H122" s="33"/>
      <c r="I122" s="212"/>
      <c r="J122" s="212"/>
      <c r="K122" s="46"/>
      <c r="L122" s="46"/>
      <c r="M122" s="255"/>
      <c r="N122" s="200"/>
      <c r="O122" s="46"/>
      <c r="P122" s="46"/>
      <c r="Q122" s="46"/>
      <c r="R122" s="46"/>
      <c r="S122" s="33"/>
      <c r="T122" s="264"/>
      <c r="U122" s="235"/>
      <c r="V122" s="260"/>
      <c r="W122" s="34"/>
    </row>
    <row r="123" spans="1:23" x14ac:dyDescent="0.4">
      <c r="A123" s="46"/>
      <c r="B123" s="211"/>
      <c r="C123" s="211"/>
      <c r="D123" s="33"/>
      <c r="E123" s="33"/>
      <c r="F123" s="33"/>
      <c r="G123" s="33"/>
      <c r="H123" s="33"/>
      <c r="I123" s="212"/>
      <c r="J123" s="212"/>
      <c r="K123" s="46"/>
      <c r="L123" s="46"/>
      <c r="M123" s="255"/>
      <c r="N123" s="200"/>
      <c r="O123" s="46"/>
      <c r="P123" s="46"/>
      <c r="Q123" s="46"/>
      <c r="R123" s="46"/>
      <c r="S123" s="33"/>
      <c r="T123" s="264"/>
      <c r="U123" s="235"/>
      <c r="V123" s="260"/>
      <c r="W123" s="34"/>
    </row>
    <row r="124" spans="1:23" x14ac:dyDescent="0.4">
      <c r="A124" s="46"/>
      <c r="B124" s="211"/>
      <c r="C124" s="211"/>
      <c r="D124" s="33"/>
      <c r="E124" s="33"/>
      <c r="F124" s="33"/>
      <c r="G124" s="33"/>
      <c r="H124" s="33"/>
      <c r="I124" s="212"/>
      <c r="J124" s="212"/>
      <c r="K124" s="46"/>
      <c r="L124" s="46"/>
      <c r="M124" s="255"/>
      <c r="N124" s="200"/>
      <c r="O124" s="46"/>
      <c r="P124" s="46"/>
      <c r="Q124" s="46"/>
      <c r="R124" s="46"/>
      <c r="S124" s="33"/>
      <c r="T124" s="264"/>
      <c r="U124" s="235"/>
      <c r="V124" s="260"/>
      <c r="W124" s="34"/>
    </row>
    <row r="125" spans="1:23" x14ac:dyDescent="0.4">
      <c r="A125" s="46"/>
      <c r="B125" s="211"/>
      <c r="C125" s="211"/>
      <c r="D125" s="33"/>
      <c r="E125" s="33"/>
      <c r="F125" s="33"/>
      <c r="G125" s="33"/>
      <c r="H125" s="33"/>
      <c r="I125" s="212"/>
      <c r="J125" s="212"/>
      <c r="K125" s="46"/>
      <c r="L125" s="46"/>
      <c r="M125" s="255"/>
      <c r="N125" s="200"/>
      <c r="O125" s="46"/>
      <c r="P125" s="46"/>
      <c r="Q125" s="46"/>
      <c r="R125" s="46"/>
      <c r="S125" s="33"/>
      <c r="T125" s="264"/>
      <c r="U125" s="235"/>
      <c r="V125" s="260"/>
      <c r="W125" s="34"/>
    </row>
    <row r="126" spans="1:23" x14ac:dyDescent="0.4">
      <c r="A126" s="46"/>
      <c r="B126" s="211"/>
      <c r="C126" s="211"/>
      <c r="D126" s="33"/>
      <c r="E126" s="33"/>
      <c r="F126" s="33"/>
      <c r="G126" s="33"/>
      <c r="H126" s="33"/>
      <c r="I126" s="212"/>
      <c r="J126" s="212"/>
      <c r="K126" s="46"/>
      <c r="L126" s="46"/>
      <c r="M126" s="255"/>
      <c r="N126" s="200"/>
      <c r="O126" s="46"/>
      <c r="P126" s="46"/>
      <c r="Q126" s="46"/>
      <c r="R126" s="46"/>
      <c r="S126" s="33"/>
      <c r="T126" s="264"/>
      <c r="U126" s="235"/>
      <c r="V126" s="260"/>
      <c r="W126" s="34"/>
    </row>
    <row r="127" spans="1:23" x14ac:dyDescent="0.4">
      <c r="A127" s="46"/>
      <c r="B127" s="211"/>
      <c r="C127" s="211"/>
      <c r="D127" s="33"/>
      <c r="E127" s="33"/>
      <c r="F127" s="33"/>
      <c r="G127" s="33"/>
      <c r="H127" s="33"/>
      <c r="I127" s="212"/>
      <c r="J127" s="212"/>
      <c r="K127" s="46"/>
      <c r="L127" s="46"/>
      <c r="M127" s="255"/>
      <c r="N127" s="200"/>
      <c r="O127" s="46"/>
      <c r="P127" s="46"/>
      <c r="Q127" s="46"/>
      <c r="R127" s="46"/>
      <c r="S127" s="33"/>
      <c r="T127" s="264"/>
      <c r="U127" s="235"/>
      <c r="V127" s="260"/>
      <c r="W127" s="34"/>
    </row>
    <row r="128" spans="1:23" x14ac:dyDescent="0.4">
      <c r="A128" s="46"/>
      <c r="B128" s="211"/>
      <c r="C128" s="211"/>
      <c r="D128" s="33"/>
      <c r="E128" s="33"/>
      <c r="F128" s="33"/>
      <c r="G128" s="33"/>
      <c r="H128" s="33"/>
      <c r="I128" s="212"/>
      <c r="J128" s="212"/>
      <c r="K128" s="46"/>
      <c r="L128" s="46"/>
      <c r="M128" s="255"/>
      <c r="N128" s="200"/>
      <c r="O128" s="46"/>
      <c r="P128" s="46"/>
      <c r="Q128" s="46"/>
      <c r="R128" s="46"/>
      <c r="S128" s="33"/>
      <c r="T128" s="264"/>
      <c r="U128" s="235"/>
      <c r="V128" s="260"/>
      <c r="W128" s="34"/>
    </row>
    <row r="129" spans="1:23" x14ac:dyDescent="0.4">
      <c r="A129" s="46"/>
      <c r="B129" s="211"/>
      <c r="C129" s="211"/>
      <c r="D129" s="33"/>
      <c r="E129" s="33"/>
      <c r="F129" s="33"/>
      <c r="G129" s="33"/>
      <c r="H129" s="33"/>
      <c r="I129" s="212"/>
      <c r="J129" s="212"/>
      <c r="K129" s="46"/>
      <c r="L129" s="46"/>
      <c r="M129" s="255"/>
      <c r="N129" s="200"/>
      <c r="O129" s="46"/>
      <c r="P129" s="46"/>
      <c r="Q129" s="46"/>
      <c r="R129" s="46"/>
      <c r="S129" s="33"/>
      <c r="T129" s="264"/>
      <c r="U129" s="235"/>
      <c r="V129" s="260"/>
      <c r="W129" s="34"/>
    </row>
    <row r="130" spans="1:23" x14ac:dyDescent="0.4">
      <c r="A130" s="46"/>
      <c r="B130" s="211"/>
      <c r="C130" s="211"/>
      <c r="D130" s="33"/>
      <c r="E130" s="33"/>
      <c r="F130" s="33"/>
      <c r="G130" s="33"/>
      <c r="H130" s="33"/>
      <c r="I130" s="212"/>
      <c r="J130" s="212"/>
      <c r="K130" s="46"/>
      <c r="L130" s="46"/>
      <c r="M130" s="255"/>
      <c r="N130" s="200"/>
      <c r="O130" s="46"/>
      <c r="P130" s="46"/>
      <c r="Q130" s="46"/>
      <c r="R130" s="46"/>
      <c r="S130" s="33"/>
      <c r="T130" s="264"/>
      <c r="U130" s="235"/>
      <c r="V130" s="260"/>
      <c r="W130" s="34"/>
    </row>
    <row r="131" spans="1:23" x14ac:dyDescent="0.4">
      <c r="A131" s="46"/>
      <c r="B131" s="211"/>
      <c r="C131" s="211"/>
      <c r="D131" s="33"/>
      <c r="E131" s="33"/>
      <c r="F131" s="33"/>
      <c r="G131" s="33"/>
      <c r="H131" s="33"/>
      <c r="I131" s="212"/>
      <c r="J131" s="212"/>
      <c r="K131" s="46"/>
      <c r="L131" s="46"/>
      <c r="M131" s="255"/>
      <c r="N131" s="200"/>
      <c r="O131" s="46"/>
      <c r="P131" s="46"/>
      <c r="Q131" s="46"/>
      <c r="R131" s="46"/>
      <c r="S131" s="33"/>
      <c r="T131" s="264"/>
      <c r="U131" s="235"/>
      <c r="V131" s="260"/>
      <c r="W131" s="34"/>
    </row>
    <row r="132" spans="1:23" x14ac:dyDescent="0.4">
      <c r="A132" s="46"/>
      <c r="B132" s="211"/>
      <c r="C132" s="211"/>
      <c r="D132" s="33"/>
      <c r="E132" s="33"/>
      <c r="F132" s="33"/>
      <c r="G132" s="33"/>
      <c r="H132" s="33"/>
      <c r="I132" s="212"/>
      <c r="J132" s="212"/>
      <c r="K132" s="46"/>
      <c r="L132" s="46"/>
      <c r="M132" s="255"/>
      <c r="N132" s="200"/>
      <c r="O132" s="46"/>
      <c r="P132" s="46"/>
      <c r="Q132" s="46"/>
      <c r="R132" s="46"/>
      <c r="S132" s="33"/>
      <c r="T132" s="264"/>
      <c r="U132" s="235"/>
      <c r="V132" s="260"/>
      <c r="W132" s="34"/>
    </row>
    <row r="133" spans="1:23" x14ac:dyDescent="0.4">
      <c r="A133" s="46"/>
      <c r="B133" s="211"/>
      <c r="C133" s="211"/>
      <c r="D133" s="33"/>
      <c r="E133" s="33"/>
      <c r="F133" s="33"/>
      <c r="G133" s="33"/>
      <c r="H133" s="33"/>
      <c r="I133" s="212"/>
      <c r="J133" s="212"/>
      <c r="K133" s="46"/>
      <c r="L133" s="46"/>
      <c r="M133" s="255"/>
      <c r="N133" s="200"/>
      <c r="O133" s="46"/>
      <c r="P133" s="46"/>
      <c r="Q133" s="46"/>
      <c r="R133" s="46"/>
      <c r="S133" s="33"/>
      <c r="T133" s="264"/>
      <c r="U133" s="235"/>
      <c r="V133" s="260"/>
      <c r="W133" s="34"/>
    </row>
    <row r="134" spans="1:23" x14ac:dyDescent="0.4">
      <c r="A134" s="46"/>
      <c r="B134" s="211"/>
      <c r="C134" s="211"/>
      <c r="D134" s="33"/>
      <c r="E134" s="33"/>
      <c r="F134" s="33"/>
      <c r="G134" s="33"/>
      <c r="H134" s="33"/>
      <c r="I134" s="212"/>
      <c r="J134" s="212"/>
      <c r="K134" s="46"/>
      <c r="L134" s="46"/>
      <c r="M134" s="255"/>
      <c r="N134" s="200"/>
      <c r="O134" s="46"/>
      <c r="P134" s="46"/>
      <c r="Q134" s="46"/>
      <c r="R134" s="46"/>
      <c r="S134" s="33"/>
      <c r="T134" s="264"/>
      <c r="U134" s="235"/>
      <c r="V134" s="260"/>
      <c r="W134" s="34"/>
    </row>
    <row r="135" spans="1:23" x14ac:dyDescent="0.4">
      <c r="A135" s="46"/>
      <c r="B135" s="211"/>
      <c r="C135" s="211"/>
      <c r="D135" s="33"/>
      <c r="E135" s="33"/>
      <c r="F135" s="33"/>
      <c r="G135" s="33"/>
      <c r="H135" s="33"/>
      <c r="I135" s="212"/>
      <c r="J135" s="212"/>
      <c r="K135" s="46"/>
      <c r="L135" s="46"/>
      <c r="M135" s="255"/>
      <c r="N135" s="200"/>
      <c r="O135" s="46"/>
      <c r="P135" s="46"/>
      <c r="Q135" s="46"/>
      <c r="R135" s="46"/>
      <c r="S135" s="33"/>
      <c r="T135" s="264"/>
      <c r="U135" s="235"/>
      <c r="V135" s="260"/>
      <c r="W135" s="34"/>
    </row>
    <row r="136" spans="1:23" x14ac:dyDescent="0.4">
      <c r="A136" s="46"/>
      <c r="B136" s="211"/>
      <c r="C136" s="211"/>
      <c r="D136" s="33"/>
      <c r="E136" s="33"/>
      <c r="F136" s="33"/>
      <c r="G136" s="33"/>
      <c r="H136" s="33"/>
      <c r="I136" s="212"/>
      <c r="J136" s="212"/>
      <c r="K136" s="46"/>
      <c r="L136" s="46"/>
      <c r="M136" s="255"/>
      <c r="N136" s="200"/>
      <c r="O136" s="46"/>
      <c r="P136" s="46"/>
      <c r="Q136" s="46"/>
      <c r="R136" s="46"/>
      <c r="S136" s="33"/>
      <c r="T136" s="264"/>
      <c r="U136" s="235"/>
      <c r="V136" s="260"/>
      <c r="W136" s="34"/>
    </row>
    <row r="137" spans="1:23" x14ac:dyDescent="0.4">
      <c r="A137" s="46"/>
      <c r="B137" s="211"/>
      <c r="C137" s="211"/>
      <c r="D137" s="33"/>
      <c r="E137" s="33"/>
      <c r="F137" s="33"/>
      <c r="G137" s="33"/>
      <c r="H137" s="33"/>
      <c r="I137" s="212"/>
      <c r="J137" s="212"/>
      <c r="K137" s="46"/>
      <c r="L137" s="46"/>
      <c r="M137" s="255"/>
      <c r="N137" s="200"/>
      <c r="O137" s="46"/>
      <c r="P137" s="46"/>
      <c r="Q137" s="46"/>
      <c r="R137" s="46"/>
      <c r="S137" s="33"/>
      <c r="T137" s="264"/>
      <c r="U137" s="235"/>
      <c r="V137" s="260"/>
      <c r="W137" s="34"/>
    </row>
    <row r="138" spans="1:23" x14ac:dyDescent="0.4">
      <c r="A138" s="46"/>
      <c r="B138" s="211"/>
      <c r="C138" s="211"/>
      <c r="D138" s="33"/>
      <c r="E138" s="33"/>
      <c r="F138" s="33"/>
      <c r="G138" s="33"/>
      <c r="H138" s="33"/>
      <c r="I138" s="212"/>
      <c r="J138" s="212"/>
      <c r="K138" s="46"/>
      <c r="L138" s="46"/>
      <c r="M138" s="255"/>
      <c r="N138" s="200"/>
      <c r="O138" s="46"/>
      <c r="P138" s="46"/>
      <c r="Q138" s="46"/>
      <c r="R138" s="46"/>
      <c r="S138" s="33"/>
      <c r="T138" s="264"/>
      <c r="U138" s="235"/>
      <c r="V138" s="260"/>
      <c r="W138" s="34"/>
    </row>
    <row r="139" spans="1:23" x14ac:dyDescent="0.4">
      <c r="A139" s="46"/>
      <c r="B139" s="211"/>
      <c r="C139" s="211"/>
      <c r="D139" s="33"/>
      <c r="E139" s="33"/>
      <c r="F139" s="33"/>
      <c r="G139" s="33"/>
      <c r="H139" s="33"/>
      <c r="I139" s="212"/>
      <c r="J139" s="212"/>
      <c r="K139" s="46"/>
      <c r="L139" s="46"/>
      <c r="M139" s="255"/>
      <c r="N139" s="200"/>
      <c r="O139" s="46"/>
      <c r="P139" s="46"/>
      <c r="Q139" s="46"/>
      <c r="R139" s="46"/>
      <c r="S139" s="33"/>
      <c r="T139" s="264"/>
      <c r="U139" s="235"/>
      <c r="V139" s="260"/>
      <c r="W139" s="34"/>
    </row>
    <row r="140" spans="1:23" x14ac:dyDescent="0.4">
      <c r="A140" s="46"/>
      <c r="B140" s="211"/>
      <c r="C140" s="211"/>
      <c r="D140" s="33"/>
      <c r="E140" s="33"/>
      <c r="F140" s="33"/>
      <c r="G140" s="33"/>
      <c r="H140" s="33"/>
      <c r="I140" s="212"/>
      <c r="J140" s="212"/>
      <c r="K140" s="46"/>
      <c r="L140" s="46"/>
      <c r="M140" s="255"/>
      <c r="N140" s="200"/>
      <c r="O140" s="46"/>
      <c r="P140" s="46"/>
      <c r="Q140" s="46"/>
      <c r="R140" s="46"/>
      <c r="S140" s="33"/>
      <c r="T140" s="264"/>
      <c r="U140" s="235"/>
      <c r="V140" s="260"/>
      <c r="W140" s="34"/>
    </row>
    <row r="141" spans="1:23" x14ac:dyDescent="0.4">
      <c r="A141" s="46"/>
      <c r="B141" s="211"/>
      <c r="C141" s="211"/>
      <c r="D141" s="33"/>
      <c r="E141" s="33"/>
      <c r="F141" s="33"/>
      <c r="G141" s="33"/>
      <c r="H141" s="33"/>
      <c r="I141" s="212"/>
      <c r="J141" s="212"/>
      <c r="K141" s="46"/>
      <c r="L141" s="46"/>
      <c r="M141" s="255"/>
      <c r="N141" s="200"/>
      <c r="O141" s="46"/>
      <c r="P141" s="46"/>
      <c r="Q141" s="46"/>
      <c r="R141" s="46"/>
      <c r="S141" s="33"/>
      <c r="T141" s="264"/>
      <c r="U141" s="235"/>
      <c r="V141" s="260"/>
      <c r="W141" s="34"/>
    </row>
    <row r="142" spans="1:23" x14ac:dyDescent="0.4">
      <c r="A142" s="46"/>
      <c r="B142" s="211"/>
      <c r="C142" s="211"/>
      <c r="D142" s="33"/>
      <c r="E142" s="33"/>
      <c r="F142" s="33"/>
      <c r="G142" s="33"/>
      <c r="H142" s="33"/>
      <c r="I142" s="212"/>
      <c r="J142" s="212"/>
      <c r="K142" s="46"/>
      <c r="L142" s="46"/>
      <c r="M142" s="255"/>
      <c r="N142" s="200"/>
      <c r="O142" s="46"/>
      <c r="P142" s="46"/>
      <c r="Q142" s="46"/>
      <c r="R142" s="46"/>
      <c r="S142" s="33"/>
      <c r="T142" s="264"/>
      <c r="U142" s="235"/>
      <c r="V142" s="260"/>
      <c r="W142" s="34"/>
    </row>
    <row r="143" spans="1:23" x14ac:dyDescent="0.4">
      <c r="A143" s="46"/>
      <c r="B143" s="211"/>
      <c r="C143" s="211"/>
      <c r="D143" s="33"/>
      <c r="E143" s="33"/>
      <c r="F143" s="33"/>
      <c r="G143" s="33"/>
      <c r="H143" s="33"/>
      <c r="I143" s="212"/>
      <c r="J143" s="212"/>
      <c r="K143" s="46"/>
      <c r="L143" s="46"/>
      <c r="M143" s="255"/>
      <c r="N143" s="200"/>
      <c r="O143" s="46"/>
      <c r="P143" s="46"/>
      <c r="Q143" s="46"/>
      <c r="R143" s="46"/>
      <c r="S143" s="33"/>
      <c r="T143" s="264"/>
      <c r="U143" s="235"/>
      <c r="V143" s="260"/>
      <c r="W143" s="34"/>
    </row>
    <row r="144" spans="1:23" x14ac:dyDescent="0.4">
      <c r="A144" s="46"/>
      <c r="B144" s="211"/>
      <c r="C144" s="211"/>
      <c r="D144" s="33"/>
      <c r="E144" s="33"/>
      <c r="F144" s="33"/>
      <c r="G144" s="33"/>
      <c r="H144" s="33"/>
      <c r="I144" s="212"/>
      <c r="J144" s="212"/>
      <c r="K144" s="46"/>
      <c r="L144" s="46"/>
      <c r="M144" s="255"/>
      <c r="N144" s="200"/>
      <c r="O144" s="46"/>
      <c r="P144" s="46"/>
      <c r="Q144" s="46"/>
      <c r="R144" s="46"/>
      <c r="S144" s="33"/>
      <c r="T144" s="264"/>
      <c r="U144" s="235"/>
      <c r="V144" s="260"/>
      <c r="W144" s="34"/>
    </row>
    <row r="145" spans="1:23" x14ac:dyDescent="0.4">
      <c r="A145" s="46"/>
      <c r="B145" s="211"/>
      <c r="C145" s="211"/>
      <c r="D145" s="33"/>
      <c r="E145" s="33"/>
      <c r="F145" s="33"/>
      <c r="G145" s="33"/>
      <c r="H145" s="33"/>
      <c r="I145" s="212"/>
      <c r="J145" s="212"/>
      <c r="K145" s="46"/>
      <c r="L145" s="46"/>
      <c r="M145" s="255"/>
      <c r="N145" s="200"/>
      <c r="O145" s="46"/>
      <c r="P145" s="46"/>
      <c r="Q145" s="46"/>
      <c r="R145" s="46"/>
      <c r="S145" s="33"/>
      <c r="T145" s="264"/>
      <c r="U145" s="235"/>
      <c r="V145" s="260"/>
      <c r="W145" s="34"/>
    </row>
    <row r="146" spans="1:23" x14ac:dyDescent="0.4">
      <c r="A146" s="46"/>
      <c r="B146" s="211"/>
      <c r="C146" s="211"/>
      <c r="D146" s="33"/>
      <c r="E146" s="33"/>
      <c r="F146" s="33"/>
      <c r="G146" s="33"/>
      <c r="H146" s="33"/>
      <c r="I146" s="212"/>
      <c r="J146" s="212"/>
      <c r="K146" s="46"/>
      <c r="L146" s="46"/>
      <c r="M146" s="255"/>
      <c r="N146" s="200"/>
      <c r="O146" s="46"/>
      <c r="P146" s="46"/>
      <c r="Q146" s="46"/>
      <c r="R146" s="46"/>
      <c r="S146" s="33"/>
      <c r="T146" s="264"/>
      <c r="U146" s="235"/>
      <c r="V146" s="260"/>
      <c r="W146" s="34"/>
    </row>
    <row r="147" spans="1:23" x14ac:dyDescent="0.4">
      <c r="A147" s="46"/>
      <c r="B147" s="211"/>
      <c r="C147" s="211"/>
      <c r="D147" s="33"/>
      <c r="E147" s="33"/>
      <c r="F147" s="33"/>
      <c r="G147" s="33"/>
      <c r="H147" s="33"/>
      <c r="I147" s="212"/>
      <c r="J147" s="212"/>
      <c r="K147" s="46"/>
      <c r="L147" s="46"/>
      <c r="M147" s="255"/>
      <c r="N147" s="200"/>
      <c r="O147" s="46"/>
      <c r="P147" s="46"/>
      <c r="Q147" s="46"/>
      <c r="R147" s="46"/>
      <c r="S147" s="33"/>
      <c r="T147" s="264"/>
      <c r="U147" s="235"/>
      <c r="V147" s="260"/>
      <c r="W147" s="34"/>
    </row>
    <row r="148" spans="1:23" x14ac:dyDescent="0.4">
      <c r="A148" s="46"/>
      <c r="B148" s="211"/>
      <c r="C148" s="211"/>
      <c r="D148" s="33"/>
      <c r="E148" s="33"/>
      <c r="F148" s="33"/>
      <c r="G148" s="33"/>
      <c r="H148" s="33"/>
      <c r="I148" s="212"/>
      <c r="J148" s="212"/>
      <c r="K148" s="46"/>
      <c r="L148" s="46"/>
      <c r="M148" s="255"/>
      <c r="N148" s="200"/>
      <c r="O148" s="46"/>
      <c r="P148" s="46"/>
      <c r="Q148" s="46"/>
      <c r="R148" s="46"/>
      <c r="S148" s="33"/>
      <c r="T148" s="264"/>
      <c r="U148" s="235"/>
      <c r="V148" s="260"/>
      <c r="W148" s="34"/>
    </row>
    <row r="149" spans="1:23" x14ac:dyDescent="0.4">
      <c r="A149" s="46"/>
      <c r="B149" s="211"/>
      <c r="C149" s="211"/>
      <c r="D149" s="33"/>
      <c r="E149" s="33"/>
      <c r="F149" s="33"/>
      <c r="G149" s="33"/>
      <c r="H149" s="33"/>
      <c r="I149" s="212"/>
      <c r="J149" s="212"/>
      <c r="K149" s="46"/>
      <c r="L149" s="46"/>
      <c r="M149" s="255"/>
      <c r="N149" s="200"/>
      <c r="O149" s="46"/>
      <c r="P149" s="46"/>
      <c r="Q149" s="46"/>
      <c r="R149" s="46"/>
      <c r="S149" s="33"/>
      <c r="T149" s="264"/>
      <c r="U149" s="235"/>
      <c r="V149" s="260"/>
      <c r="W149" s="34"/>
    </row>
    <row r="150" spans="1:23" x14ac:dyDescent="0.4">
      <c r="A150" s="46"/>
      <c r="B150" s="211"/>
      <c r="C150" s="211"/>
      <c r="D150" s="33"/>
      <c r="E150" s="33"/>
      <c r="F150" s="33"/>
      <c r="G150" s="33"/>
      <c r="H150" s="33"/>
      <c r="I150" s="212"/>
      <c r="J150" s="212"/>
      <c r="K150" s="46"/>
      <c r="L150" s="46"/>
      <c r="M150" s="255"/>
      <c r="N150" s="200"/>
      <c r="O150" s="46"/>
      <c r="P150" s="46"/>
      <c r="Q150" s="46"/>
      <c r="R150" s="46"/>
      <c r="S150" s="33"/>
      <c r="T150" s="264"/>
      <c r="U150" s="235"/>
      <c r="V150" s="260"/>
      <c r="W150" s="34"/>
    </row>
    <row r="151" spans="1:23" x14ac:dyDescent="0.4">
      <c r="A151" s="46"/>
      <c r="B151" s="211"/>
      <c r="C151" s="211"/>
      <c r="D151" s="33"/>
      <c r="E151" s="33"/>
      <c r="F151" s="33"/>
      <c r="G151" s="33"/>
      <c r="H151" s="33"/>
      <c r="I151" s="212"/>
      <c r="J151" s="212"/>
      <c r="K151" s="46"/>
      <c r="L151" s="46"/>
      <c r="M151" s="255"/>
      <c r="N151" s="200"/>
      <c r="O151" s="46"/>
      <c r="P151" s="46"/>
      <c r="Q151" s="46"/>
      <c r="R151" s="46"/>
      <c r="S151" s="33"/>
      <c r="T151" s="264"/>
      <c r="U151" s="235"/>
      <c r="V151" s="260"/>
      <c r="W151" s="34"/>
    </row>
    <row r="152" spans="1:23" x14ac:dyDescent="0.4">
      <c r="A152" s="46"/>
      <c r="B152" s="211"/>
      <c r="C152" s="211"/>
      <c r="D152" s="33"/>
      <c r="E152" s="33"/>
      <c r="F152" s="33"/>
      <c r="G152" s="33"/>
      <c r="H152" s="33"/>
      <c r="I152" s="212"/>
      <c r="J152" s="212"/>
      <c r="K152" s="46"/>
      <c r="L152" s="46"/>
      <c r="M152" s="255"/>
      <c r="N152" s="200"/>
      <c r="O152" s="46"/>
      <c r="P152" s="46"/>
      <c r="Q152" s="46"/>
      <c r="R152" s="46"/>
      <c r="S152" s="33"/>
      <c r="T152" s="264"/>
      <c r="U152" s="235"/>
      <c r="V152" s="260"/>
      <c r="W152" s="34"/>
    </row>
    <row r="153" spans="1:23" x14ac:dyDescent="0.4">
      <c r="A153" s="46"/>
      <c r="B153" s="211"/>
      <c r="C153" s="211"/>
      <c r="D153" s="33"/>
      <c r="E153" s="33"/>
      <c r="F153" s="33"/>
      <c r="G153" s="33"/>
      <c r="H153" s="33"/>
      <c r="I153" s="212"/>
      <c r="J153" s="212"/>
      <c r="K153" s="46"/>
      <c r="L153" s="46"/>
      <c r="M153" s="255"/>
      <c r="N153" s="200"/>
      <c r="O153" s="46"/>
      <c r="P153" s="46"/>
      <c r="Q153" s="46"/>
      <c r="R153" s="46"/>
      <c r="S153" s="33"/>
      <c r="T153" s="264"/>
      <c r="U153" s="235"/>
      <c r="V153" s="260"/>
      <c r="W153" s="34"/>
    </row>
    <row r="154" spans="1:23" x14ac:dyDescent="0.4">
      <c r="A154" s="46"/>
      <c r="B154" s="211"/>
      <c r="C154" s="211"/>
      <c r="D154" s="33"/>
      <c r="E154" s="33"/>
      <c r="F154" s="33"/>
      <c r="G154" s="33"/>
      <c r="H154" s="33"/>
      <c r="I154" s="212"/>
      <c r="J154" s="212"/>
      <c r="K154" s="46"/>
      <c r="L154" s="46"/>
      <c r="M154" s="255"/>
      <c r="N154" s="200"/>
      <c r="O154" s="46"/>
      <c r="P154" s="46"/>
      <c r="Q154" s="46"/>
      <c r="R154" s="46"/>
      <c r="S154" s="33"/>
      <c r="T154" s="264"/>
      <c r="U154" s="235"/>
      <c r="V154" s="260"/>
      <c r="W154" s="34"/>
    </row>
    <row r="155" spans="1:23" x14ac:dyDescent="0.4">
      <c r="A155" s="46"/>
      <c r="B155" s="211"/>
      <c r="C155" s="211"/>
      <c r="D155" s="33"/>
      <c r="E155" s="33"/>
      <c r="F155" s="33"/>
      <c r="G155" s="33"/>
      <c r="H155" s="33"/>
      <c r="I155" s="212"/>
      <c r="J155" s="212"/>
      <c r="K155" s="46"/>
      <c r="L155" s="46"/>
      <c r="M155" s="255"/>
      <c r="N155" s="200"/>
      <c r="O155" s="46"/>
      <c r="P155" s="46"/>
      <c r="Q155" s="46"/>
      <c r="R155" s="46"/>
      <c r="S155" s="33"/>
      <c r="T155" s="264"/>
      <c r="U155" s="235"/>
      <c r="V155" s="260"/>
      <c r="W155" s="34"/>
    </row>
    <row r="156" spans="1:23" x14ac:dyDescent="0.4">
      <c r="A156" s="46"/>
      <c r="B156" s="211"/>
      <c r="C156" s="211"/>
      <c r="D156" s="33"/>
      <c r="E156" s="33"/>
      <c r="F156" s="33"/>
      <c r="G156" s="33"/>
      <c r="H156" s="33"/>
      <c r="I156" s="212"/>
      <c r="J156" s="212"/>
      <c r="K156" s="46"/>
      <c r="L156" s="46"/>
      <c r="M156" s="255"/>
      <c r="N156" s="200"/>
      <c r="O156" s="46"/>
      <c r="P156" s="46"/>
      <c r="Q156" s="46"/>
      <c r="R156" s="46"/>
      <c r="S156" s="33"/>
      <c r="T156" s="264"/>
      <c r="U156" s="235"/>
      <c r="V156" s="260"/>
      <c r="W156" s="34"/>
    </row>
    <row r="157" spans="1:23" x14ac:dyDescent="0.4">
      <c r="A157" s="46"/>
      <c r="B157" s="211"/>
      <c r="C157" s="211"/>
      <c r="D157" s="33"/>
      <c r="E157" s="33"/>
      <c r="F157" s="33"/>
      <c r="G157" s="33"/>
      <c r="H157" s="33"/>
      <c r="I157" s="212"/>
      <c r="J157" s="212"/>
      <c r="K157" s="46"/>
      <c r="L157" s="46"/>
      <c r="M157" s="255"/>
      <c r="N157" s="200"/>
      <c r="O157" s="46"/>
      <c r="P157" s="46"/>
      <c r="Q157" s="46"/>
      <c r="R157" s="46"/>
      <c r="S157" s="33"/>
      <c r="T157" s="264"/>
      <c r="U157" s="235"/>
      <c r="V157" s="260"/>
      <c r="W157" s="34"/>
    </row>
    <row r="158" spans="1:23" x14ac:dyDescent="0.4">
      <c r="A158" s="46"/>
      <c r="B158" s="211"/>
      <c r="C158" s="211"/>
      <c r="D158" s="33"/>
      <c r="E158" s="33"/>
      <c r="F158" s="33"/>
      <c r="G158" s="33"/>
      <c r="H158" s="33"/>
      <c r="I158" s="212"/>
      <c r="J158" s="212"/>
      <c r="K158" s="46"/>
      <c r="L158" s="46"/>
      <c r="M158" s="255"/>
      <c r="N158" s="200"/>
      <c r="O158" s="46"/>
      <c r="P158" s="46"/>
      <c r="Q158" s="46"/>
      <c r="R158" s="46"/>
      <c r="S158" s="33"/>
      <c r="T158" s="264"/>
      <c r="U158" s="235"/>
      <c r="V158" s="260"/>
      <c r="W158" s="34"/>
    </row>
    <row r="159" spans="1:23" x14ac:dyDescent="0.4">
      <c r="A159" s="46"/>
      <c r="B159" s="211"/>
      <c r="C159" s="211"/>
      <c r="D159" s="33"/>
      <c r="E159" s="33"/>
      <c r="F159" s="33"/>
      <c r="G159" s="33"/>
      <c r="H159" s="33"/>
      <c r="I159" s="212"/>
      <c r="J159" s="212"/>
      <c r="K159" s="46"/>
      <c r="L159" s="46"/>
      <c r="M159" s="255"/>
      <c r="N159" s="200"/>
      <c r="O159" s="46"/>
      <c r="P159" s="46"/>
      <c r="Q159" s="46"/>
      <c r="R159" s="46"/>
      <c r="S159" s="33"/>
      <c r="T159" s="264"/>
      <c r="U159" s="235"/>
      <c r="V159" s="260"/>
      <c r="W159" s="34"/>
    </row>
    <row r="160" spans="1:23" x14ac:dyDescent="0.4">
      <c r="A160" s="46"/>
      <c r="B160" s="211"/>
      <c r="C160" s="211"/>
      <c r="D160" s="33"/>
      <c r="E160" s="33"/>
      <c r="F160" s="33"/>
      <c r="G160" s="33"/>
      <c r="H160" s="33"/>
      <c r="I160" s="212"/>
      <c r="J160" s="212"/>
      <c r="K160" s="46"/>
      <c r="L160" s="46"/>
      <c r="M160" s="255"/>
      <c r="N160" s="200"/>
      <c r="O160" s="46"/>
      <c r="P160" s="46"/>
      <c r="Q160" s="46"/>
      <c r="R160" s="46"/>
      <c r="S160" s="33"/>
      <c r="T160" s="264"/>
      <c r="U160" s="235"/>
      <c r="V160" s="260"/>
      <c r="W160" s="34"/>
    </row>
    <row r="161" spans="1:23" x14ac:dyDescent="0.4">
      <c r="A161" s="46"/>
      <c r="B161" s="211"/>
      <c r="C161" s="211"/>
      <c r="D161" s="33"/>
      <c r="E161" s="33"/>
      <c r="F161" s="33"/>
      <c r="G161" s="33"/>
      <c r="H161" s="33"/>
      <c r="I161" s="212"/>
      <c r="J161" s="212"/>
      <c r="K161" s="46"/>
      <c r="L161" s="46"/>
      <c r="M161" s="255"/>
      <c r="N161" s="200"/>
      <c r="O161" s="46"/>
      <c r="P161" s="46"/>
      <c r="Q161" s="46"/>
      <c r="R161" s="46"/>
      <c r="S161" s="33"/>
      <c r="T161" s="264"/>
      <c r="U161" s="235"/>
      <c r="V161" s="260"/>
      <c r="W161" s="34"/>
    </row>
    <row r="162" spans="1:23" x14ac:dyDescent="0.4">
      <c r="A162" s="46"/>
      <c r="B162" s="211"/>
      <c r="C162" s="211"/>
      <c r="D162" s="33"/>
      <c r="E162" s="33"/>
      <c r="F162" s="33"/>
      <c r="G162" s="33"/>
      <c r="H162" s="33"/>
      <c r="I162" s="212"/>
      <c r="J162" s="212"/>
      <c r="K162" s="46"/>
      <c r="L162" s="46"/>
      <c r="M162" s="255"/>
      <c r="N162" s="200"/>
      <c r="O162" s="46"/>
      <c r="P162" s="46"/>
      <c r="Q162" s="46"/>
      <c r="R162" s="46"/>
      <c r="S162" s="33"/>
      <c r="T162" s="264"/>
      <c r="U162" s="235"/>
      <c r="V162" s="260"/>
      <c r="W162" s="34"/>
    </row>
    <row r="163" spans="1:23" x14ac:dyDescent="0.4">
      <c r="A163" s="46"/>
      <c r="B163" s="211"/>
      <c r="C163" s="211"/>
      <c r="D163" s="33"/>
      <c r="E163" s="33"/>
      <c r="F163" s="33"/>
      <c r="G163" s="33"/>
      <c r="H163" s="33"/>
      <c r="I163" s="212"/>
      <c r="J163" s="212"/>
      <c r="K163" s="46"/>
      <c r="L163" s="46"/>
      <c r="M163" s="255"/>
      <c r="N163" s="200"/>
      <c r="O163" s="46"/>
      <c r="P163" s="46"/>
      <c r="Q163" s="46"/>
      <c r="R163" s="46"/>
      <c r="S163" s="33"/>
      <c r="T163" s="264"/>
      <c r="U163" s="235"/>
      <c r="V163" s="260"/>
      <c r="W163" s="34"/>
    </row>
    <row r="164" spans="1:23" x14ac:dyDescent="0.4">
      <c r="A164" s="46"/>
      <c r="B164" s="211"/>
      <c r="C164" s="211"/>
      <c r="D164" s="33"/>
      <c r="E164" s="33"/>
      <c r="F164" s="33"/>
      <c r="G164" s="33"/>
      <c r="H164" s="33"/>
      <c r="I164" s="212"/>
      <c r="J164" s="212"/>
      <c r="K164" s="46"/>
      <c r="L164" s="46"/>
      <c r="M164" s="255"/>
      <c r="N164" s="200"/>
      <c r="O164" s="46"/>
      <c r="P164" s="46"/>
      <c r="Q164" s="46"/>
      <c r="R164" s="46"/>
      <c r="S164" s="33"/>
      <c r="T164" s="264"/>
      <c r="U164" s="235"/>
      <c r="V164" s="260"/>
      <c r="W164" s="34"/>
    </row>
    <row r="165" spans="1:23" x14ac:dyDescent="0.4">
      <c r="A165" s="46"/>
      <c r="B165" s="211"/>
      <c r="C165" s="211"/>
      <c r="D165" s="33"/>
      <c r="E165" s="33"/>
      <c r="F165" s="33"/>
      <c r="G165" s="33"/>
      <c r="H165" s="33"/>
      <c r="I165" s="212"/>
      <c r="J165" s="212"/>
      <c r="K165" s="46"/>
      <c r="L165" s="46"/>
      <c r="M165" s="255"/>
      <c r="N165" s="200"/>
      <c r="O165" s="46"/>
      <c r="P165" s="46"/>
      <c r="Q165" s="46"/>
      <c r="R165" s="46"/>
      <c r="S165" s="33"/>
      <c r="T165" s="264"/>
      <c r="U165" s="235"/>
      <c r="V165" s="260"/>
      <c r="W165" s="34"/>
    </row>
    <row r="166" spans="1:23" x14ac:dyDescent="0.4">
      <c r="A166" s="46"/>
      <c r="B166" s="211"/>
      <c r="C166" s="211"/>
      <c r="D166" s="33"/>
      <c r="E166" s="33"/>
      <c r="F166" s="33"/>
      <c r="G166" s="33"/>
      <c r="H166" s="33"/>
      <c r="I166" s="212"/>
      <c r="J166" s="212"/>
      <c r="K166" s="46"/>
      <c r="L166" s="46"/>
      <c r="M166" s="255"/>
      <c r="N166" s="200"/>
      <c r="O166" s="46"/>
      <c r="P166" s="46"/>
      <c r="Q166" s="46"/>
      <c r="R166" s="46"/>
      <c r="S166" s="33"/>
      <c r="T166" s="264"/>
      <c r="U166" s="235"/>
      <c r="V166" s="260"/>
      <c r="W166" s="34"/>
    </row>
    <row r="167" spans="1:23" x14ac:dyDescent="0.4">
      <c r="A167" s="46"/>
      <c r="B167" s="211"/>
      <c r="C167" s="211"/>
      <c r="D167" s="33"/>
      <c r="E167" s="33"/>
      <c r="F167" s="33"/>
      <c r="G167" s="33"/>
      <c r="H167" s="33"/>
      <c r="I167" s="212"/>
      <c r="J167" s="212"/>
      <c r="K167" s="46"/>
      <c r="L167" s="46"/>
      <c r="M167" s="255"/>
      <c r="N167" s="200"/>
      <c r="O167" s="46"/>
      <c r="P167" s="46"/>
      <c r="Q167" s="46"/>
      <c r="R167" s="46"/>
      <c r="S167" s="33"/>
      <c r="T167" s="264"/>
      <c r="U167" s="235"/>
      <c r="V167" s="260"/>
      <c r="W167" s="34"/>
    </row>
    <row r="168" spans="1:23" x14ac:dyDescent="0.4">
      <c r="A168" s="46"/>
      <c r="B168" s="211"/>
      <c r="C168" s="211"/>
      <c r="D168" s="33"/>
      <c r="E168" s="33"/>
      <c r="F168" s="33"/>
      <c r="G168" s="33"/>
      <c r="H168" s="33"/>
      <c r="I168" s="212"/>
      <c r="J168" s="212"/>
      <c r="K168" s="46"/>
      <c r="L168" s="46"/>
      <c r="M168" s="255"/>
      <c r="N168" s="200"/>
      <c r="O168" s="46"/>
      <c r="P168" s="46"/>
      <c r="Q168" s="46"/>
      <c r="R168" s="46"/>
      <c r="S168" s="33"/>
      <c r="T168" s="264"/>
      <c r="U168" s="235"/>
      <c r="V168" s="260"/>
      <c r="W168" s="34"/>
    </row>
    <row r="169" spans="1:23" x14ac:dyDescent="0.4">
      <c r="A169" s="46"/>
      <c r="B169" s="211"/>
      <c r="C169" s="211"/>
      <c r="D169" s="33"/>
      <c r="E169" s="33"/>
      <c r="F169" s="33"/>
      <c r="G169" s="33"/>
      <c r="H169" s="33"/>
      <c r="I169" s="212"/>
      <c r="J169" s="212"/>
      <c r="K169" s="46"/>
      <c r="L169" s="46"/>
      <c r="M169" s="255"/>
      <c r="N169" s="200"/>
      <c r="O169" s="46"/>
      <c r="P169" s="46"/>
      <c r="Q169" s="46"/>
      <c r="R169" s="46"/>
      <c r="S169" s="33"/>
      <c r="T169" s="264"/>
      <c r="U169" s="235"/>
      <c r="V169" s="260"/>
      <c r="W169" s="34"/>
    </row>
    <row r="170" spans="1:23" x14ac:dyDescent="0.4">
      <c r="A170" s="46"/>
      <c r="B170" s="211"/>
      <c r="C170" s="211"/>
      <c r="D170" s="33"/>
      <c r="E170" s="33"/>
      <c r="F170" s="33"/>
      <c r="G170" s="33"/>
      <c r="H170" s="33"/>
      <c r="I170" s="212"/>
      <c r="J170" s="212"/>
      <c r="K170" s="46"/>
      <c r="L170" s="46"/>
      <c r="M170" s="255"/>
      <c r="N170" s="200"/>
      <c r="O170" s="46"/>
      <c r="P170" s="46"/>
      <c r="Q170" s="46"/>
      <c r="R170" s="46"/>
      <c r="S170" s="33"/>
      <c r="T170" s="264"/>
      <c r="U170" s="235"/>
      <c r="V170" s="260"/>
      <c r="W170" s="34"/>
    </row>
    <row r="171" spans="1:23" x14ac:dyDescent="0.4">
      <c r="A171" s="46"/>
      <c r="B171" s="211"/>
      <c r="C171" s="211"/>
      <c r="D171" s="33"/>
      <c r="E171" s="33"/>
      <c r="F171" s="33"/>
      <c r="G171" s="33"/>
      <c r="H171" s="33"/>
      <c r="I171" s="212"/>
      <c r="J171" s="212"/>
      <c r="K171" s="46"/>
      <c r="L171" s="46"/>
      <c r="M171" s="255"/>
      <c r="N171" s="200"/>
      <c r="O171" s="46"/>
      <c r="P171" s="46"/>
      <c r="Q171" s="46"/>
      <c r="R171" s="46"/>
      <c r="S171" s="33"/>
      <c r="T171" s="264"/>
      <c r="U171" s="235"/>
      <c r="V171" s="260"/>
      <c r="W171" s="34"/>
    </row>
    <row r="172" spans="1:23" x14ac:dyDescent="0.4">
      <c r="A172" s="46"/>
      <c r="B172" s="211"/>
      <c r="C172" s="211"/>
      <c r="D172" s="33"/>
      <c r="E172" s="33"/>
      <c r="F172" s="33"/>
      <c r="G172" s="33"/>
      <c r="H172" s="33"/>
      <c r="I172" s="212"/>
      <c r="J172" s="212"/>
      <c r="K172" s="46"/>
      <c r="L172" s="46"/>
      <c r="M172" s="255"/>
      <c r="N172" s="200"/>
      <c r="O172" s="46"/>
      <c r="P172" s="46"/>
      <c r="Q172" s="46"/>
      <c r="R172" s="46"/>
      <c r="S172" s="33"/>
      <c r="T172" s="264"/>
      <c r="U172" s="235"/>
      <c r="V172" s="260"/>
      <c r="W172" s="34"/>
    </row>
    <row r="173" spans="1:23" x14ac:dyDescent="0.4">
      <c r="A173" s="46"/>
      <c r="B173" s="211"/>
      <c r="C173" s="211"/>
      <c r="D173" s="33"/>
      <c r="E173" s="33"/>
      <c r="F173" s="33"/>
      <c r="G173" s="33"/>
      <c r="H173" s="33"/>
      <c r="I173" s="212"/>
      <c r="J173" s="212"/>
      <c r="K173" s="46"/>
      <c r="L173" s="46"/>
      <c r="M173" s="255"/>
      <c r="N173" s="200"/>
      <c r="O173" s="46"/>
      <c r="P173" s="46"/>
      <c r="Q173" s="46"/>
      <c r="R173" s="46"/>
      <c r="S173" s="33"/>
      <c r="T173" s="264"/>
      <c r="U173" s="235"/>
      <c r="V173" s="260"/>
      <c r="W173" s="34"/>
    </row>
    <row r="174" spans="1:23" x14ac:dyDescent="0.4">
      <c r="A174" s="46"/>
      <c r="B174" s="211"/>
      <c r="C174" s="211"/>
      <c r="D174" s="33"/>
      <c r="E174" s="33"/>
      <c r="F174" s="33"/>
      <c r="G174" s="33"/>
      <c r="H174" s="33"/>
      <c r="I174" s="212"/>
      <c r="J174" s="212"/>
      <c r="K174" s="46"/>
      <c r="L174" s="46"/>
      <c r="M174" s="255"/>
      <c r="N174" s="200"/>
      <c r="O174" s="46"/>
      <c r="P174" s="46"/>
      <c r="Q174" s="46"/>
      <c r="R174" s="46"/>
      <c r="S174" s="33"/>
      <c r="T174" s="264"/>
      <c r="U174" s="235"/>
      <c r="V174" s="260"/>
      <c r="W174" s="34"/>
    </row>
    <row r="175" spans="1:23" x14ac:dyDescent="0.4">
      <c r="A175" s="46"/>
      <c r="B175" s="211"/>
      <c r="C175" s="211"/>
      <c r="D175" s="33"/>
      <c r="E175" s="33"/>
      <c r="F175" s="33"/>
      <c r="G175" s="33"/>
      <c r="H175" s="33"/>
      <c r="I175" s="212"/>
      <c r="J175" s="212"/>
      <c r="K175" s="46"/>
      <c r="L175" s="46"/>
      <c r="M175" s="255"/>
      <c r="N175" s="200"/>
      <c r="O175" s="46"/>
      <c r="P175" s="46"/>
      <c r="Q175" s="46"/>
      <c r="R175" s="46"/>
      <c r="S175" s="33"/>
      <c r="T175" s="264"/>
      <c r="U175" s="235"/>
      <c r="V175" s="260"/>
      <c r="W175" s="34"/>
    </row>
    <row r="176" spans="1:23" x14ac:dyDescent="0.4">
      <c r="A176" s="46"/>
      <c r="B176" s="211"/>
      <c r="C176" s="211"/>
      <c r="D176" s="33"/>
      <c r="E176" s="33"/>
      <c r="F176" s="33"/>
      <c r="G176" s="33"/>
      <c r="H176" s="33"/>
      <c r="I176" s="212"/>
      <c r="J176" s="212"/>
      <c r="K176" s="46"/>
      <c r="L176" s="46"/>
      <c r="M176" s="255"/>
      <c r="N176" s="200"/>
      <c r="O176" s="46"/>
      <c r="P176" s="46"/>
      <c r="Q176" s="46"/>
      <c r="R176" s="46"/>
      <c r="S176" s="33"/>
      <c r="T176" s="264"/>
      <c r="U176" s="235"/>
      <c r="V176" s="260"/>
      <c r="W176" s="34"/>
    </row>
    <row r="177" spans="1:23" x14ac:dyDescent="0.4">
      <c r="A177" s="46"/>
      <c r="B177" s="211"/>
      <c r="C177" s="211"/>
      <c r="D177" s="33"/>
      <c r="E177" s="33"/>
      <c r="F177" s="33"/>
      <c r="G177" s="33"/>
      <c r="H177" s="33"/>
      <c r="I177" s="212"/>
      <c r="J177" s="212"/>
      <c r="K177" s="46"/>
      <c r="L177" s="46"/>
      <c r="M177" s="255"/>
      <c r="N177" s="200"/>
      <c r="O177" s="46"/>
      <c r="P177" s="46"/>
      <c r="Q177" s="46"/>
      <c r="R177" s="46"/>
      <c r="S177" s="33"/>
      <c r="T177" s="264"/>
      <c r="U177" s="235"/>
      <c r="V177" s="260"/>
      <c r="W177" s="34"/>
    </row>
    <row r="178" spans="1:23" x14ac:dyDescent="0.4">
      <c r="A178" s="46"/>
      <c r="B178" s="211"/>
      <c r="C178" s="211"/>
      <c r="D178" s="33"/>
      <c r="E178" s="33"/>
      <c r="F178" s="33"/>
      <c r="G178" s="33"/>
      <c r="H178" s="33"/>
      <c r="I178" s="212"/>
      <c r="J178" s="212"/>
      <c r="K178" s="46"/>
      <c r="L178" s="46"/>
      <c r="M178" s="255"/>
      <c r="N178" s="200"/>
      <c r="O178" s="46"/>
      <c r="P178" s="46"/>
      <c r="Q178" s="46"/>
      <c r="R178" s="46"/>
      <c r="S178" s="33"/>
      <c r="T178" s="264"/>
      <c r="U178" s="235"/>
      <c r="V178" s="260"/>
      <c r="W178" s="34"/>
    </row>
    <row r="179" spans="1:23" x14ac:dyDescent="0.4">
      <c r="A179" s="46"/>
      <c r="B179" s="211"/>
      <c r="C179" s="211"/>
      <c r="D179" s="33"/>
      <c r="E179" s="33"/>
      <c r="F179" s="33"/>
      <c r="G179" s="33"/>
      <c r="H179" s="33"/>
      <c r="I179" s="212"/>
      <c r="J179" s="212"/>
      <c r="K179" s="46"/>
      <c r="L179" s="46"/>
      <c r="M179" s="255"/>
      <c r="N179" s="200"/>
      <c r="O179" s="46"/>
      <c r="P179" s="46"/>
      <c r="Q179" s="46"/>
      <c r="R179" s="46"/>
      <c r="S179" s="33"/>
      <c r="T179" s="264"/>
      <c r="U179" s="235"/>
      <c r="V179" s="260"/>
      <c r="W179" s="34"/>
    </row>
    <row r="180" spans="1:23" x14ac:dyDescent="0.4">
      <c r="A180" s="46"/>
      <c r="B180" s="211"/>
      <c r="C180" s="211"/>
      <c r="D180" s="33"/>
      <c r="E180" s="33"/>
      <c r="F180" s="33"/>
      <c r="G180" s="33"/>
      <c r="H180" s="33"/>
      <c r="I180" s="212"/>
      <c r="J180" s="212"/>
      <c r="K180" s="46"/>
      <c r="L180" s="46"/>
      <c r="M180" s="255"/>
      <c r="N180" s="200"/>
      <c r="O180" s="46"/>
      <c r="P180" s="46"/>
      <c r="Q180" s="46"/>
      <c r="R180" s="46"/>
      <c r="S180" s="33"/>
      <c r="T180" s="264"/>
      <c r="U180" s="235"/>
      <c r="V180" s="260"/>
      <c r="W180" s="34"/>
    </row>
    <row r="181" spans="1:23" x14ac:dyDescent="0.4">
      <c r="A181" s="46"/>
      <c r="B181" s="211"/>
      <c r="C181" s="211"/>
      <c r="D181" s="33"/>
      <c r="E181" s="33"/>
      <c r="F181" s="33"/>
      <c r="G181" s="33"/>
      <c r="H181" s="33"/>
      <c r="I181" s="212"/>
      <c r="J181" s="212"/>
      <c r="K181" s="46"/>
      <c r="L181" s="46"/>
      <c r="M181" s="255"/>
      <c r="N181" s="200"/>
      <c r="O181" s="46"/>
      <c r="P181" s="46"/>
      <c r="Q181" s="46"/>
      <c r="R181" s="46"/>
      <c r="S181" s="33"/>
      <c r="T181" s="264"/>
      <c r="U181" s="235"/>
      <c r="V181" s="260"/>
      <c r="W181" s="34"/>
    </row>
    <row r="182" spans="1:23" x14ac:dyDescent="0.4">
      <c r="A182" s="46"/>
      <c r="B182" s="211"/>
      <c r="C182" s="211"/>
      <c r="D182" s="33"/>
      <c r="E182" s="33"/>
      <c r="F182" s="33"/>
      <c r="G182" s="33"/>
      <c r="H182" s="33"/>
      <c r="I182" s="212"/>
      <c r="J182" s="212"/>
      <c r="K182" s="46"/>
      <c r="L182" s="46"/>
      <c r="M182" s="255"/>
      <c r="N182" s="200"/>
      <c r="O182" s="46"/>
      <c r="P182" s="46"/>
      <c r="Q182" s="46"/>
      <c r="R182" s="46"/>
      <c r="S182" s="33"/>
      <c r="T182" s="264"/>
      <c r="U182" s="235"/>
      <c r="V182" s="260"/>
      <c r="W182" s="34"/>
    </row>
    <row r="183" spans="1:23" x14ac:dyDescent="0.4">
      <c r="A183" s="46"/>
      <c r="B183" s="211"/>
      <c r="C183" s="211"/>
      <c r="D183" s="33"/>
      <c r="E183" s="33"/>
      <c r="F183" s="33"/>
      <c r="G183" s="33"/>
      <c r="H183" s="33"/>
      <c r="I183" s="212"/>
      <c r="J183" s="212"/>
      <c r="K183" s="46"/>
      <c r="L183" s="46"/>
      <c r="M183" s="255"/>
      <c r="N183" s="200"/>
      <c r="O183" s="46"/>
      <c r="P183" s="46"/>
      <c r="Q183" s="46"/>
      <c r="R183" s="46"/>
      <c r="S183" s="33"/>
      <c r="T183" s="264"/>
      <c r="U183" s="235"/>
      <c r="V183" s="260"/>
      <c r="W183" s="34"/>
    </row>
    <row r="184" spans="1:23" x14ac:dyDescent="0.4">
      <c r="A184" s="46"/>
      <c r="B184" s="211"/>
      <c r="C184" s="211"/>
      <c r="D184" s="33"/>
      <c r="E184" s="33"/>
      <c r="F184" s="33"/>
      <c r="G184" s="33"/>
      <c r="H184" s="33"/>
      <c r="I184" s="212"/>
      <c r="J184" s="212"/>
      <c r="K184" s="46"/>
      <c r="L184" s="46"/>
      <c r="M184" s="255"/>
      <c r="N184" s="200"/>
      <c r="O184" s="46"/>
      <c r="P184" s="46"/>
      <c r="Q184" s="46"/>
      <c r="R184" s="46"/>
      <c r="S184" s="33"/>
      <c r="T184" s="264"/>
      <c r="U184" s="235"/>
      <c r="V184" s="260"/>
      <c r="W184" s="34"/>
    </row>
    <row r="185" spans="1:23" x14ac:dyDescent="0.4">
      <c r="A185" s="46"/>
      <c r="B185" s="211"/>
      <c r="C185" s="211"/>
      <c r="D185" s="33"/>
      <c r="E185" s="33"/>
      <c r="F185" s="33"/>
      <c r="G185" s="33"/>
      <c r="H185" s="33"/>
      <c r="I185" s="212"/>
      <c r="J185" s="212"/>
      <c r="K185" s="46"/>
      <c r="L185" s="46"/>
      <c r="M185" s="255"/>
      <c r="N185" s="200"/>
      <c r="O185" s="46"/>
      <c r="P185" s="46"/>
      <c r="Q185" s="46"/>
      <c r="R185" s="46"/>
      <c r="S185" s="33"/>
      <c r="T185" s="264"/>
      <c r="U185" s="235"/>
      <c r="V185" s="260"/>
      <c r="W185" s="34"/>
    </row>
    <row r="186" spans="1:23" x14ac:dyDescent="0.4">
      <c r="A186" s="46"/>
      <c r="B186" s="211"/>
      <c r="C186" s="211"/>
      <c r="D186" s="33"/>
      <c r="E186" s="33"/>
      <c r="F186" s="33"/>
      <c r="G186" s="33"/>
      <c r="H186" s="33"/>
      <c r="I186" s="212"/>
      <c r="J186" s="212"/>
      <c r="K186" s="46"/>
      <c r="L186" s="46"/>
      <c r="M186" s="255"/>
      <c r="N186" s="200"/>
      <c r="O186" s="46"/>
      <c r="P186" s="46"/>
      <c r="Q186" s="46"/>
      <c r="R186" s="46"/>
      <c r="S186" s="33"/>
      <c r="T186" s="264"/>
      <c r="U186" s="235"/>
      <c r="V186" s="260"/>
      <c r="W186" s="34"/>
    </row>
    <row r="187" spans="1:23" x14ac:dyDescent="0.4">
      <c r="A187" s="46"/>
      <c r="B187" s="211"/>
      <c r="C187" s="211"/>
      <c r="D187" s="33"/>
      <c r="E187" s="33"/>
      <c r="F187" s="33"/>
      <c r="G187" s="33"/>
      <c r="H187" s="33"/>
      <c r="I187" s="212"/>
      <c r="J187" s="212"/>
      <c r="K187" s="46"/>
      <c r="L187" s="46"/>
      <c r="M187" s="255"/>
      <c r="N187" s="200"/>
      <c r="O187" s="46"/>
      <c r="P187" s="46"/>
      <c r="Q187" s="46"/>
      <c r="R187" s="46"/>
      <c r="S187" s="33"/>
      <c r="T187" s="264"/>
      <c r="U187" s="235"/>
      <c r="V187" s="260"/>
      <c r="W187" s="34"/>
    </row>
    <row r="188" spans="1:23" x14ac:dyDescent="0.4">
      <c r="A188" s="46"/>
      <c r="B188" s="211"/>
      <c r="C188" s="211"/>
      <c r="D188" s="33"/>
      <c r="E188" s="33"/>
      <c r="F188" s="33"/>
      <c r="G188" s="33"/>
      <c r="H188" s="33"/>
      <c r="I188" s="212"/>
      <c r="J188" s="212"/>
      <c r="K188" s="46"/>
      <c r="L188" s="46"/>
      <c r="M188" s="255"/>
      <c r="N188" s="200"/>
      <c r="O188" s="46"/>
      <c r="P188" s="46"/>
      <c r="Q188" s="46"/>
      <c r="R188" s="46"/>
      <c r="S188" s="33"/>
      <c r="T188" s="264"/>
      <c r="U188" s="235"/>
      <c r="V188" s="260"/>
      <c r="W188" s="34"/>
    </row>
    <row r="189" spans="1:23" x14ac:dyDescent="0.4">
      <c r="A189" s="46"/>
      <c r="B189" s="211"/>
      <c r="C189" s="211"/>
      <c r="D189" s="33"/>
      <c r="E189" s="33"/>
      <c r="F189" s="33"/>
      <c r="G189" s="33"/>
      <c r="H189" s="33"/>
      <c r="I189" s="212"/>
      <c r="J189" s="212"/>
      <c r="K189" s="46"/>
      <c r="L189" s="46"/>
      <c r="M189" s="255"/>
      <c r="N189" s="200"/>
      <c r="O189" s="46"/>
      <c r="P189" s="46"/>
      <c r="Q189" s="46"/>
      <c r="R189" s="46"/>
      <c r="S189" s="33"/>
      <c r="T189" s="264"/>
      <c r="U189" s="235"/>
      <c r="V189" s="260"/>
      <c r="W189" s="34"/>
    </row>
    <row r="190" spans="1:23" x14ac:dyDescent="0.4">
      <c r="A190" s="46"/>
      <c r="B190" s="211"/>
      <c r="C190" s="211"/>
      <c r="D190" s="33"/>
      <c r="E190" s="33"/>
      <c r="F190" s="33"/>
      <c r="G190" s="33"/>
      <c r="H190" s="33"/>
      <c r="I190" s="212"/>
      <c r="J190" s="212"/>
      <c r="K190" s="46"/>
      <c r="L190" s="46"/>
      <c r="M190" s="255"/>
      <c r="N190" s="200"/>
      <c r="O190" s="46"/>
      <c r="P190" s="46"/>
      <c r="Q190" s="46"/>
      <c r="R190" s="46"/>
      <c r="S190" s="33"/>
      <c r="T190" s="264"/>
      <c r="U190" s="235"/>
      <c r="V190" s="260"/>
      <c r="W190" s="34"/>
    </row>
    <row r="191" spans="1:23" x14ac:dyDescent="0.4">
      <c r="A191" s="46"/>
      <c r="B191" s="211"/>
      <c r="C191" s="211"/>
      <c r="D191" s="33"/>
      <c r="E191" s="33"/>
      <c r="F191" s="33"/>
      <c r="G191" s="33"/>
      <c r="H191" s="33"/>
      <c r="I191" s="212"/>
      <c r="J191" s="212"/>
      <c r="K191" s="46"/>
      <c r="L191" s="46"/>
      <c r="M191" s="255"/>
      <c r="N191" s="200"/>
      <c r="O191" s="46"/>
      <c r="P191" s="46"/>
      <c r="Q191" s="46"/>
      <c r="R191" s="46"/>
      <c r="S191" s="33"/>
      <c r="T191" s="264"/>
      <c r="U191" s="235"/>
      <c r="V191" s="260"/>
      <c r="W191" s="34"/>
    </row>
    <row r="192" spans="1:23" x14ac:dyDescent="0.4">
      <c r="A192" s="46"/>
      <c r="B192" s="211"/>
      <c r="C192" s="211"/>
      <c r="D192" s="33"/>
      <c r="E192" s="33"/>
      <c r="F192" s="33"/>
      <c r="G192" s="33"/>
      <c r="H192" s="33"/>
      <c r="I192" s="212"/>
      <c r="J192" s="212"/>
      <c r="K192" s="46"/>
      <c r="L192" s="46"/>
      <c r="M192" s="255"/>
      <c r="N192" s="200"/>
      <c r="O192" s="46"/>
      <c r="P192" s="46"/>
      <c r="Q192" s="46"/>
      <c r="R192" s="46"/>
      <c r="S192" s="33"/>
      <c r="T192" s="264"/>
      <c r="U192" s="235"/>
      <c r="V192" s="260"/>
      <c r="W192" s="34"/>
    </row>
    <row r="193" spans="1:23" x14ac:dyDescent="0.4">
      <c r="A193" s="46"/>
      <c r="B193" s="211"/>
      <c r="C193" s="211"/>
      <c r="D193" s="33"/>
      <c r="E193" s="33"/>
      <c r="F193" s="33"/>
      <c r="G193" s="33"/>
      <c r="H193" s="33"/>
      <c r="I193" s="212"/>
      <c r="J193" s="212"/>
      <c r="K193" s="46"/>
      <c r="L193" s="46"/>
      <c r="M193" s="255"/>
      <c r="N193" s="200"/>
      <c r="O193" s="46"/>
      <c r="P193" s="46"/>
      <c r="Q193" s="46"/>
      <c r="R193" s="46"/>
      <c r="S193" s="33"/>
      <c r="T193" s="264"/>
      <c r="U193" s="235"/>
      <c r="V193" s="260"/>
      <c r="W193" s="34"/>
    </row>
    <row r="194" spans="1:23" x14ac:dyDescent="0.4">
      <c r="A194" s="46"/>
      <c r="B194" s="211"/>
      <c r="C194" s="211"/>
      <c r="D194" s="33"/>
      <c r="E194" s="33"/>
      <c r="F194" s="33"/>
      <c r="G194" s="33"/>
      <c r="H194" s="33"/>
      <c r="I194" s="212"/>
      <c r="J194" s="212"/>
      <c r="K194" s="46"/>
      <c r="L194" s="46"/>
      <c r="M194" s="255"/>
      <c r="N194" s="200"/>
      <c r="O194" s="46"/>
      <c r="P194" s="46"/>
      <c r="Q194" s="46"/>
      <c r="R194" s="46"/>
      <c r="S194" s="33"/>
      <c r="T194" s="264"/>
      <c r="U194" s="235"/>
      <c r="V194" s="260"/>
      <c r="W194" s="34"/>
    </row>
    <row r="195" spans="1:23" x14ac:dyDescent="0.4">
      <c r="A195" s="46"/>
      <c r="B195" s="211"/>
      <c r="C195" s="211"/>
      <c r="D195" s="33"/>
      <c r="E195" s="33"/>
      <c r="F195" s="33"/>
      <c r="G195" s="33"/>
      <c r="H195" s="33"/>
      <c r="I195" s="212"/>
      <c r="J195" s="212"/>
      <c r="K195" s="46"/>
      <c r="L195" s="46"/>
      <c r="M195" s="255"/>
      <c r="N195" s="200"/>
      <c r="O195" s="46"/>
      <c r="P195" s="46"/>
      <c r="Q195" s="46"/>
      <c r="R195" s="46"/>
      <c r="S195" s="33"/>
      <c r="T195" s="264"/>
      <c r="U195" s="235"/>
      <c r="V195" s="260"/>
      <c r="W195" s="34"/>
    </row>
    <row r="196" spans="1:23" x14ac:dyDescent="0.4">
      <c r="A196" s="46"/>
      <c r="B196" s="211"/>
      <c r="C196" s="211"/>
      <c r="D196" s="33"/>
      <c r="E196" s="33"/>
      <c r="F196" s="33"/>
      <c r="G196" s="33"/>
      <c r="H196" s="33"/>
      <c r="I196" s="212"/>
      <c r="J196" s="212"/>
      <c r="K196" s="46"/>
      <c r="L196" s="46"/>
      <c r="M196" s="255"/>
      <c r="N196" s="200"/>
      <c r="O196" s="46"/>
      <c r="P196" s="46"/>
      <c r="Q196" s="46"/>
      <c r="R196" s="46"/>
      <c r="S196" s="33"/>
      <c r="T196" s="264"/>
      <c r="U196" s="235"/>
      <c r="V196" s="260"/>
      <c r="W196" s="34"/>
    </row>
    <row r="197" spans="1:23" x14ac:dyDescent="0.4">
      <c r="A197" s="46"/>
      <c r="B197" s="211"/>
      <c r="C197" s="211"/>
      <c r="D197" s="33"/>
      <c r="E197" s="33"/>
      <c r="F197" s="33"/>
      <c r="G197" s="33"/>
      <c r="H197" s="33"/>
      <c r="I197" s="212"/>
      <c r="J197" s="212"/>
      <c r="K197" s="46"/>
      <c r="L197" s="46"/>
      <c r="M197" s="255"/>
      <c r="N197" s="200"/>
      <c r="O197" s="46"/>
      <c r="P197" s="46"/>
      <c r="Q197" s="46"/>
      <c r="R197" s="46"/>
      <c r="S197" s="33"/>
      <c r="T197" s="264"/>
      <c r="U197" s="235"/>
      <c r="V197" s="260"/>
      <c r="W197" s="34"/>
    </row>
    <row r="198" spans="1:23" x14ac:dyDescent="0.4">
      <c r="A198" s="46"/>
      <c r="B198" s="211"/>
      <c r="C198" s="211"/>
      <c r="D198" s="33"/>
      <c r="E198" s="33"/>
      <c r="F198" s="33"/>
      <c r="G198" s="33"/>
      <c r="H198" s="33"/>
      <c r="I198" s="212"/>
      <c r="J198" s="212"/>
      <c r="K198" s="46"/>
      <c r="L198" s="46"/>
      <c r="M198" s="255"/>
      <c r="N198" s="200"/>
      <c r="O198" s="46"/>
      <c r="P198" s="46"/>
      <c r="Q198" s="46"/>
      <c r="R198" s="46"/>
      <c r="S198" s="33"/>
      <c r="T198" s="264"/>
      <c r="U198" s="235"/>
      <c r="V198" s="260"/>
      <c r="W198" s="34"/>
    </row>
    <row r="199" spans="1:23" x14ac:dyDescent="0.4">
      <c r="A199" s="46"/>
      <c r="B199" s="211"/>
      <c r="C199" s="211"/>
      <c r="D199" s="33"/>
      <c r="E199" s="33"/>
      <c r="F199" s="33"/>
      <c r="G199" s="33"/>
      <c r="H199" s="33"/>
      <c r="I199" s="212"/>
      <c r="J199" s="212"/>
      <c r="K199" s="46"/>
      <c r="L199" s="46"/>
      <c r="M199" s="255"/>
      <c r="N199" s="200"/>
      <c r="O199" s="46"/>
      <c r="P199" s="46"/>
      <c r="Q199" s="46"/>
      <c r="R199" s="46"/>
      <c r="S199" s="33"/>
      <c r="T199" s="264"/>
      <c r="U199" s="235"/>
      <c r="V199" s="260"/>
      <c r="W199" s="34"/>
    </row>
    <row r="200" spans="1:23" x14ac:dyDescent="0.4">
      <c r="A200" s="46"/>
      <c r="B200" s="211"/>
      <c r="C200" s="211"/>
      <c r="D200" s="33"/>
      <c r="E200" s="33"/>
      <c r="F200" s="33"/>
      <c r="G200" s="33"/>
      <c r="H200" s="33"/>
      <c r="I200" s="212"/>
      <c r="J200" s="212"/>
      <c r="K200" s="46"/>
      <c r="L200" s="46"/>
      <c r="M200" s="255"/>
      <c r="N200" s="200"/>
      <c r="O200" s="46"/>
      <c r="P200" s="46"/>
      <c r="Q200" s="46"/>
      <c r="R200" s="46"/>
      <c r="S200" s="33"/>
      <c r="T200" s="264"/>
      <c r="U200" s="235"/>
      <c r="V200" s="260"/>
      <c r="W200" s="34"/>
    </row>
    <row r="201" spans="1:23" x14ac:dyDescent="0.4">
      <c r="A201" s="46"/>
      <c r="B201" s="211"/>
      <c r="C201" s="211"/>
      <c r="D201" s="33"/>
      <c r="E201" s="33"/>
      <c r="F201" s="33"/>
      <c r="G201" s="33"/>
      <c r="H201" s="33"/>
      <c r="I201" s="212"/>
      <c r="J201" s="212"/>
      <c r="K201" s="46"/>
      <c r="L201" s="46"/>
      <c r="M201" s="255"/>
      <c r="N201" s="200"/>
      <c r="O201" s="46"/>
      <c r="P201" s="46"/>
      <c r="Q201" s="46"/>
      <c r="R201" s="46"/>
      <c r="S201" s="33"/>
      <c r="T201" s="264"/>
      <c r="U201" s="235"/>
      <c r="V201" s="260"/>
      <c r="W201" s="34"/>
    </row>
    <row r="202" spans="1:23" x14ac:dyDescent="0.4">
      <c r="A202" s="46"/>
      <c r="B202" s="211"/>
      <c r="C202" s="211"/>
      <c r="D202" s="33"/>
      <c r="E202" s="33"/>
      <c r="F202" s="33"/>
      <c r="G202" s="33"/>
      <c r="H202" s="33"/>
      <c r="I202" s="212"/>
      <c r="J202" s="212"/>
      <c r="K202" s="46"/>
      <c r="L202" s="46"/>
      <c r="M202" s="255"/>
      <c r="N202" s="200"/>
      <c r="O202" s="46"/>
      <c r="P202" s="46"/>
      <c r="Q202" s="46"/>
      <c r="R202" s="46"/>
      <c r="S202" s="33"/>
      <c r="T202" s="264"/>
      <c r="U202" s="235"/>
      <c r="V202" s="260"/>
      <c r="W202" s="34"/>
    </row>
    <row r="203" spans="1:23" x14ac:dyDescent="0.4">
      <c r="A203" s="46"/>
      <c r="B203" s="211"/>
      <c r="C203" s="211"/>
      <c r="D203" s="33"/>
      <c r="E203" s="33"/>
      <c r="F203" s="33"/>
      <c r="G203" s="33"/>
      <c r="H203" s="33"/>
      <c r="I203" s="212"/>
      <c r="J203" s="212"/>
      <c r="K203" s="46"/>
      <c r="L203" s="46"/>
      <c r="M203" s="255"/>
      <c r="N203" s="200"/>
      <c r="O203" s="46"/>
      <c r="P203" s="46"/>
      <c r="Q203" s="46"/>
      <c r="R203" s="46"/>
      <c r="S203" s="33"/>
      <c r="T203" s="264"/>
      <c r="U203" s="235"/>
      <c r="V203" s="260"/>
      <c r="W203" s="34"/>
    </row>
    <row r="204" spans="1:23" x14ac:dyDescent="0.4">
      <c r="A204" s="46"/>
      <c r="B204" s="211"/>
      <c r="C204" s="211"/>
      <c r="D204" s="33"/>
      <c r="E204" s="33"/>
      <c r="F204" s="33"/>
      <c r="G204" s="33"/>
      <c r="H204" s="33"/>
      <c r="I204" s="212"/>
      <c r="J204" s="212"/>
      <c r="K204" s="46"/>
      <c r="L204" s="46"/>
      <c r="M204" s="255"/>
      <c r="N204" s="200"/>
      <c r="O204" s="46"/>
      <c r="P204" s="46"/>
      <c r="Q204" s="46"/>
      <c r="R204" s="46"/>
      <c r="S204" s="33"/>
      <c r="T204" s="264"/>
      <c r="U204" s="235"/>
      <c r="V204" s="260"/>
      <c r="W204" s="34"/>
    </row>
    <row r="205" spans="1:23" x14ac:dyDescent="0.4">
      <c r="A205" s="46"/>
      <c r="B205" s="211"/>
      <c r="C205" s="211"/>
      <c r="D205" s="33"/>
      <c r="E205" s="33"/>
      <c r="F205" s="33"/>
      <c r="G205" s="33"/>
      <c r="H205" s="33"/>
      <c r="I205" s="212"/>
      <c r="J205" s="212"/>
      <c r="K205" s="46"/>
      <c r="L205" s="46"/>
      <c r="M205" s="255"/>
      <c r="N205" s="200"/>
      <c r="O205" s="46"/>
      <c r="P205" s="46"/>
      <c r="Q205" s="46"/>
      <c r="R205" s="46"/>
      <c r="S205" s="33"/>
      <c r="T205" s="264"/>
      <c r="U205" s="235"/>
      <c r="V205" s="260"/>
      <c r="W205" s="34"/>
    </row>
    <row r="206" spans="1:23" x14ac:dyDescent="0.4">
      <c r="A206" s="46"/>
      <c r="B206" s="211"/>
      <c r="C206" s="211"/>
      <c r="D206" s="33"/>
      <c r="E206" s="33"/>
      <c r="F206" s="33"/>
      <c r="G206" s="33"/>
      <c r="H206" s="33"/>
      <c r="I206" s="212"/>
      <c r="J206" s="212"/>
      <c r="K206" s="46"/>
      <c r="L206" s="46"/>
      <c r="M206" s="255"/>
      <c r="N206" s="200"/>
      <c r="O206" s="46"/>
      <c r="P206" s="46"/>
      <c r="Q206" s="46"/>
      <c r="R206" s="46"/>
      <c r="S206" s="33"/>
      <c r="T206" s="264"/>
      <c r="U206" s="235"/>
      <c r="V206" s="260"/>
      <c r="W206" s="34"/>
    </row>
    <row r="207" spans="1:23" x14ac:dyDescent="0.4">
      <c r="A207" s="46"/>
      <c r="B207" s="211"/>
      <c r="C207" s="211"/>
      <c r="D207" s="33"/>
      <c r="E207" s="33"/>
      <c r="F207" s="33"/>
      <c r="G207" s="33"/>
      <c r="H207" s="33"/>
      <c r="I207" s="212"/>
      <c r="J207" s="212"/>
      <c r="K207" s="46"/>
      <c r="L207" s="46"/>
      <c r="M207" s="255"/>
      <c r="N207" s="200"/>
      <c r="O207" s="46"/>
      <c r="P207" s="46"/>
      <c r="Q207" s="46"/>
      <c r="R207" s="46"/>
      <c r="S207" s="33"/>
      <c r="T207" s="264"/>
      <c r="U207" s="235"/>
      <c r="V207" s="260"/>
      <c r="W207" s="34"/>
    </row>
    <row r="208" spans="1:23" x14ac:dyDescent="0.4">
      <c r="A208" s="46"/>
      <c r="B208" s="211"/>
      <c r="C208" s="211"/>
      <c r="D208" s="33"/>
      <c r="E208" s="33"/>
      <c r="F208" s="33"/>
      <c r="G208" s="33"/>
      <c r="H208" s="33"/>
      <c r="I208" s="212"/>
      <c r="J208" s="212"/>
      <c r="K208" s="46"/>
      <c r="L208" s="46"/>
      <c r="M208" s="255"/>
      <c r="N208" s="200"/>
      <c r="O208" s="46"/>
      <c r="P208" s="46"/>
      <c r="Q208" s="46"/>
      <c r="R208" s="46"/>
      <c r="S208" s="33"/>
      <c r="T208" s="264"/>
      <c r="U208" s="235"/>
      <c r="V208" s="260"/>
      <c r="W208" s="34"/>
    </row>
    <row r="209" spans="1:23" x14ac:dyDescent="0.4">
      <c r="A209" s="46"/>
      <c r="B209" s="211"/>
      <c r="C209" s="211"/>
      <c r="D209" s="33"/>
      <c r="E209" s="33"/>
      <c r="F209" s="33"/>
      <c r="G209" s="33"/>
      <c r="H209" s="33"/>
      <c r="I209" s="212"/>
      <c r="J209" s="212"/>
      <c r="K209" s="46"/>
      <c r="L209" s="46"/>
      <c r="M209" s="255"/>
      <c r="N209" s="200"/>
      <c r="O209" s="46"/>
      <c r="P209" s="46"/>
      <c r="Q209" s="46"/>
      <c r="R209" s="46"/>
      <c r="S209" s="33"/>
      <c r="T209" s="264"/>
      <c r="U209" s="235"/>
      <c r="V209" s="260"/>
      <c r="W209" s="34"/>
    </row>
    <row r="210" spans="1:23" x14ac:dyDescent="0.4">
      <c r="A210" s="46"/>
      <c r="B210" s="211"/>
      <c r="C210" s="211"/>
      <c r="D210" s="33"/>
      <c r="E210" s="33"/>
      <c r="F210" s="33"/>
      <c r="G210" s="33"/>
      <c r="H210" s="33"/>
      <c r="I210" s="212"/>
      <c r="J210" s="212"/>
      <c r="K210" s="46"/>
      <c r="L210" s="46"/>
      <c r="M210" s="255"/>
      <c r="N210" s="200"/>
      <c r="O210" s="46"/>
      <c r="P210" s="46"/>
      <c r="Q210" s="46"/>
      <c r="R210" s="46"/>
      <c r="S210" s="33"/>
      <c r="T210" s="264"/>
      <c r="U210" s="235"/>
      <c r="V210" s="260"/>
      <c r="W210" s="34"/>
    </row>
    <row r="211" spans="1:23" x14ac:dyDescent="0.4">
      <c r="A211" s="46"/>
      <c r="B211" s="211"/>
      <c r="C211" s="211"/>
      <c r="D211" s="33"/>
      <c r="E211" s="33"/>
      <c r="F211" s="33"/>
      <c r="G211" s="33"/>
      <c r="H211" s="33"/>
      <c r="I211" s="212"/>
      <c r="J211" s="212"/>
      <c r="K211" s="46"/>
      <c r="L211" s="46"/>
      <c r="M211" s="255"/>
      <c r="N211" s="200"/>
      <c r="O211" s="46"/>
      <c r="P211" s="46"/>
      <c r="Q211" s="46"/>
      <c r="R211" s="46"/>
      <c r="S211" s="33"/>
      <c r="T211" s="264"/>
      <c r="U211" s="235"/>
      <c r="V211" s="260"/>
      <c r="W211" s="34"/>
    </row>
    <row r="212" spans="1:23" x14ac:dyDescent="0.4">
      <c r="A212" s="46"/>
      <c r="B212" s="211"/>
      <c r="C212" s="211"/>
      <c r="D212" s="33"/>
      <c r="E212" s="33"/>
      <c r="F212" s="33"/>
      <c r="G212" s="33"/>
      <c r="H212" s="33"/>
      <c r="I212" s="212"/>
      <c r="J212" s="212"/>
      <c r="K212" s="46"/>
      <c r="L212" s="46"/>
      <c r="M212" s="255"/>
      <c r="N212" s="200"/>
      <c r="O212" s="46"/>
      <c r="P212" s="46"/>
      <c r="Q212" s="46"/>
      <c r="R212" s="46"/>
      <c r="S212" s="33"/>
      <c r="T212" s="264"/>
      <c r="U212" s="235"/>
      <c r="V212" s="260"/>
      <c r="W212" s="34"/>
    </row>
    <row r="213" spans="1:23" x14ac:dyDescent="0.4">
      <c r="A213" s="46"/>
      <c r="B213" s="211"/>
      <c r="C213" s="211"/>
      <c r="D213" s="33"/>
      <c r="E213" s="33"/>
      <c r="F213" s="33"/>
      <c r="G213" s="33"/>
      <c r="H213" s="33"/>
      <c r="I213" s="212"/>
      <c r="J213" s="212"/>
      <c r="K213" s="46"/>
      <c r="L213" s="46"/>
      <c r="M213" s="255"/>
      <c r="N213" s="200"/>
      <c r="O213" s="46"/>
      <c r="P213" s="46"/>
      <c r="Q213" s="46"/>
      <c r="R213" s="46"/>
      <c r="S213" s="33"/>
      <c r="T213" s="264"/>
      <c r="U213" s="235"/>
      <c r="V213" s="260"/>
      <c r="W213" s="34"/>
    </row>
    <row r="214" spans="1:23" x14ac:dyDescent="0.4">
      <c r="A214" s="46"/>
      <c r="B214" s="211"/>
      <c r="C214" s="211"/>
      <c r="D214" s="33"/>
      <c r="E214" s="33"/>
      <c r="F214" s="33"/>
      <c r="G214" s="33"/>
      <c r="H214" s="33"/>
      <c r="I214" s="212"/>
      <c r="J214" s="212"/>
      <c r="K214" s="46"/>
      <c r="L214" s="46"/>
      <c r="M214" s="255"/>
      <c r="N214" s="200"/>
      <c r="O214" s="46"/>
      <c r="P214" s="46"/>
      <c r="Q214" s="46"/>
      <c r="R214" s="46"/>
      <c r="S214" s="33"/>
      <c r="T214" s="264"/>
      <c r="U214" s="235"/>
      <c r="V214" s="260"/>
      <c r="W214" s="34"/>
    </row>
    <row r="215" spans="1:23" x14ac:dyDescent="0.4">
      <c r="A215" s="46"/>
      <c r="B215" s="211"/>
      <c r="C215" s="211"/>
      <c r="D215" s="33"/>
      <c r="E215" s="33"/>
      <c r="F215" s="33"/>
      <c r="G215" s="33"/>
      <c r="H215" s="33"/>
      <c r="I215" s="212"/>
      <c r="J215" s="212"/>
      <c r="K215" s="46"/>
      <c r="L215" s="46"/>
      <c r="M215" s="255"/>
      <c r="N215" s="200"/>
      <c r="O215" s="46"/>
      <c r="P215" s="46"/>
      <c r="Q215" s="46"/>
      <c r="R215" s="46"/>
      <c r="S215" s="33"/>
      <c r="T215" s="264"/>
      <c r="U215" s="235"/>
      <c r="V215" s="260"/>
      <c r="W215" s="34"/>
    </row>
    <row r="216" spans="1:23" x14ac:dyDescent="0.4">
      <c r="A216" s="46"/>
      <c r="B216" s="211"/>
      <c r="C216" s="211"/>
      <c r="D216" s="33"/>
      <c r="E216" s="33"/>
      <c r="F216" s="33"/>
      <c r="G216" s="33"/>
      <c r="H216" s="33"/>
      <c r="I216" s="212"/>
      <c r="J216" s="212"/>
      <c r="K216" s="46"/>
      <c r="L216" s="46"/>
      <c r="M216" s="255"/>
      <c r="N216" s="200"/>
      <c r="O216" s="46"/>
      <c r="P216" s="46"/>
      <c r="Q216" s="46"/>
      <c r="R216" s="46"/>
      <c r="S216" s="33"/>
      <c r="T216" s="264"/>
      <c r="U216" s="235"/>
      <c r="V216" s="260"/>
      <c r="W216" s="34"/>
    </row>
    <row r="217" spans="1:23" x14ac:dyDescent="0.4">
      <c r="A217" s="46"/>
      <c r="B217" s="211"/>
      <c r="C217" s="211"/>
      <c r="D217" s="33"/>
      <c r="E217" s="33"/>
      <c r="F217" s="33"/>
      <c r="G217" s="33"/>
      <c r="H217" s="33"/>
      <c r="I217" s="212"/>
      <c r="J217" s="212"/>
      <c r="K217" s="46"/>
      <c r="L217" s="46"/>
      <c r="M217" s="255"/>
      <c r="N217" s="200"/>
      <c r="O217" s="46"/>
      <c r="P217" s="46"/>
      <c r="Q217" s="46"/>
      <c r="R217" s="46"/>
      <c r="S217" s="33"/>
      <c r="T217" s="264"/>
      <c r="U217" s="235"/>
      <c r="V217" s="260"/>
      <c r="W217" s="34"/>
    </row>
    <row r="218" spans="1:23" x14ac:dyDescent="0.4">
      <c r="A218" s="46"/>
      <c r="B218" s="211"/>
      <c r="C218" s="211"/>
      <c r="D218" s="33"/>
      <c r="E218" s="33"/>
      <c r="F218" s="33"/>
      <c r="G218" s="33"/>
      <c r="H218" s="33"/>
      <c r="I218" s="212"/>
      <c r="J218" s="212"/>
      <c r="K218" s="46"/>
      <c r="L218" s="46"/>
      <c r="M218" s="255"/>
      <c r="N218" s="200"/>
      <c r="O218" s="46"/>
      <c r="P218" s="46"/>
      <c r="Q218" s="46"/>
      <c r="R218" s="46"/>
      <c r="S218" s="33"/>
      <c r="T218" s="264"/>
      <c r="U218" s="235"/>
      <c r="V218" s="260"/>
      <c r="W218" s="34"/>
    </row>
    <row r="219" spans="1:23" x14ac:dyDescent="0.4">
      <c r="A219" s="46"/>
      <c r="B219" s="211"/>
      <c r="C219" s="211"/>
      <c r="D219" s="33"/>
      <c r="E219" s="33"/>
      <c r="F219" s="33"/>
      <c r="G219" s="33"/>
      <c r="H219" s="33"/>
      <c r="I219" s="212"/>
      <c r="J219" s="212"/>
      <c r="K219" s="46"/>
      <c r="L219" s="46"/>
      <c r="M219" s="255"/>
      <c r="N219" s="200"/>
      <c r="O219" s="46"/>
      <c r="P219" s="46"/>
      <c r="Q219" s="46"/>
      <c r="R219" s="46"/>
      <c r="S219" s="33"/>
      <c r="T219" s="264"/>
      <c r="U219" s="235"/>
      <c r="V219" s="260"/>
      <c r="W219" s="34"/>
    </row>
    <row r="220" spans="1:23" x14ac:dyDescent="0.4">
      <c r="A220" s="46"/>
      <c r="B220" s="211"/>
      <c r="C220" s="211"/>
      <c r="D220" s="33"/>
      <c r="E220" s="33"/>
      <c r="F220" s="33"/>
      <c r="G220" s="33"/>
      <c r="H220" s="33"/>
      <c r="I220" s="212"/>
      <c r="J220" s="212"/>
      <c r="K220" s="46"/>
      <c r="L220" s="46"/>
      <c r="M220" s="255"/>
      <c r="N220" s="200"/>
      <c r="O220" s="46"/>
      <c r="P220" s="46"/>
      <c r="Q220" s="46"/>
      <c r="R220" s="46"/>
      <c r="S220" s="33"/>
      <c r="T220" s="264"/>
      <c r="U220" s="235"/>
      <c r="V220" s="260"/>
      <c r="W220" s="34"/>
    </row>
    <row r="221" spans="1:23" x14ac:dyDescent="0.4">
      <c r="A221" s="46"/>
      <c r="B221" s="211"/>
      <c r="C221" s="211"/>
      <c r="D221" s="33"/>
      <c r="E221" s="33"/>
      <c r="F221" s="33"/>
      <c r="G221" s="33"/>
      <c r="H221" s="33"/>
      <c r="I221" s="212"/>
      <c r="J221" s="212"/>
      <c r="K221" s="46"/>
      <c r="L221" s="46"/>
      <c r="M221" s="255"/>
      <c r="N221" s="200"/>
      <c r="O221" s="46"/>
      <c r="P221" s="46"/>
      <c r="Q221" s="46"/>
      <c r="R221" s="46"/>
      <c r="S221" s="33"/>
      <c r="T221" s="264"/>
      <c r="U221" s="235"/>
      <c r="V221" s="260"/>
      <c r="W221" s="34"/>
    </row>
    <row r="222" spans="1:23" x14ac:dyDescent="0.4">
      <c r="A222" s="46"/>
      <c r="B222" s="211"/>
      <c r="C222" s="211"/>
      <c r="D222" s="33"/>
      <c r="E222" s="33"/>
      <c r="F222" s="33"/>
      <c r="G222" s="33"/>
      <c r="H222" s="33"/>
      <c r="I222" s="212"/>
      <c r="J222" s="212"/>
      <c r="K222" s="46"/>
      <c r="L222" s="46"/>
      <c r="M222" s="255"/>
      <c r="N222" s="200"/>
      <c r="O222" s="46"/>
      <c r="P222" s="46"/>
      <c r="Q222" s="46"/>
      <c r="R222" s="46"/>
      <c r="S222" s="33"/>
      <c r="T222" s="264"/>
      <c r="U222" s="235"/>
      <c r="V222" s="260"/>
      <c r="W222" s="34"/>
    </row>
    <row r="223" spans="1:23" x14ac:dyDescent="0.4">
      <c r="A223" s="46"/>
      <c r="B223" s="211"/>
      <c r="C223" s="211"/>
      <c r="D223" s="33"/>
      <c r="E223" s="33"/>
      <c r="F223" s="33"/>
      <c r="G223" s="33"/>
      <c r="H223" s="33"/>
      <c r="I223" s="212"/>
      <c r="J223" s="212"/>
      <c r="K223" s="46"/>
      <c r="L223" s="46"/>
      <c r="M223" s="255"/>
      <c r="N223" s="200"/>
      <c r="O223" s="46"/>
      <c r="P223" s="46"/>
      <c r="Q223" s="46"/>
      <c r="R223" s="46"/>
      <c r="S223" s="33"/>
      <c r="T223" s="264"/>
      <c r="U223" s="235"/>
      <c r="V223" s="260"/>
      <c r="W223" s="34"/>
    </row>
    <row r="224" spans="1:23" x14ac:dyDescent="0.4">
      <c r="A224" s="46"/>
      <c r="B224" s="211"/>
      <c r="C224" s="211"/>
      <c r="D224" s="33"/>
      <c r="E224" s="33"/>
      <c r="F224" s="33"/>
      <c r="G224" s="33"/>
      <c r="H224" s="33"/>
      <c r="I224" s="212"/>
      <c r="J224" s="212"/>
      <c r="K224" s="46"/>
      <c r="L224" s="46"/>
      <c r="M224" s="255"/>
      <c r="N224" s="200"/>
      <c r="O224" s="46"/>
      <c r="P224" s="46"/>
      <c r="Q224" s="46"/>
      <c r="R224" s="46"/>
      <c r="S224" s="33"/>
      <c r="T224" s="264"/>
      <c r="U224" s="235"/>
      <c r="V224" s="260"/>
      <c r="W224" s="34"/>
    </row>
    <row r="225" spans="1:23" x14ac:dyDescent="0.4">
      <c r="A225" s="46"/>
      <c r="B225" s="211"/>
      <c r="C225" s="211"/>
      <c r="D225" s="33"/>
      <c r="E225" s="33"/>
      <c r="F225" s="33"/>
      <c r="G225" s="33"/>
      <c r="H225" s="33"/>
      <c r="I225" s="212"/>
      <c r="J225" s="212"/>
      <c r="K225" s="46"/>
      <c r="L225" s="46"/>
      <c r="M225" s="255"/>
      <c r="N225" s="200"/>
      <c r="O225" s="46"/>
      <c r="P225" s="46"/>
      <c r="Q225" s="46"/>
      <c r="R225" s="46"/>
      <c r="S225" s="33"/>
      <c r="T225" s="264"/>
      <c r="U225" s="235"/>
      <c r="V225" s="260"/>
      <c r="W225" s="34"/>
    </row>
    <row r="226" spans="1:23" x14ac:dyDescent="0.4">
      <c r="A226" s="46"/>
      <c r="B226" s="211"/>
      <c r="C226" s="211"/>
      <c r="D226" s="33"/>
      <c r="E226" s="33"/>
      <c r="F226" s="33"/>
      <c r="G226" s="33"/>
      <c r="H226" s="33"/>
      <c r="I226" s="212"/>
      <c r="J226" s="212"/>
      <c r="K226" s="46"/>
      <c r="L226" s="46"/>
      <c r="M226" s="255"/>
      <c r="N226" s="200"/>
      <c r="O226" s="46"/>
      <c r="P226" s="46"/>
      <c r="Q226" s="46"/>
      <c r="R226" s="46"/>
      <c r="S226" s="33"/>
      <c r="T226" s="264"/>
      <c r="U226" s="235"/>
      <c r="V226" s="260"/>
      <c r="W226" s="34"/>
    </row>
    <row r="227" spans="1:23" x14ac:dyDescent="0.4">
      <c r="A227" s="46"/>
      <c r="B227" s="211"/>
      <c r="C227" s="211"/>
      <c r="D227" s="33"/>
      <c r="E227" s="33"/>
      <c r="F227" s="33"/>
      <c r="G227" s="33"/>
      <c r="H227" s="33"/>
      <c r="I227" s="212"/>
      <c r="J227" s="212"/>
      <c r="K227" s="46"/>
      <c r="L227" s="46"/>
      <c r="M227" s="255"/>
      <c r="N227" s="200"/>
      <c r="O227" s="46"/>
      <c r="P227" s="46"/>
      <c r="Q227" s="46"/>
      <c r="R227" s="46"/>
      <c r="S227" s="33"/>
      <c r="T227" s="264"/>
      <c r="U227" s="235"/>
      <c r="V227" s="260"/>
      <c r="W227" s="34"/>
    </row>
    <row r="228" spans="1:23" x14ac:dyDescent="0.4">
      <c r="A228" s="46"/>
      <c r="B228" s="211"/>
      <c r="C228" s="211"/>
      <c r="D228" s="33"/>
      <c r="E228" s="33"/>
      <c r="F228" s="33"/>
      <c r="G228" s="33"/>
      <c r="H228" s="33"/>
      <c r="I228" s="212"/>
      <c r="J228" s="212"/>
      <c r="K228" s="46"/>
      <c r="L228" s="46"/>
      <c r="M228" s="255"/>
      <c r="N228" s="200"/>
      <c r="O228" s="46"/>
      <c r="P228" s="46"/>
      <c r="Q228" s="46"/>
      <c r="R228" s="46"/>
      <c r="S228" s="33"/>
      <c r="T228" s="264"/>
      <c r="U228" s="235"/>
      <c r="V228" s="260"/>
      <c r="W228" s="34"/>
    </row>
    <row r="229" spans="1:23" x14ac:dyDescent="0.4">
      <c r="A229" s="46"/>
      <c r="B229" s="211"/>
      <c r="C229" s="211"/>
      <c r="D229" s="33"/>
      <c r="E229" s="33"/>
      <c r="F229" s="33"/>
      <c r="G229" s="33"/>
      <c r="H229" s="33"/>
      <c r="I229" s="212"/>
      <c r="J229" s="212"/>
      <c r="K229" s="46"/>
      <c r="L229" s="46"/>
      <c r="M229" s="255"/>
      <c r="N229" s="200"/>
      <c r="O229" s="46"/>
      <c r="P229" s="46"/>
      <c r="Q229" s="46"/>
      <c r="R229" s="46"/>
      <c r="S229" s="33"/>
      <c r="T229" s="264"/>
      <c r="U229" s="235"/>
      <c r="V229" s="260"/>
      <c r="W229" s="34"/>
    </row>
    <row r="230" spans="1:23" x14ac:dyDescent="0.4">
      <c r="A230" s="46"/>
      <c r="B230" s="211"/>
      <c r="C230" s="211"/>
      <c r="D230" s="33"/>
      <c r="E230" s="33"/>
      <c r="F230" s="33"/>
      <c r="G230" s="33"/>
      <c r="H230" s="33"/>
      <c r="I230" s="212"/>
      <c r="J230" s="212"/>
      <c r="K230" s="46"/>
      <c r="L230" s="46"/>
      <c r="M230" s="255"/>
      <c r="N230" s="200"/>
      <c r="O230" s="46"/>
      <c r="P230" s="46"/>
      <c r="Q230" s="46"/>
      <c r="R230" s="46"/>
      <c r="S230" s="33"/>
      <c r="T230" s="264"/>
      <c r="U230" s="235"/>
      <c r="V230" s="260"/>
      <c r="W230" s="34"/>
    </row>
    <row r="231" spans="1:23" x14ac:dyDescent="0.4">
      <c r="A231" s="46"/>
      <c r="B231" s="211"/>
      <c r="C231" s="211"/>
      <c r="D231" s="33"/>
      <c r="E231" s="33"/>
      <c r="F231" s="33"/>
      <c r="G231" s="33"/>
      <c r="H231" s="33"/>
      <c r="I231" s="212"/>
      <c r="J231" s="212"/>
      <c r="K231" s="46"/>
      <c r="L231" s="46"/>
      <c r="M231" s="255"/>
      <c r="N231" s="200"/>
      <c r="O231" s="46"/>
      <c r="P231" s="46"/>
      <c r="Q231" s="46"/>
      <c r="R231" s="46"/>
      <c r="S231" s="33"/>
      <c r="T231" s="264"/>
      <c r="U231" s="235"/>
      <c r="V231" s="260"/>
      <c r="W231" s="34"/>
    </row>
    <row r="232" spans="1:23" x14ac:dyDescent="0.4">
      <c r="A232" s="46"/>
      <c r="B232" s="211"/>
      <c r="C232" s="211"/>
      <c r="D232" s="33"/>
      <c r="E232" s="33"/>
      <c r="F232" s="33"/>
      <c r="G232" s="33"/>
      <c r="H232" s="33"/>
      <c r="I232" s="212"/>
      <c r="J232" s="212"/>
      <c r="K232" s="46"/>
      <c r="L232" s="46"/>
      <c r="M232" s="255"/>
      <c r="N232" s="200"/>
      <c r="O232" s="46"/>
      <c r="P232" s="46"/>
      <c r="Q232" s="46"/>
      <c r="R232" s="46"/>
      <c r="S232" s="33"/>
      <c r="T232" s="264"/>
      <c r="U232" s="235"/>
      <c r="V232" s="260"/>
      <c r="W232" s="34"/>
    </row>
    <row r="233" spans="1:23" x14ac:dyDescent="0.4">
      <c r="A233" s="46"/>
      <c r="B233" s="211"/>
      <c r="C233" s="211"/>
      <c r="D233" s="33"/>
      <c r="E233" s="33"/>
      <c r="F233" s="33"/>
      <c r="G233" s="33"/>
      <c r="H233" s="33"/>
      <c r="I233" s="212"/>
      <c r="J233" s="212"/>
      <c r="K233" s="46"/>
      <c r="L233" s="46"/>
      <c r="M233" s="255"/>
      <c r="N233" s="200"/>
      <c r="O233" s="46"/>
      <c r="P233" s="46"/>
      <c r="Q233" s="46"/>
      <c r="R233" s="46"/>
      <c r="S233" s="33"/>
      <c r="T233" s="264"/>
      <c r="U233" s="235"/>
      <c r="V233" s="260"/>
      <c r="W233" s="34"/>
    </row>
    <row r="234" spans="1:23" x14ac:dyDescent="0.4">
      <c r="A234" s="46"/>
      <c r="B234" s="211"/>
      <c r="C234" s="211"/>
      <c r="D234" s="33"/>
      <c r="E234" s="33"/>
      <c r="F234" s="33"/>
      <c r="G234" s="33"/>
      <c r="H234" s="33"/>
      <c r="I234" s="212"/>
      <c r="J234" s="212"/>
      <c r="K234" s="46"/>
      <c r="L234" s="46"/>
      <c r="M234" s="255"/>
      <c r="N234" s="200"/>
      <c r="O234" s="46"/>
      <c r="P234" s="46"/>
      <c r="Q234" s="46"/>
      <c r="R234" s="46"/>
      <c r="S234" s="33"/>
      <c r="T234" s="264"/>
      <c r="U234" s="235"/>
      <c r="V234" s="260"/>
      <c r="W234" s="34"/>
    </row>
    <row r="235" spans="1:23" x14ac:dyDescent="0.4">
      <c r="A235" s="46"/>
      <c r="B235" s="211"/>
      <c r="C235" s="211"/>
      <c r="D235" s="33"/>
      <c r="E235" s="33"/>
      <c r="F235" s="33"/>
      <c r="G235" s="33"/>
      <c r="H235" s="33"/>
      <c r="I235" s="212"/>
      <c r="J235" s="212"/>
      <c r="K235" s="46"/>
      <c r="L235" s="46"/>
      <c r="M235" s="255"/>
      <c r="N235" s="200"/>
      <c r="O235" s="46"/>
      <c r="P235" s="46"/>
      <c r="Q235" s="46"/>
      <c r="R235" s="46"/>
      <c r="S235" s="33"/>
      <c r="T235" s="264"/>
      <c r="U235" s="235"/>
      <c r="V235" s="260"/>
      <c r="W235" s="34"/>
    </row>
    <row r="236" spans="1:23" x14ac:dyDescent="0.4">
      <c r="A236" s="46"/>
      <c r="B236" s="211"/>
      <c r="C236" s="211"/>
      <c r="D236" s="33"/>
      <c r="E236" s="33"/>
      <c r="F236" s="33"/>
      <c r="G236" s="33"/>
      <c r="H236" s="33"/>
      <c r="I236" s="212"/>
      <c r="J236" s="212"/>
      <c r="K236" s="46"/>
      <c r="L236" s="46"/>
      <c r="M236" s="255"/>
      <c r="N236" s="200"/>
      <c r="O236" s="46"/>
      <c r="P236" s="46"/>
      <c r="Q236" s="46"/>
      <c r="R236" s="46"/>
      <c r="S236" s="33"/>
      <c r="T236" s="264"/>
      <c r="U236" s="235"/>
      <c r="V236" s="260"/>
      <c r="W236" s="34"/>
    </row>
    <row r="237" spans="1:23" x14ac:dyDescent="0.4">
      <c r="A237" s="46"/>
      <c r="B237" s="211"/>
      <c r="C237" s="211"/>
      <c r="D237" s="33"/>
      <c r="E237" s="33"/>
      <c r="F237" s="33"/>
      <c r="G237" s="33"/>
      <c r="H237" s="33"/>
      <c r="I237" s="212"/>
      <c r="J237" s="212"/>
      <c r="K237" s="46"/>
      <c r="L237" s="46"/>
      <c r="M237" s="255"/>
      <c r="N237" s="200"/>
      <c r="O237" s="46"/>
      <c r="P237" s="46"/>
      <c r="Q237" s="46"/>
      <c r="R237" s="46"/>
      <c r="S237" s="33"/>
      <c r="T237" s="264"/>
      <c r="U237" s="235"/>
      <c r="V237" s="260"/>
      <c r="W237" s="34"/>
    </row>
    <row r="238" spans="1:23" x14ac:dyDescent="0.4">
      <c r="A238" s="46"/>
      <c r="B238" s="211"/>
      <c r="C238" s="211"/>
      <c r="D238" s="33"/>
      <c r="E238" s="33"/>
      <c r="F238" s="33"/>
      <c r="G238" s="33"/>
      <c r="H238" s="33"/>
      <c r="I238" s="212"/>
      <c r="J238" s="212"/>
      <c r="K238" s="46"/>
      <c r="L238" s="46"/>
      <c r="M238" s="255"/>
      <c r="N238" s="200"/>
      <c r="O238" s="46"/>
      <c r="P238" s="46"/>
      <c r="Q238" s="46"/>
      <c r="R238" s="46"/>
      <c r="S238" s="33"/>
      <c r="T238" s="264"/>
      <c r="U238" s="235"/>
      <c r="V238" s="260"/>
      <c r="W238" s="34"/>
    </row>
    <row r="239" spans="1:23" x14ac:dyDescent="0.4">
      <c r="A239" s="46"/>
      <c r="B239" s="211"/>
      <c r="C239" s="211"/>
      <c r="D239" s="33"/>
      <c r="E239" s="33"/>
      <c r="F239" s="33"/>
      <c r="G239" s="33"/>
      <c r="H239" s="33"/>
      <c r="I239" s="212"/>
      <c r="J239" s="212"/>
      <c r="K239" s="46"/>
      <c r="L239" s="46"/>
      <c r="M239" s="255"/>
      <c r="N239" s="200"/>
      <c r="O239" s="46"/>
      <c r="P239" s="46"/>
      <c r="Q239" s="46"/>
      <c r="R239" s="46"/>
      <c r="S239" s="33"/>
      <c r="T239" s="264"/>
      <c r="U239" s="235"/>
      <c r="V239" s="260"/>
      <c r="W239" s="34"/>
    </row>
    <row r="240" spans="1:23" x14ac:dyDescent="0.4">
      <c r="A240" s="46"/>
      <c r="B240" s="211"/>
      <c r="C240" s="211"/>
      <c r="D240" s="33"/>
      <c r="E240" s="33"/>
      <c r="F240" s="33"/>
      <c r="G240" s="33"/>
      <c r="H240" s="33"/>
      <c r="I240" s="212"/>
      <c r="J240" s="212"/>
      <c r="K240" s="46"/>
      <c r="L240" s="46"/>
      <c r="M240" s="255"/>
      <c r="N240" s="200"/>
      <c r="O240" s="46"/>
      <c r="P240" s="46"/>
      <c r="Q240" s="46"/>
      <c r="R240" s="46"/>
      <c r="S240" s="33"/>
      <c r="T240" s="264"/>
      <c r="U240" s="235"/>
      <c r="V240" s="260"/>
      <c r="W240" s="34"/>
    </row>
    <row r="241" spans="1:23" x14ac:dyDescent="0.4">
      <c r="A241" s="46"/>
      <c r="B241" s="211"/>
      <c r="C241" s="211"/>
      <c r="D241" s="33"/>
      <c r="E241" s="33"/>
      <c r="F241" s="33"/>
      <c r="G241" s="33"/>
      <c r="H241" s="33"/>
      <c r="I241" s="212"/>
      <c r="J241" s="212"/>
      <c r="K241" s="46"/>
      <c r="L241" s="46"/>
      <c r="M241" s="255"/>
      <c r="N241" s="200"/>
      <c r="O241" s="46"/>
      <c r="P241" s="46"/>
      <c r="Q241" s="46"/>
      <c r="R241" s="46"/>
      <c r="S241" s="33"/>
      <c r="T241" s="264"/>
      <c r="U241" s="235"/>
      <c r="V241" s="260"/>
      <c r="W241" s="34"/>
    </row>
    <row r="242" spans="1:23" x14ac:dyDescent="0.4">
      <c r="A242" s="46"/>
      <c r="B242" s="211"/>
      <c r="C242" s="211"/>
      <c r="D242" s="33"/>
      <c r="E242" s="33"/>
      <c r="F242" s="33"/>
      <c r="G242" s="33"/>
      <c r="H242" s="33"/>
      <c r="I242" s="212"/>
      <c r="J242" s="212"/>
      <c r="K242" s="46"/>
      <c r="L242" s="46"/>
      <c r="M242" s="255"/>
      <c r="N242" s="200"/>
      <c r="O242" s="46"/>
      <c r="P242" s="46"/>
      <c r="Q242" s="46"/>
      <c r="R242" s="46"/>
      <c r="S242" s="33"/>
      <c r="T242" s="264"/>
      <c r="U242" s="235"/>
      <c r="V242" s="260"/>
      <c r="W242" s="34"/>
    </row>
    <row r="243" spans="1:23" x14ac:dyDescent="0.4">
      <c r="A243" s="46"/>
      <c r="B243" s="211"/>
      <c r="C243" s="211"/>
      <c r="D243" s="33"/>
      <c r="E243" s="33"/>
      <c r="F243" s="33"/>
      <c r="G243" s="33"/>
      <c r="H243" s="33"/>
      <c r="I243" s="212"/>
      <c r="J243" s="212"/>
      <c r="K243" s="46"/>
      <c r="L243" s="46"/>
      <c r="M243" s="255"/>
      <c r="N243" s="200"/>
      <c r="O243" s="46"/>
      <c r="P243" s="46"/>
      <c r="Q243" s="46"/>
      <c r="R243" s="46"/>
      <c r="S243" s="33"/>
      <c r="T243" s="264"/>
      <c r="U243" s="235"/>
      <c r="V243" s="260"/>
      <c r="W243" s="34"/>
    </row>
    <row r="244" spans="1:23" x14ac:dyDescent="0.4">
      <c r="A244" s="46"/>
      <c r="B244" s="211"/>
      <c r="C244" s="211"/>
      <c r="D244" s="33"/>
      <c r="E244" s="33"/>
      <c r="F244" s="33"/>
      <c r="G244" s="33"/>
      <c r="H244" s="33"/>
      <c r="I244" s="212"/>
      <c r="J244" s="212"/>
      <c r="K244" s="46"/>
      <c r="L244" s="46"/>
      <c r="M244" s="255"/>
      <c r="N244" s="200"/>
      <c r="O244" s="46"/>
      <c r="P244" s="46"/>
      <c r="Q244" s="46"/>
      <c r="R244" s="46"/>
      <c r="S244" s="33"/>
      <c r="T244" s="264"/>
      <c r="U244" s="235"/>
      <c r="V244" s="260"/>
      <c r="W244" s="34"/>
    </row>
    <row r="245" spans="1:23" x14ac:dyDescent="0.4">
      <c r="A245" s="46"/>
      <c r="B245" s="211"/>
      <c r="C245" s="211"/>
      <c r="D245" s="33"/>
      <c r="E245" s="33"/>
      <c r="F245" s="33"/>
      <c r="G245" s="33"/>
      <c r="H245" s="33"/>
      <c r="I245" s="212"/>
      <c r="J245" s="212"/>
      <c r="K245" s="46"/>
      <c r="L245" s="46"/>
      <c r="M245" s="255"/>
      <c r="N245" s="200"/>
      <c r="O245" s="46"/>
      <c r="P245" s="46"/>
      <c r="Q245" s="46"/>
      <c r="R245" s="46"/>
      <c r="S245" s="33"/>
      <c r="T245" s="264"/>
      <c r="U245" s="235"/>
      <c r="V245" s="260"/>
      <c r="W245" s="34"/>
    </row>
    <row r="246" spans="1:23" x14ac:dyDescent="0.4">
      <c r="A246" s="46"/>
      <c r="B246" s="211"/>
      <c r="C246" s="211"/>
      <c r="D246" s="33"/>
      <c r="E246" s="33"/>
      <c r="F246" s="33"/>
      <c r="G246" s="33"/>
      <c r="H246" s="33"/>
      <c r="I246" s="212"/>
      <c r="J246" s="212"/>
      <c r="K246" s="46"/>
      <c r="L246" s="46"/>
      <c r="M246" s="255"/>
      <c r="N246" s="200"/>
      <c r="O246" s="46"/>
      <c r="P246" s="46"/>
      <c r="Q246" s="46"/>
      <c r="R246" s="46"/>
      <c r="S246" s="33"/>
      <c r="T246" s="264"/>
      <c r="U246" s="235"/>
      <c r="V246" s="260"/>
      <c r="W246" s="34"/>
    </row>
    <row r="247" spans="1:23" x14ac:dyDescent="0.4">
      <c r="A247" s="46"/>
      <c r="B247" s="211"/>
      <c r="C247" s="211"/>
      <c r="D247" s="33"/>
      <c r="E247" s="33"/>
      <c r="F247" s="33"/>
      <c r="G247" s="33"/>
      <c r="H247" s="33"/>
      <c r="I247" s="212"/>
      <c r="J247" s="212"/>
      <c r="K247" s="46"/>
      <c r="L247" s="46"/>
      <c r="M247" s="255"/>
      <c r="N247" s="200"/>
      <c r="O247" s="46"/>
      <c r="P247" s="46"/>
      <c r="Q247" s="46"/>
      <c r="R247" s="46"/>
      <c r="S247" s="33"/>
      <c r="T247" s="264"/>
      <c r="U247" s="235"/>
      <c r="V247" s="260"/>
      <c r="W247" s="34"/>
    </row>
    <row r="248" spans="1:23" x14ac:dyDescent="0.4">
      <c r="A248" s="46"/>
      <c r="B248" s="211"/>
      <c r="C248" s="211"/>
      <c r="D248" s="33"/>
      <c r="E248" s="33"/>
      <c r="F248" s="33"/>
      <c r="G248" s="33"/>
      <c r="H248" s="33"/>
      <c r="I248" s="212"/>
      <c r="J248" s="212"/>
      <c r="K248" s="46"/>
      <c r="L248" s="46"/>
      <c r="M248" s="255"/>
      <c r="N248" s="200"/>
      <c r="O248" s="46"/>
      <c r="P248" s="46"/>
      <c r="Q248" s="46"/>
      <c r="R248" s="46"/>
      <c r="S248" s="33"/>
      <c r="T248" s="264"/>
      <c r="U248" s="235"/>
      <c r="V248" s="260"/>
      <c r="W248" s="34"/>
    </row>
    <row r="249" spans="1:23" x14ac:dyDescent="0.4">
      <c r="A249" s="46"/>
      <c r="B249" s="211"/>
      <c r="C249" s="211"/>
      <c r="D249" s="33"/>
      <c r="E249" s="33"/>
      <c r="F249" s="33"/>
      <c r="G249" s="33"/>
      <c r="H249" s="33"/>
      <c r="I249" s="212"/>
      <c r="J249" s="212"/>
      <c r="K249" s="46"/>
      <c r="L249" s="46"/>
      <c r="M249" s="255"/>
      <c r="N249" s="200"/>
      <c r="O249" s="46"/>
      <c r="P249" s="46"/>
      <c r="Q249" s="46"/>
      <c r="R249" s="46"/>
      <c r="S249" s="33"/>
      <c r="T249" s="264"/>
      <c r="U249" s="235"/>
      <c r="V249" s="260"/>
      <c r="W249" s="34"/>
    </row>
    <row r="250" spans="1:23" x14ac:dyDescent="0.4">
      <c r="A250" s="46"/>
      <c r="B250" s="211"/>
      <c r="C250" s="211"/>
      <c r="D250" s="33"/>
      <c r="E250" s="33"/>
      <c r="F250" s="33"/>
      <c r="G250" s="33"/>
      <c r="H250" s="33"/>
      <c r="I250" s="212"/>
      <c r="J250" s="212"/>
      <c r="K250" s="46"/>
      <c r="L250" s="46"/>
      <c r="M250" s="255"/>
      <c r="N250" s="200"/>
      <c r="O250" s="46"/>
      <c r="P250" s="46"/>
      <c r="Q250" s="46"/>
      <c r="R250" s="46"/>
      <c r="S250" s="33"/>
      <c r="T250" s="264"/>
      <c r="U250" s="235"/>
      <c r="V250" s="260"/>
      <c r="W250" s="34"/>
    </row>
    <row r="251" spans="1:23" x14ac:dyDescent="0.4">
      <c r="A251" s="46"/>
      <c r="B251" s="211"/>
      <c r="C251" s="211"/>
      <c r="D251" s="33"/>
      <c r="E251" s="33"/>
      <c r="F251" s="33"/>
      <c r="G251" s="33"/>
      <c r="H251" s="33"/>
      <c r="I251" s="212"/>
      <c r="J251" s="212"/>
      <c r="K251" s="46"/>
      <c r="L251" s="46"/>
      <c r="M251" s="255"/>
      <c r="N251" s="200"/>
      <c r="O251" s="46"/>
      <c r="P251" s="46"/>
      <c r="Q251" s="46"/>
      <c r="R251" s="46"/>
      <c r="S251" s="33"/>
      <c r="T251" s="264"/>
      <c r="U251" s="235"/>
      <c r="V251" s="260"/>
      <c r="W251" s="34"/>
    </row>
    <row r="252" spans="1:23" x14ac:dyDescent="0.4">
      <c r="A252" s="46"/>
      <c r="B252" s="211"/>
      <c r="C252" s="211"/>
      <c r="D252" s="33"/>
      <c r="E252" s="33"/>
      <c r="F252" s="33"/>
      <c r="G252" s="33"/>
      <c r="H252" s="33"/>
      <c r="I252" s="212"/>
      <c r="J252" s="212"/>
      <c r="K252" s="46"/>
      <c r="L252" s="46"/>
      <c r="M252" s="255"/>
      <c r="N252" s="200"/>
      <c r="O252" s="46"/>
      <c r="P252" s="46"/>
      <c r="Q252" s="46"/>
      <c r="R252" s="46"/>
      <c r="S252" s="33"/>
      <c r="T252" s="264"/>
      <c r="U252" s="235"/>
      <c r="V252" s="260"/>
      <c r="W252" s="34"/>
    </row>
    <row r="253" spans="1:23" x14ac:dyDescent="0.4">
      <c r="A253" s="46"/>
      <c r="B253" s="211"/>
      <c r="C253" s="211"/>
      <c r="D253" s="33"/>
      <c r="E253" s="33"/>
      <c r="F253" s="33"/>
      <c r="G253" s="33"/>
      <c r="H253" s="33"/>
      <c r="I253" s="212"/>
      <c r="J253" s="212"/>
      <c r="K253" s="46"/>
      <c r="L253" s="46"/>
      <c r="M253" s="255"/>
      <c r="N253" s="200"/>
      <c r="O253" s="46"/>
      <c r="P253" s="46"/>
      <c r="Q253" s="46"/>
      <c r="R253" s="46"/>
      <c r="S253" s="33"/>
      <c r="T253" s="264"/>
      <c r="U253" s="235"/>
      <c r="V253" s="260"/>
      <c r="W253" s="34"/>
    </row>
    <row r="254" spans="1:23" x14ac:dyDescent="0.4">
      <c r="A254" s="46"/>
      <c r="B254" s="211"/>
      <c r="C254" s="211"/>
      <c r="D254" s="33"/>
      <c r="E254" s="33"/>
      <c r="F254" s="33"/>
      <c r="G254" s="33"/>
      <c r="H254" s="33"/>
      <c r="I254" s="212"/>
      <c r="J254" s="212"/>
      <c r="K254" s="46"/>
      <c r="L254" s="46"/>
      <c r="M254" s="255"/>
      <c r="N254" s="200"/>
      <c r="O254" s="46"/>
      <c r="P254" s="46"/>
      <c r="Q254" s="46"/>
      <c r="R254" s="46"/>
      <c r="S254" s="33"/>
      <c r="T254" s="264"/>
      <c r="U254" s="235"/>
      <c r="V254" s="260"/>
      <c r="W254" s="34"/>
    </row>
    <row r="255" spans="1:23" x14ac:dyDescent="0.4">
      <c r="A255" s="46"/>
      <c r="B255" s="211"/>
      <c r="C255" s="211"/>
      <c r="D255" s="33"/>
      <c r="E255" s="33"/>
      <c r="F255" s="33"/>
      <c r="G255" s="33"/>
      <c r="H255" s="33"/>
      <c r="I255" s="212"/>
      <c r="J255" s="212"/>
      <c r="K255" s="46"/>
      <c r="L255" s="46"/>
      <c r="M255" s="255"/>
      <c r="N255" s="200"/>
      <c r="O255" s="46"/>
      <c r="P255" s="46"/>
      <c r="Q255" s="46"/>
      <c r="R255" s="46"/>
      <c r="S255" s="33"/>
      <c r="T255" s="264"/>
      <c r="U255" s="235"/>
      <c r="V255" s="260"/>
      <c r="W255" s="34"/>
    </row>
    <row r="256" spans="1:23" x14ac:dyDescent="0.4">
      <c r="A256" s="46"/>
      <c r="B256" s="211"/>
      <c r="C256" s="211"/>
      <c r="D256" s="33"/>
      <c r="E256" s="33"/>
      <c r="F256" s="33"/>
      <c r="G256" s="33"/>
      <c r="H256" s="33"/>
      <c r="I256" s="212"/>
      <c r="J256" s="212"/>
      <c r="K256" s="46"/>
      <c r="L256" s="46"/>
      <c r="M256" s="255"/>
      <c r="N256" s="200"/>
      <c r="O256" s="46"/>
      <c r="P256" s="46"/>
      <c r="Q256" s="46"/>
      <c r="R256" s="46"/>
      <c r="S256" s="33"/>
      <c r="T256" s="264"/>
      <c r="U256" s="235"/>
      <c r="V256" s="260"/>
      <c r="W256" s="34"/>
    </row>
    <row r="257" spans="1:23" x14ac:dyDescent="0.4">
      <c r="A257" s="46"/>
      <c r="B257" s="211"/>
      <c r="C257" s="211"/>
      <c r="D257" s="33"/>
      <c r="E257" s="33"/>
      <c r="F257" s="33"/>
      <c r="G257" s="33"/>
      <c r="H257" s="33"/>
      <c r="I257" s="212"/>
      <c r="J257" s="212"/>
      <c r="K257" s="46"/>
      <c r="L257" s="46"/>
      <c r="M257" s="255"/>
      <c r="N257" s="200"/>
      <c r="O257" s="46"/>
      <c r="P257" s="46"/>
      <c r="Q257" s="46"/>
      <c r="R257" s="46"/>
      <c r="S257" s="33"/>
      <c r="T257" s="264"/>
      <c r="U257" s="235"/>
      <c r="V257" s="260"/>
      <c r="W257" s="34"/>
    </row>
    <row r="258" spans="1:23" x14ac:dyDescent="0.4">
      <c r="A258" s="46"/>
      <c r="B258" s="211"/>
      <c r="C258" s="211"/>
      <c r="D258" s="33"/>
      <c r="E258" s="33"/>
      <c r="F258" s="33"/>
      <c r="G258" s="33"/>
      <c r="H258" s="33"/>
      <c r="I258" s="212"/>
      <c r="J258" s="212"/>
      <c r="K258" s="46"/>
      <c r="L258" s="46"/>
      <c r="M258" s="255"/>
      <c r="N258" s="200"/>
      <c r="O258" s="46"/>
      <c r="P258" s="46"/>
      <c r="Q258" s="46"/>
      <c r="R258" s="46"/>
      <c r="S258" s="33"/>
      <c r="T258" s="264"/>
      <c r="U258" s="235"/>
      <c r="V258" s="260"/>
      <c r="W258" s="34"/>
    </row>
    <row r="259" spans="1:23" x14ac:dyDescent="0.4">
      <c r="A259" s="46"/>
      <c r="B259" s="211"/>
      <c r="C259" s="211"/>
      <c r="D259" s="33"/>
      <c r="E259" s="33"/>
      <c r="F259" s="33"/>
      <c r="G259" s="33"/>
      <c r="H259" s="33"/>
      <c r="I259" s="212"/>
      <c r="J259" s="212"/>
      <c r="K259" s="46"/>
      <c r="L259" s="46"/>
      <c r="M259" s="255"/>
      <c r="N259" s="200"/>
      <c r="O259" s="46"/>
      <c r="P259" s="46"/>
      <c r="Q259" s="46"/>
      <c r="R259" s="46"/>
      <c r="S259" s="33"/>
      <c r="T259" s="264"/>
      <c r="U259" s="235"/>
      <c r="V259" s="260"/>
      <c r="W259" s="34"/>
    </row>
    <row r="260" spans="1:23" x14ac:dyDescent="0.4">
      <c r="A260" s="46"/>
      <c r="B260" s="211"/>
      <c r="C260" s="211"/>
      <c r="D260" s="33"/>
      <c r="E260" s="33"/>
      <c r="F260" s="33"/>
      <c r="G260" s="33"/>
      <c r="H260" s="33"/>
      <c r="I260" s="212"/>
      <c r="J260" s="212"/>
      <c r="K260" s="46"/>
      <c r="L260" s="46"/>
      <c r="M260" s="255"/>
      <c r="N260" s="200"/>
      <c r="O260" s="46"/>
      <c r="P260" s="46"/>
      <c r="Q260" s="46"/>
      <c r="R260" s="46"/>
      <c r="S260" s="33"/>
      <c r="T260" s="264"/>
      <c r="U260" s="235"/>
      <c r="V260" s="260"/>
      <c r="W260" s="34"/>
    </row>
    <row r="261" spans="1:23" x14ac:dyDescent="0.4">
      <c r="A261" s="46"/>
      <c r="B261" s="211"/>
      <c r="C261" s="211"/>
      <c r="D261" s="33"/>
      <c r="E261" s="33"/>
      <c r="F261" s="33"/>
      <c r="G261" s="33"/>
      <c r="H261" s="33"/>
      <c r="I261" s="212"/>
      <c r="J261" s="212"/>
      <c r="K261" s="46"/>
      <c r="L261" s="46"/>
      <c r="M261" s="255"/>
      <c r="N261" s="200"/>
      <c r="O261" s="46"/>
      <c r="P261" s="46"/>
      <c r="Q261" s="46"/>
      <c r="R261" s="46"/>
      <c r="S261" s="33"/>
      <c r="T261" s="264"/>
      <c r="U261" s="235"/>
      <c r="V261" s="260"/>
      <c r="W261" s="34"/>
    </row>
    <row r="262" spans="1:23" x14ac:dyDescent="0.4">
      <c r="A262" s="46"/>
      <c r="B262" s="211"/>
      <c r="C262" s="211"/>
      <c r="D262" s="33"/>
      <c r="E262" s="33"/>
      <c r="F262" s="33"/>
      <c r="G262" s="33"/>
      <c r="H262" s="33"/>
      <c r="I262" s="212"/>
      <c r="J262" s="212"/>
      <c r="K262" s="46"/>
      <c r="L262" s="46"/>
      <c r="M262" s="255"/>
      <c r="N262" s="200"/>
      <c r="O262" s="46"/>
      <c r="P262" s="46"/>
      <c r="Q262" s="46"/>
      <c r="R262" s="46"/>
      <c r="S262" s="33"/>
      <c r="T262" s="264"/>
      <c r="U262" s="235"/>
      <c r="V262" s="260"/>
      <c r="W262" s="34"/>
    </row>
    <row r="263" spans="1:23" x14ac:dyDescent="0.4">
      <c r="A263" s="46"/>
      <c r="B263" s="211"/>
      <c r="C263" s="211"/>
      <c r="D263" s="33"/>
      <c r="E263" s="33"/>
      <c r="F263" s="33"/>
      <c r="G263" s="33"/>
      <c r="H263" s="33"/>
      <c r="I263" s="212"/>
      <c r="J263" s="212"/>
      <c r="K263" s="46"/>
      <c r="L263" s="46"/>
      <c r="M263" s="255"/>
      <c r="N263" s="200"/>
      <c r="O263" s="46"/>
      <c r="P263" s="46"/>
      <c r="Q263" s="46"/>
      <c r="R263" s="46"/>
      <c r="S263" s="33"/>
      <c r="T263" s="264"/>
      <c r="U263" s="235"/>
      <c r="V263" s="260"/>
      <c r="W263" s="34"/>
    </row>
    <row r="264" spans="1:23" x14ac:dyDescent="0.4">
      <c r="A264" s="46"/>
      <c r="B264" s="211"/>
      <c r="C264" s="211"/>
      <c r="D264" s="33"/>
      <c r="E264" s="33"/>
      <c r="F264" s="33"/>
      <c r="G264" s="33"/>
      <c r="H264" s="33"/>
      <c r="I264" s="212"/>
      <c r="J264" s="212"/>
      <c r="K264" s="46"/>
      <c r="L264" s="46"/>
      <c r="M264" s="255"/>
      <c r="N264" s="200"/>
      <c r="O264" s="46"/>
      <c r="P264" s="46"/>
      <c r="Q264" s="46"/>
      <c r="R264" s="46"/>
      <c r="S264" s="33"/>
      <c r="T264" s="264"/>
      <c r="U264" s="235"/>
      <c r="V264" s="260"/>
      <c r="W264" s="34"/>
    </row>
    <row r="265" spans="1:23" x14ac:dyDescent="0.4">
      <c r="A265" s="46"/>
      <c r="B265" s="211"/>
      <c r="C265" s="211"/>
      <c r="D265" s="33"/>
      <c r="E265" s="33"/>
      <c r="F265" s="33"/>
      <c r="G265" s="33"/>
      <c r="H265" s="33"/>
      <c r="I265" s="212"/>
      <c r="J265" s="212"/>
      <c r="K265" s="46"/>
      <c r="L265" s="46"/>
      <c r="M265" s="255"/>
      <c r="N265" s="200"/>
      <c r="O265" s="46"/>
      <c r="P265" s="46"/>
      <c r="Q265" s="46"/>
      <c r="R265" s="46"/>
      <c r="S265" s="33"/>
      <c r="T265" s="264"/>
      <c r="U265" s="235"/>
      <c r="V265" s="260"/>
      <c r="W265" s="34"/>
    </row>
    <row r="266" spans="1:23" x14ac:dyDescent="0.4">
      <c r="A266" s="46"/>
      <c r="B266" s="211"/>
      <c r="C266" s="211"/>
      <c r="D266" s="33"/>
      <c r="E266" s="33"/>
      <c r="F266" s="33"/>
      <c r="G266" s="33"/>
      <c r="H266" s="33"/>
      <c r="I266" s="212"/>
      <c r="J266" s="212"/>
      <c r="K266" s="46"/>
      <c r="L266" s="46"/>
      <c r="M266" s="255"/>
      <c r="N266" s="200"/>
      <c r="O266" s="46"/>
      <c r="P266" s="46"/>
      <c r="Q266" s="46"/>
      <c r="R266" s="46"/>
      <c r="S266" s="33"/>
      <c r="T266" s="264"/>
      <c r="U266" s="235"/>
      <c r="V266" s="260"/>
      <c r="W266" s="34"/>
    </row>
    <row r="267" spans="1:23" x14ac:dyDescent="0.4">
      <c r="A267" s="46"/>
      <c r="B267" s="211"/>
      <c r="C267" s="211"/>
      <c r="D267" s="33"/>
      <c r="E267" s="33"/>
      <c r="F267" s="33"/>
      <c r="G267" s="33"/>
      <c r="H267" s="33"/>
      <c r="I267" s="212"/>
      <c r="J267" s="212"/>
      <c r="K267" s="46"/>
      <c r="L267" s="46"/>
      <c r="M267" s="255"/>
      <c r="N267" s="200"/>
      <c r="O267" s="46"/>
      <c r="P267" s="46"/>
      <c r="Q267" s="46"/>
      <c r="R267" s="46"/>
      <c r="S267" s="33"/>
      <c r="T267" s="264"/>
      <c r="U267" s="235"/>
      <c r="V267" s="260"/>
      <c r="W267" s="34"/>
    </row>
    <row r="268" spans="1:23" x14ac:dyDescent="0.4">
      <c r="A268" s="46"/>
      <c r="B268" s="211"/>
      <c r="C268" s="211"/>
      <c r="D268" s="33"/>
      <c r="E268" s="33"/>
      <c r="F268" s="33"/>
      <c r="G268" s="33"/>
      <c r="H268" s="33"/>
      <c r="I268" s="212"/>
      <c r="J268" s="212"/>
      <c r="K268" s="46"/>
      <c r="L268" s="46"/>
      <c r="M268" s="255"/>
      <c r="N268" s="200"/>
      <c r="O268" s="46"/>
      <c r="P268" s="46"/>
      <c r="Q268" s="46"/>
      <c r="R268" s="46"/>
      <c r="S268" s="33"/>
      <c r="T268" s="264"/>
      <c r="U268" s="235"/>
      <c r="V268" s="260"/>
      <c r="W268" s="34"/>
    </row>
    <row r="269" spans="1:23" x14ac:dyDescent="0.4">
      <c r="A269" s="46"/>
      <c r="B269" s="211"/>
      <c r="C269" s="211"/>
      <c r="D269" s="33"/>
      <c r="E269" s="33"/>
      <c r="F269" s="33"/>
      <c r="G269" s="33"/>
      <c r="H269" s="33"/>
      <c r="I269" s="212"/>
      <c r="J269" s="212"/>
      <c r="K269" s="46"/>
      <c r="L269" s="46"/>
      <c r="M269" s="255"/>
      <c r="N269" s="200"/>
      <c r="O269" s="46"/>
      <c r="P269" s="46"/>
      <c r="Q269" s="46"/>
      <c r="R269" s="46"/>
      <c r="S269" s="33"/>
      <c r="T269" s="264"/>
      <c r="U269" s="235"/>
      <c r="V269" s="260"/>
      <c r="W269" s="34"/>
    </row>
    <row r="270" spans="1:23" x14ac:dyDescent="0.4">
      <c r="A270" s="46"/>
      <c r="B270" s="211"/>
      <c r="C270" s="211"/>
      <c r="D270" s="33"/>
      <c r="E270" s="33"/>
      <c r="F270" s="33"/>
      <c r="G270" s="33"/>
      <c r="H270" s="33"/>
      <c r="I270" s="212"/>
      <c r="J270" s="212"/>
      <c r="K270" s="46"/>
      <c r="L270" s="46"/>
      <c r="M270" s="255"/>
      <c r="N270" s="200"/>
      <c r="O270" s="46"/>
      <c r="P270" s="46"/>
      <c r="Q270" s="46"/>
      <c r="R270" s="46"/>
      <c r="S270" s="33"/>
      <c r="T270" s="264"/>
      <c r="U270" s="235"/>
      <c r="V270" s="260"/>
      <c r="W270" s="34"/>
    </row>
    <row r="271" spans="1:23" x14ac:dyDescent="0.4">
      <c r="A271" s="46"/>
      <c r="B271" s="211"/>
      <c r="C271" s="211"/>
      <c r="D271" s="33"/>
      <c r="E271" s="33"/>
      <c r="F271" s="33"/>
      <c r="G271" s="33"/>
      <c r="H271" s="33"/>
      <c r="I271" s="212"/>
      <c r="J271" s="212"/>
      <c r="K271" s="46"/>
      <c r="L271" s="46"/>
      <c r="M271" s="255"/>
      <c r="N271" s="200"/>
      <c r="O271" s="46"/>
      <c r="P271" s="46"/>
      <c r="Q271" s="46"/>
      <c r="R271" s="46"/>
      <c r="S271" s="33"/>
      <c r="T271" s="264"/>
      <c r="U271" s="235"/>
      <c r="V271" s="260"/>
      <c r="W271" s="34"/>
    </row>
    <row r="272" spans="1:23" x14ac:dyDescent="0.4">
      <c r="A272" s="46"/>
      <c r="B272" s="211"/>
      <c r="C272" s="211"/>
      <c r="D272" s="33"/>
      <c r="E272" s="33"/>
      <c r="F272" s="33"/>
      <c r="G272" s="33"/>
      <c r="H272" s="33"/>
      <c r="I272" s="212"/>
      <c r="J272" s="212"/>
      <c r="K272" s="46"/>
      <c r="L272" s="46"/>
      <c r="M272" s="255"/>
      <c r="N272" s="200"/>
      <c r="O272" s="46"/>
      <c r="P272" s="46"/>
      <c r="Q272" s="46"/>
      <c r="R272" s="46"/>
      <c r="S272" s="33"/>
      <c r="T272" s="264"/>
      <c r="U272" s="235"/>
      <c r="V272" s="260"/>
      <c r="W272" s="34"/>
    </row>
    <row r="273" spans="1:23" x14ac:dyDescent="0.4">
      <c r="A273" s="46"/>
      <c r="B273" s="211"/>
      <c r="C273" s="211"/>
      <c r="D273" s="33"/>
      <c r="E273" s="33"/>
      <c r="F273" s="33"/>
      <c r="G273" s="33"/>
      <c r="H273" s="33"/>
      <c r="I273" s="212"/>
      <c r="J273" s="212"/>
      <c r="K273" s="46"/>
      <c r="L273" s="46"/>
      <c r="M273" s="255"/>
      <c r="N273" s="200"/>
      <c r="O273" s="46"/>
      <c r="P273" s="46"/>
      <c r="Q273" s="46"/>
      <c r="R273" s="46"/>
      <c r="S273" s="33"/>
      <c r="T273" s="264"/>
      <c r="U273" s="235"/>
      <c r="V273" s="260"/>
      <c r="W273" s="34"/>
    </row>
    <row r="274" spans="1:23" x14ac:dyDescent="0.4">
      <c r="A274" s="46"/>
      <c r="B274" s="211"/>
      <c r="C274" s="211"/>
      <c r="D274" s="33"/>
      <c r="E274" s="33"/>
      <c r="F274" s="33"/>
      <c r="G274" s="33"/>
      <c r="H274" s="33"/>
      <c r="I274" s="212"/>
      <c r="J274" s="212"/>
      <c r="K274" s="46"/>
      <c r="L274" s="46"/>
      <c r="M274" s="255"/>
      <c r="N274" s="200"/>
      <c r="O274" s="46"/>
      <c r="P274" s="46"/>
      <c r="Q274" s="46"/>
      <c r="R274" s="46"/>
      <c r="S274" s="33"/>
      <c r="T274" s="264"/>
      <c r="U274" s="235"/>
      <c r="V274" s="260"/>
      <c r="W274" s="34"/>
    </row>
    <row r="275" spans="1:23" x14ac:dyDescent="0.4">
      <c r="A275" s="46"/>
      <c r="B275" s="211"/>
      <c r="C275" s="211"/>
      <c r="D275" s="33"/>
      <c r="E275" s="33"/>
      <c r="F275" s="33"/>
      <c r="G275" s="33"/>
      <c r="H275" s="33"/>
      <c r="I275" s="212"/>
      <c r="J275" s="212"/>
      <c r="K275" s="46"/>
      <c r="L275" s="46"/>
      <c r="M275" s="255"/>
      <c r="N275" s="200"/>
      <c r="O275" s="46"/>
      <c r="P275" s="46"/>
      <c r="Q275" s="46"/>
      <c r="R275" s="46"/>
      <c r="S275" s="33"/>
      <c r="T275" s="264"/>
      <c r="U275" s="235"/>
      <c r="V275" s="260"/>
      <c r="W275" s="34"/>
    </row>
    <row r="276" spans="1:23" x14ac:dyDescent="0.4">
      <c r="A276" s="46"/>
      <c r="B276" s="211"/>
      <c r="C276" s="211"/>
      <c r="D276" s="33"/>
      <c r="E276" s="33"/>
      <c r="F276" s="33"/>
      <c r="G276" s="33"/>
      <c r="H276" s="33"/>
      <c r="I276" s="212"/>
      <c r="J276" s="212"/>
      <c r="K276" s="46"/>
      <c r="L276" s="46"/>
      <c r="M276" s="255"/>
      <c r="N276" s="200"/>
      <c r="O276" s="46"/>
      <c r="P276" s="46"/>
      <c r="Q276" s="46"/>
      <c r="R276" s="46"/>
      <c r="S276" s="33"/>
      <c r="T276" s="264"/>
      <c r="U276" s="235"/>
      <c r="V276" s="260"/>
      <c r="W276" s="34"/>
    </row>
    <row r="277" spans="1:23" x14ac:dyDescent="0.4">
      <c r="A277" s="46"/>
      <c r="B277" s="211"/>
      <c r="C277" s="211"/>
      <c r="D277" s="33"/>
      <c r="E277" s="33"/>
      <c r="F277" s="33"/>
      <c r="G277" s="33"/>
      <c r="H277" s="33"/>
      <c r="I277" s="212"/>
      <c r="J277" s="212"/>
      <c r="K277" s="46"/>
      <c r="L277" s="46"/>
      <c r="M277" s="255"/>
      <c r="N277" s="200"/>
      <c r="O277" s="46"/>
      <c r="P277" s="46"/>
      <c r="Q277" s="46"/>
      <c r="R277" s="46"/>
      <c r="S277" s="33"/>
      <c r="T277" s="264"/>
      <c r="U277" s="235"/>
      <c r="V277" s="260"/>
      <c r="W277" s="34"/>
    </row>
    <row r="278" spans="1:23" x14ac:dyDescent="0.4">
      <c r="A278" s="46"/>
      <c r="B278" s="211"/>
      <c r="C278" s="211"/>
      <c r="D278" s="33"/>
      <c r="E278" s="33"/>
      <c r="F278" s="33"/>
      <c r="G278" s="33"/>
      <c r="H278" s="33"/>
      <c r="I278" s="212"/>
      <c r="J278" s="212"/>
      <c r="K278" s="46"/>
      <c r="L278" s="46"/>
      <c r="M278" s="255"/>
      <c r="N278" s="200"/>
      <c r="O278" s="46"/>
      <c r="P278" s="46"/>
      <c r="Q278" s="46"/>
      <c r="R278" s="46"/>
      <c r="S278" s="33"/>
      <c r="T278" s="264"/>
      <c r="U278" s="235"/>
      <c r="V278" s="260"/>
      <c r="W278" s="34"/>
    </row>
    <row r="279" spans="1:23" x14ac:dyDescent="0.4">
      <c r="A279" s="46"/>
      <c r="B279" s="211"/>
      <c r="C279" s="211"/>
      <c r="D279" s="33"/>
      <c r="E279" s="33"/>
      <c r="F279" s="33"/>
      <c r="G279" s="33"/>
      <c r="H279" s="33"/>
      <c r="I279" s="212"/>
      <c r="J279" s="212"/>
      <c r="K279" s="46"/>
      <c r="L279" s="46"/>
      <c r="M279" s="255"/>
      <c r="N279" s="200"/>
      <c r="O279" s="46"/>
      <c r="P279" s="46"/>
      <c r="Q279" s="46"/>
      <c r="R279" s="46"/>
      <c r="S279" s="33"/>
      <c r="T279" s="264"/>
      <c r="U279" s="235"/>
      <c r="V279" s="260"/>
      <c r="W279" s="34"/>
    </row>
    <row r="280" spans="1:23" x14ac:dyDescent="0.4">
      <c r="A280" s="46"/>
      <c r="B280" s="211"/>
      <c r="C280" s="211"/>
      <c r="D280" s="33"/>
      <c r="E280" s="33"/>
      <c r="F280" s="33"/>
      <c r="G280" s="33"/>
      <c r="H280" s="33"/>
      <c r="I280" s="212"/>
      <c r="J280" s="212"/>
      <c r="K280" s="46"/>
      <c r="L280" s="46"/>
      <c r="M280" s="255"/>
      <c r="N280" s="200"/>
      <c r="O280" s="46"/>
      <c r="P280" s="46"/>
      <c r="Q280" s="46"/>
      <c r="R280" s="46"/>
      <c r="S280" s="33"/>
      <c r="T280" s="264"/>
      <c r="U280" s="235"/>
      <c r="V280" s="260"/>
      <c r="W280" s="34"/>
    </row>
    <row r="281" spans="1:23" x14ac:dyDescent="0.4">
      <c r="A281" s="46"/>
      <c r="B281" s="211"/>
      <c r="C281" s="211"/>
      <c r="D281" s="33"/>
      <c r="E281" s="33"/>
      <c r="F281" s="33"/>
      <c r="G281" s="33"/>
      <c r="H281" s="33"/>
      <c r="I281" s="212"/>
      <c r="J281" s="212"/>
      <c r="K281" s="46"/>
      <c r="L281" s="46"/>
      <c r="M281" s="255"/>
      <c r="N281" s="200"/>
      <c r="O281" s="46"/>
      <c r="P281" s="46"/>
      <c r="Q281" s="46"/>
      <c r="R281" s="46"/>
      <c r="S281" s="33"/>
      <c r="T281" s="264"/>
      <c r="U281" s="235"/>
      <c r="V281" s="260"/>
      <c r="W281" s="34"/>
    </row>
    <row r="282" spans="1:23" x14ac:dyDescent="0.4">
      <c r="A282" s="46"/>
      <c r="B282" s="211"/>
      <c r="C282" s="211"/>
      <c r="D282" s="33"/>
      <c r="E282" s="33"/>
      <c r="F282" s="33"/>
      <c r="G282" s="33"/>
      <c r="H282" s="33"/>
      <c r="I282" s="212"/>
      <c r="J282" s="212"/>
      <c r="K282" s="46"/>
      <c r="L282" s="46"/>
      <c r="M282" s="255"/>
      <c r="N282" s="200"/>
      <c r="O282" s="46"/>
      <c r="P282" s="46"/>
      <c r="Q282" s="46"/>
      <c r="R282" s="46"/>
      <c r="S282" s="33"/>
      <c r="T282" s="264"/>
      <c r="U282" s="235"/>
      <c r="V282" s="260"/>
      <c r="W282" s="34"/>
    </row>
    <row r="283" spans="1:23" x14ac:dyDescent="0.4">
      <c r="A283" s="46"/>
      <c r="B283" s="211"/>
      <c r="C283" s="211"/>
      <c r="D283" s="33"/>
      <c r="E283" s="33"/>
      <c r="F283" s="33"/>
      <c r="G283" s="33"/>
      <c r="H283" s="33"/>
      <c r="I283" s="212"/>
      <c r="J283" s="212"/>
      <c r="K283" s="46"/>
      <c r="L283" s="46"/>
      <c r="M283" s="255"/>
      <c r="N283" s="200"/>
      <c r="O283" s="46"/>
      <c r="P283" s="46"/>
      <c r="Q283" s="46"/>
      <c r="R283" s="46"/>
      <c r="S283" s="33"/>
      <c r="T283" s="264"/>
      <c r="U283" s="235"/>
      <c r="V283" s="260"/>
      <c r="W283" s="34"/>
    </row>
    <row r="284" spans="1:23" x14ac:dyDescent="0.4">
      <c r="A284" s="46"/>
      <c r="B284" s="211"/>
      <c r="C284" s="211"/>
      <c r="D284" s="33"/>
      <c r="E284" s="33"/>
      <c r="F284" s="33"/>
      <c r="G284" s="33"/>
      <c r="H284" s="33"/>
      <c r="I284" s="212"/>
      <c r="J284" s="212"/>
      <c r="K284" s="46"/>
      <c r="L284" s="46"/>
      <c r="M284" s="255"/>
      <c r="N284" s="200"/>
      <c r="O284" s="46"/>
      <c r="P284" s="46"/>
      <c r="Q284" s="46"/>
      <c r="R284" s="46"/>
      <c r="S284" s="33"/>
      <c r="T284" s="264"/>
      <c r="U284" s="235"/>
      <c r="V284" s="260"/>
      <c r="W284" s="34"/>
    </row>
    <row r="285" spans="1:23" x14ac:dyDescent="0.4">
      <c r="A285" s="46"/>
      <c r="B285" s="211"/>
      <c r="C285" s="211"/>
      <c r="D285" s="33"/>
      <c r="E285" s="33"/>
      <c r="F285" s="33"/>
      <c r="G285" s="33"/>
      <c r="H285" s="33"/>
      <c r="I285" s="212"/>
      <c r="J285" s="212"/>
      <c r="K285" s="46"/>
      <c r="L285" s="46"/>
      <c r="M285" s="255"/>
      <c r="N285" s="200"/>
      <c r="O285" s="46"/>
      <c r="P285" s="46"/>
      <c r="Q285" s="46"/>
      <c r="R285" s="46"/>
      <c r="S285" s="33"/>
      <c r="T285" s="264"/>
      <c r="U285" s="235"/>
      <c r="V285" s="260"/>
      <c r="W285" s="34"/>
    </row>
    <row r="286" spans="1:23" x14ac:dyDescent="0.4">
      <c r="A286" s="46"/>
      <c r="B286" s="211"/>
      <c r="C286" s="211"/>
      <c r="D286" s="33"/>
      <c r="E286" s="33"/>
      <c r="F286" s="33"/>
      <c r="G286" s="33"/>
      <c r="H286" s="33"/>
      <c r="I286" s="212"/>
      <c r="J286" s="212"/>
      <c r="K286" s="46"/>
      <c r="L286" s="46"/>
      <c r="M286" s="255"/>
      <c r="N286" s="200"/>
      <c r="O286" s="46"/>
      <c r="P286" s="46"/>
      <c r="Q286" s="46"/>
      <c r="R286" s="46"/>
      <c r="S286" s="33"/>
      <c r="T286" s="264"/>
      <c r="U286" s="235"/>
      <c r="V286" s="260"/>
      <c r="W286" s="34"/>
    </row>
    <row r="287" spans="1:23" x14ac:dyDescent="0.4">
      <c r="A287" s="46"/>
      <c r="B287" s="211"/>
      <c r="C287" s="211"/>
      <c r="D287" s="33"/>
      <c r="E287" s="33"/>
      <c r="F287" s="33"/>
      <c r="G287" s="33"/>
      <c r="H287" s="33"/>
      <c r="I287" s="212"/>
      <c r="J287" s="212"/>
      <c r="K287" s="46"/>
      <c r="L287" s="46"/>
      <c r="M287" s="255"/>
      <c r="N287" s="200"/>
      <c r="O287" s="46"/>
      <c r="P287" s="46"/>
      <c r="Q287" s="46"/>
      <c r="R287" s="46"/>
      <c r="S287" s="33"/>
      <c r="T287" s="264"/>
      <c r="U287" s="235"/>
      <c r="V287" s="260"/>
      <c r="W287" s="34"/>
    </row>
    <row r="288" spans="1:23" x14ac:dyDescent="0.4">
      <c r="A288" s="46"/>
      <c r="B288" s="211"/>
      <c r="C288" s="211"/>
      <c r="D288" s="33"/>
      <c r="E288" s="33"/>
      <c r="F288" s="33"/>
      <c r="G288" s="33"/>
      <c r="H288" s="33"/>
      <c r="I288" s="212"/>
      <c r="J288" s="212"/>
      <c r="K288" s="46"/>
      <c r="L288" s="46"/>
      <c r="M288" s="255"/>
      <c r="N288" s="200"/>
      <c r="O288" s="46"/>
      <c r="P288" s="46"/>
      <c r="Q288" s="46"/>
      <c r="R288" s="46"/>
      <c r="S288" s="33"/>
      <c r="T288" s="264"/>
      <c r="U288" s="235"/>
      <c r="V288" s="260"/>
      <c r="W288" s="34"/>
    </row>
    <row r="289" spans="1:23" x14ac:dyDescent="0.4">
      <c r="A289" s="46"/>
      <c r="B289" s="211"/>
      <c r="C289" s="211"/>
      <c r="D289" s="33"/>
      <c r="E289" s="33"/>
      <c r="F289" s="33"/>
      <c r="G289" s="33"/>
      <c r="H289" s="33"/>
      <c r="I289" s="212"/>
      <c r="J289" s="212"/>
      <c r="K289" s="46"/>
      <c r="L289" s="46"/>
      <c r="M289" s="255"/>
      <c r="N289" s="200"/>
      <c r="O289" s="46"/>
      <c r="P289" s="46"/>
      <c r="Q289" s="46"/>
      <c r="R289" s="46"/>
      <c r="S289" s="33"/>
      <c r="T289" s="264"/>
      <c r="U289" s="235"/>
      <c r="V289" s="260"/>
      <c r="W289" s="34"/>
    </row>
    <row r="290" spans="1:23" x14ac:dyDescent="0.4">
      <c r="A290" s="46"/>
      <c r="B290" s="211"/>
      <c r="C290" s="211"/>
      <c r="D290" s="33"/>
      <c r="E290" s="33"/>
      <c r="F290" s="33"/>
      <c r="G290" s="33"/>
      <c r="H290" s="33"/>
      <c r="I290" s="212"/>
      <c r="J290" s="212"/>
      <c r="K290" s="46"/>
      <c r="L290" s="46"/>
      <c r="M290" s="255"/>
      <c r="N290" s="200"/>
      <c r="O290" s="46"/>
      <c r="P290" s="46"/>
      <c r="Q290" s="46"/>
      <c r="R290" s="46"/>
      <c r="S290" s="33"/>
      <c r="T290" s="264"/>
      <c r="U290" s="235"/>
      <c r="V290" s="260"/>
      <c r="W290" s="34"/>
    </row>
    <row r="291" spans="1:23" x14ac:dyDescent="0.4">
      <c r="A291" s="46"/>
      <c r="B291" s="211"/>
      <c r="C291" s="211"/>
      <c r="D291" s="33"/>
      <c r="E291" s="33"/>
      <c r="F291" s="33"/>
      <c r="G291" s="33"/>
      <c r="H291" s="33"/>
      <c r="I291" s="212"/>
      <c r="J291" s="212"/>
      <c r="K291" s="46"/>
      <c r="L291" s="46"/>
      <c r="M291" s="255"/>
      <c r="N291" s="200"/>
      <c r="O291" s="46"/>
      <c r="P291" s="46"/>
      <c r="Q291" s="46"/>
      <c r="R291" s="46"/>
      <c r="S291" s="33"/>
      <c r="T291" s="264"/>
      <c r="U291" s="235"/>
      <c r="V291" s="260"/>
      <c r="W291" s="34"/>
    </row>
    <row r="292" spans="1:23" x14ac:dyDescent="0.4">
      <c r="A292" s="46"/>
      <c r="B292" s="211"/>
      <c r="C292" s="211"/>
      <c r="D292" s="33"/>
      <c r="E292" s="33"/>
      <c r="F292" s="33"/>
      <c r="G292" s="33"/>
      <c r="H292" s="33"/>
      <c r="I292" s="212"/>
      <c r="J292" s="212"/>
      <c r="K292" s="46"/>
      <c r="L292" s="46"/>
      <c r="M292" s="255"/>
      <c r="N292" s="200"/>
      <c r="O292" s="46"/>
      <c r="P292" s="46"/>
      <c r="Q292" s="46"/>
      <c r="R292" s="46"/>
      <c r="S292" s="33"/>
      <c r="T292" s="264"/>
      <c r="U292" s="235"/>
      <c r="V292" s="260"/>
      <c r="W292" s="34"/>
    </row>
    <row r="293" spans="1:23" x14ac:dyDescent="0.4">
      <c r="A293" s="46"/>
      <c r="B293" s="211"/>
      <c r="C293" s="211"/>
      <c r="D293" s="33"/>
      <c r="E293" s="33"/>
      <c r="F293" s="33"/>
      <c r="G293" s="33"/>
      <c r="H293" s="33"/>
      <c r="I293" s="212"/>
      <c r="J293" s="212"/>
      <c r="K293" s="46"/>
      <c r="L293" s="46"/>
      <c r="M293" s="255"/>
      <c r="N293" s="200"/>
      <c r="O293" s="46"/>
      <c r="P293" s="46"/>
      <c r="Q293" s="46"/>
      <c r="R293" s="46"/>
      <c r="S293" s="33"/>
      <c r="T293" s="264"/>
      <c r="U293" s="235"/>
      <c r="V293" s="260"/>
      <c r="W293" s="34"/>
    </row>
    <row r="294" spans="1:23" x14ac:dyDescent="0.4">
      <c r="A294" s="46"/>
      <c r="B294" s="211"/>
      <c r="C294" s="211"/>
      <c r="D294" s="33"/>
      <c r="E294" s="33"/>
      <c r="F294" s="33"/>
      <c r="G294" s="33"/>
      <c r="H294" s="33"/>
      <c r="I294" s="212"/>
      <c r="J294" s="212"/>
      <c r="K294" s="46"/>
      <c r="L294" s="46"/>
      <c r="M294" s="255"/>
      <c r="N294" s="200"/>
      <c r="O294" s="46"/>
      <c r="P294" s="46"/>
      <c r="Q294" s="46"/>
      <c r="R294" s="46"/>
      <c r="S294" s="33"/>
      <c r="T294" s="264"/>
      <c r="U294" s="235"/>
      <c r="V294" s="260"/>
      <c r="W294" s="34"/>
    </row>
    <row r="295" spans="1:23" x14ac:dyDescent="0.4">
      <c r="A295" s="46"/>
      <c r="B295" s="211"/>
      <c r="C295" s="211"/>
      <c r="D295" s="33"/>
      <c r="E295" s="33"/>
      <c r="F295" s="33"/>
      <c r="G295" s="33"/>
      <c r="H295" s="33"/>
      <c r="I295" s="212"/>
      <c r="J295" s="212"/>
      <c r="K295" s="46"/>
      <c r="L295" s="46"/>
      <c r="M295" s="255"/>
      <c r="N295" s="200"/>
      <c r="O295" s="46"/>
      <c r="P295" s="46"/>
      <c r="Q295" s="46"/>
      <c r="R295" s="46"/>
      <c r="S295" s="33"/>
      <c r="T295" s="264"/>
      <c r="U295" s="235"/>
      <c r="V295" s="260"/>
      <c r="W295" s="34"/>
    </row>
    <row r="296" spans="1:23" x14ac:dyDescent="0.4">
      <c r="A296" s="46"/>
      <c r="B296" s="211"/>
      <c r="C296" s="211"/>
      <c r="D296" s="33"/>
      <c r="E296" s="33"/>
      <c r="F296" s="33"/>
      <c r="G296" s="33"/>
      <c r="H296" s="33"/>
      <c r="I296" s="212"/>
      <c r="J296" s="212"/>
      <c r="K296" s="46"/>
      <c r="L296" s="46"/>
      <c r="M296" s="255"/>
      <c r="N296" s="200"/>
      <c r="O296" s="46"/>
      <c r="P296" s="46"/>
      <c r="Q296" s="46"/>
      <c r="R296" s="46"/>
      <c r="S296" s="33"/>
      <c r="T296" s="264"/>
      <c r="U296" s="235"/>
      <c r="V296" s="260"/>
      <c r="W296" s="34"/>
    </row>
    <row r="297" spans="1:23" x14ac:dyDescent="0.4">
      <c r="A297" s="46"/>
      <c r="B297" s="211"/>
      <c r="C297" s="211"/>
      <c r="D297" s="33"/>
      <c r="E297" s="33"/>
      <c r="F297" s="33"/>
      <c r="G297" s="33"/>
      <c r="H297" s="33"/>
      <c r="I297" s="212"/>
      <c r="J297" s="212"/>
      <c r="K297" s="46"/>
      <c r="L297" s="46"/>
      <c r="M297" s="255"/>
      <c r="N297" s="200"/>
      <c r="O297" s="46"/>
      <c r="P297" s="46"/>
      <c r="Q297" s="46"/>
      <c r="R297" s="46"/>
      <c r="S297" s="33"/>
      <c r="T297" s="264"/>
      <c r="U297" s="235"/>
      <c r="V297" s="260"/>
      <c r="W297" s="34"/>
    </row>
    <row r="298" spans="1:23" x14ac:dyDescent="0.4">
      <c r="A298" s="46"/>
      <c r="B298" s="211"/>
      <c r="C298" s="211"/>
      <c r="D298" s="33"/>
      <c r="E298" s="33"/>
      <c r="F298" s="33"/>
      <c r="G298" s="33"/>
      <c r="H298" s="33"/>
      <c r="I298" s="212"/>
      <c r="J298" s="212"/>
      <c r="K298" s="46"/>
      <c r="L298" s="46"/>
      <c r="M298" s="255"/>
      <c r="N298" s="200"/>
      <c r="O298" s="46"/>
      <c r="P298" s="46"/>
      <c r="Q298" s="46"/>
      <c r="R298" s="46"/>
      <c r="S298" s="33"/>
      <c r="T298" s="264"/>
      <c r="U298" s="235"/>
      <c r="V298" s="260"/>
      <c r="W298" s="34"/>
    </row>
    <row r="299" spans="1:23" x14ac:dyDescent="0.4">
      <c r="A299" s="46"/>
      <c r="B299" s="211"/>
      <c r="C299" s="211"/>
      <c r="D299" s="33"/>
      <c r="E299" s="33"/>
      <c r="F299" s="33"/>
      <c r="G299" s="33"/>
      <c r="H299" s="33"/>
      <c r="I299" s="212"/>
      <c r="J299" s="212"/>
      <c r="K299" s="46"/>
      <c r="L299" s="46"/>
      <c r="M299" s="255"/>
      <c r="N299" s="200"/>
      <c r="O299" s="46"/>
      <c r="P299" s="46"/>
      <c r="Q299" s="46"/>
      <c r="R299" s="46"/>
      <c r="S299" s="33"/>
      <c r="T299" s="264"/>
      <c r="U299" s="235"/>
      <c r="V299" s="260"/>
      <c r="W299" s="34"/>
    </row>
    <row r="300" spans="1:23" x14ac:dyDescent="0.4">
      <c r="A300" s="46"/>
      <c r="B300" s="211"/>
      <c r="C300" s="211"/>
      <c r="D300" s="33"/>
      <c r="E300" s="33"/>
      <c r="F300" s="33"/>
      <c r="G300" s="33"/>
      <c r="H300" s="33"/>
      <c r="I300" s="212"/>
      <c r="J300" s="212"/>
      <c r="K300" s="46"/>
      <c r="L300" s="46"/>
      <c r="M300" s="255"/>
      <c r="N300" s="200"/>
      <c r="O300" s="46"/>
      <c r="P300" s="46"/>
      <c r="Q300" s="46"/>
      <c r="R300" s="46"/>
      <c r="S300" s="33"/>
      <c r="T300" s="264"/>
      <c r="U300" s="235"/>
      <c r="V300" s="260"/>
      <c r="W300" s="34"/>
    </row>
    <row r="301" spans="1:23" x14ac:dyDescent="0.4">
      <c r="A301" s="46"/>
      <c r="B301" s="211"/>
      <c r="C301" s="211"/>
      <c r="D301" s="33"/>
      <c r="E301" s="33"/>
      <c r="F301" s="33"/>
      <c r="G301" s="33"/>
      <c r="H301" s="33"/>
      <c r="I301" s="212"/>
      <c r="J301" s="212"/>
      <c r="K301" s="46"/>
      <c r="L301" s="46"/>
      <c r="M301" s="255"/>
      <c r="N301" s="200"/>
      <c r="O301" s="46"/>
      <c r="P301" s="46"/>
      <c r="Q301" s="46"/>
      <c r="R301" s="46"/>
      <c r="S301" s="33"/>
      <c r="T301" s="264"/>
      <c r="U301" s="235"/>
      <c r="V301" s="260"/>
      <c r="W301" s="34"/>
    </row>
    <row r="302" spans="1:23" x14ac:dyDescent="0.4">
      <c r="A302" s="46"/>
      <c r="B302" s="211"/>
      <c r="C302" s="211"/>
      <c r="D302" s="33"/>
      <c r="E302" s="33"/>
      <c r="F302" s="33"/>
      <c r="G302" s="33"/>
      <c r="H302" s="33"/>
      <c r="I302" s="212"/>
      <c r="J302" s="212"/>
      <c r="K302" s="46"/>
      <c r="L302" s="46"/>
      <c r="M302" s="255"/>
      <c r="N302" s="200"/>
      <c r="O302" s="46"/>
      <c r="P302" s="46"/>
      <c r="Q302" s="46"/>
      <c r="R302" s="46"/>
      <c r="S302" s="33"/>
      <c r="T302" s="264"/>
      <c r="U302" s="235"/>
      <c r="V302" s="260"/>
      <c r="W302" s="34"/>
    </row>
    <row r="303" spans="1:23" x14ac:dyDescent="0.4">
      <c r="A303" s="46"/>
      <c r="B303" s="211"/>
      <c r="C303" s="211"/>
      <c r="D303" s="33"/>
      <c r="E303" s="33"/>
      <c r="F303" s="33"/>
      <c r="G303" s="33"/>
      <c r="H303" s="33"/>
      <c r="I303" s="212"/>
      <c r="J303" s="212"/>
      <c r="K303" s="46"/>
      <c r="L303" s="46"/>
      <c r="M303" s="255"/>
      <c r="N303" s="200"/>
      <c r="O303" s="46"/>
      <c r="P303" s="46"/>
      <c r="Q303" s="46"/>
      <c r="R303" s="46"/>
      <c r="S303" s="33"/>
      <c r="T303" s="264"/>
      <c r="U303" s="235"/>
      <c r="V303" s="260"/>
      <c r="W303" s="34"/>
    </row>
    <row r="304" spans="1:23" x14ac:dyDescent="0.4">
      <c r="A304" s="46"/>
      <c r="B304" s="211"/>
      <c r="C304" s="211"/>
      <c r="D304" s="33"/>
      <c r="E304" s="33"/>
      <c r="F304" s="33"/>
      <c r="G304" s="33"/>
      <c r="H304" s="33"/>
      <c r="I304" s="212"/>
      <c r="J304" s="212"/>
      <c r="K304" s="46"/>
      <c r="L304" s="46"/>
      <c r="M304" s="255"/>
      <c r="N304" s="200"/>
      <c r="O304" s="46"/>
      <c r="P304" s="46"/>
      <c r="Q304" s="46"/>
      <c r="R304" s="46"/>
      <c r="S304" s="33"/>
      <c r="T304" s="264"/>
      <c r="U304" s="235"/>
      <c r="V304" s="260"/>
      <c r="W304" s="34"/>
    </row>
    <row r="305" spans="1:23" x14ac:dyDescent="0.4">
      <c r="A305" s="46"/>
      <c r="B305" s="211"/>
      <c r="C305" s="211"/>
      <c r="D305" s="33"/>
      <c r="E305" s="33"/>
      <c r="F305" s="33"/>
      <c r="G305" s="33"/>
      <c r="H305" s="33"/>
      <c r="I305" s="212"/>
      <c r="J305" s="212"/>
      <c r="K305" s="46"/>
      <c r="L305" s="46"/>
      <c r="M305" s="255"/>
      <c r="N305" s="200"/>
      <c r="O305" s="46"/>
      <c r="P305" s="46"/>
      <c r="Q305" s="46"/>
      <c r="R305" s="46"/>
      <c r="S305" s="33"/>
      <c r="T305" s="264"/>
      <c r="U305" s="235"/>
      <c r="V305" s="260"/>
      <c r="W305" s="34"/>
    </row>
    <row r="306" spans="1:23" x14ac:dyDescent="0.4">
      <c r="A306" s="46"/>
      <c r="B306" s="211"/>
      <c r="C306" s="211"/>
      <c r="D306" s="33"/>
      <c r="E306" s="33"/>
      <c r="F306" s="33"/>
      <c r="G306" s="33"/>
      <c r="H306" s="33"/>
      <c r="I306" s="212"/>
      <c r="J306" s="212"/>
      <c r="K306" s="46"/>
      <c r="L306" s="46"/>
      <c r="M306" s="255"/>
      <c r="N306" s="200"/>
      <c r="O306" s="46"/>
      <c r="P306" s="46"/>
      <c r="Q306" s="46"/>
      <c r="R306" s="46"/>
      <c r="S306" s="33"/>
      <c r="T306" s="264"/>
      <c r="U306" s="235"/>
      <c r="V306" s="260"/>
      <c r="W306" s="34"/>
    </row>
    <row r="307" spans="1:23" x14ac:dyDescent="0.4">
      <c r="A307" s="46"/>
      <c r="B307" s="211"/>
      <c r="C307" s="211"/>
      <c r="D307" s="33"/>
      <c r="E307" s="33"/>
      <c r="F307" s="33"/>
      <c r="G307" s="33"/>
      <c r="H307" s="33"/>
      <c r="I307" s="212"/>
      <c r="J307" s="212"/>
      <c r="K307" s="46"/>
      <c r="L307" s="46"/>
      <c r="M307" s="255"/>
      <c r="N307" s="200"/>
      <c r="O307" s="46"/>
      <c r="P307" s="46"/>
      <c r="Q307" s="46"/>
      <c r="R307" s="46"/>
      <c r="S307" s="33"/>
      <c r="T307" s="264"/>
      <c r="U307" s="235"/>
      <c r="V307" s="260"/>
      <c r="W307" s="34"/>
    </row>
    <row r="308" spans="1:23" x14ac:dyDescent="0.4">
      <c r="A308" s="46"/>
      <c r="B308" s="211"/>
      <c r="C308" s="211"/>
      <c r="D308" s="33"/>
      <c r="E308" s="33"/>
      <c r="F308" s="33"/>
      <c r="G308" s="33"/>
      <c r="H308" s="33"/>
      <c r="I308" s="212"/>
      <c r="J308" s="212"/>
      <c r="K308" s="46"/>
      <c r="L308" s="46"/>
      <c r="M308" s="255"/>
      <c r="N308" s="200"/>
      <c r="O308" s="46"/>
      <c r="P308" s="46"/>
      <c r="Q308" s="46"/>
      <c r="R308" s="46"/>
      <c r="S308" s="33"/>
      <c r="T308" s="264"/>
      <c r="U308" s="235"/>
      <c r="V308" s="260"/>
      <c r="W308" s="34"/>
    </row>
    <row r="309" spans="1:23" x14ac:dyDescent="0.4">
      <c r="A309" s="46"/>
      <c r="B309" s="211"/>
      <c r="C309" s="211"/>
      <c r="D309" s="33"/>
      <c r="E309" s="33"/>
      <c r="F309" s="33"/>
      <c r="G309" s="33"/>
      <c r="H309" s="33"/>
      <c r="I309" s="212"/>
      <c r="J309" s="212"/>
      <c r="K309" s="46"/>
      <c r="L309" s="46"/>
      <c r="M309" s="255"/>
      <c r="N309" s="200"/>
      <c r="O309" s="46"/>
      <c r="P309" s="46"/>
      <c r="Q309" s="46"/>
      <c r="R309" s="46"/>
      <c r="S309" s="33"/>
      <c r="T309" s="235"/>
      <c r="U309" s="243"/>
      <c r="V309" s="260"/>
      <c r="W309" s="34"/>
    </row>
    <row r="310" spans="1:23" x14ac:dyDescent="0.4">
      <c r="A310" s="46"/>
      <c r="B310" s="211"/>
      <c r="C310" s="211"/>
      <c r="D310" s="33"/>
      <c r="E310" s="33"/>
      <c r="F310" s="33"/>
      <c r="G310" s="33"/>
      <c r="H310" s="33"/>
      <c r="I310" s="212"/>
      <c r="J310" s="212"/>
      <c r="K310" s="46"/>
      <c r="L310" s="46"/>
      <c r="M310" s="255"/>
      <c r="N310" s="200"/>
      <c r="O310" s="46"/>
      <c r="P310" s="46"/>
      <c r="Q310" s="46"/>
      <c r="R310" s="46"/>
      <c r="S310" s="33"/>
      <c r="T310" s="235"/>
      <c r="U310" s="243"/>
      <c r="V310" s="260"/>
      <c r="W310" s="34"/>
    </row>
    <row r="311" spans="1:23" x14ac:dyDescent="0.4">
      <c r="A311" s="46"/>
      <c r="B311" s="211"/>
      <c r="C311" s="211"/>
      <c r="D311" s="33"/>
      <c r="E311" s="33"/>
      <c r="F311" s="33"/>
      <c r="G311" s="33"/>
      <c r="H311" s="33"/>
      <c r="I311" s="212"/>
      <c r="J311" s="212"/>
      <c r="K311" s="46"/>
      <c r="L311" s="46"/>
      <c r="M311" s="255"/>
      <c r="N311" s="200"/>
      <c r="O311" s="46"/>
      <c r="P311" s="46"/>
      <c r="Q311" s="46"/>
      <c r="R311" s="46"/>
      <c r="S311" s="33"/>
      <c r="T311" s="235"/>
      <c r="U311" s="243"/>
      <c r="V311" s="260"/>
      <c r="W311" s="34"/>
    </row>
    <row r="312" spans="1:23" x14ac:dyDescent="0.4">
      <c r="A312" s="46"/>
      <c r="B312" s="211"/>
      <c r="C312" s="211"/>
      <c r="D312" s="33"/>
      <c r="E312" s="33"/>
      <c r="F312" s="33"/>
      <c r="G312" s="33"/>
      <c r="H312" s="33"/>
      <c r="I312" s="212"/>
      <c r="J312" s="212"/>
      <c r="K312" s="46"/>
      <c r="L312" s="46"/>
      <c r="M312" s="255"/>
      <c r="N312" s="200"/>
      <c r="O312" s="46"/>
      <c r="P312" s="46"/>
      <c r="Q312" s="46"/>
      <c r="R312" s="46"/>
      <c r="S312" s="33"/>
      <c r="T312" s="235"/>
      <c r="U312" s="243"/>
      <c r="V312" s="260"/>
      <c r="W312" s="34"/>
    </row>
    <row r="313" spans="1:23" x14ac:dyDescent="0.4">
      <c r="A313" s="46"/>
      <c r="B313" s="211"/>
      <c r="C313" s="211"/>
      <c r="D313" s="33"/>
      <c r="E313" s="33"/>
      <c r="F313" s="33"/>
      <c r="G313" s="33"/>
      <c r="H313" s="33"/>
      <c r="I313" s="212"/>
      <c r="J313" s="212"/>
      <c r="K313" s="46"/>
      <c r="L313" s="46"/>
      <c r="M313" s="255"/>
      <c r="N313" s="200"/>
      <c r="O313" s="46"/>
      <c r="P313" s="46"/>
      <c r="Q313" s="46"/>
      <c r="R313" s="46"/>
      <c r="S313" s="33"/>
      <c r="T313" s="235"/>
      <c r="U313" s="243"/>
      <c r="V313" s="260"/>
      <c r="W313" s="34"/>
    </row>
    <row r="314" spans="1:23" x14ac:dyDescent="0.4">
      <c r="A314" s="46"/>
      <c r="B314" s="211"/>
      <c r="C314" s="211"/>
      <c r="D314" s="33"/>
      <c r="E314" s="33"/>
      <c r="F314" s="33"/>
      <c r="G314" s="33"/>
      <c r="H314" s="33"/>
      <c r="I314" s="212"/>
      <c r="J314" s="212"/>
      <c r="K314" s="46"/>
      <c r="L314" s="46"/>
      <c r="M314" s="255"/>
      <c r="N314" s="200"/>
      <c r="O314" s="46"/>
      <c r="P314" s="46"/>
      <c r="Q314" s="46"/>
      <c r="R314" s="46"/>
      <c r="S314" s="33"/>
      <c r="T314" s="235"/>
      <c r="U314" s="243"/>
      <c r="V314" s="260"/>
      <c r="W314" s="34"/>
    </row>
    <row r="315" spans="1:23" x14ac:dyDescent="0.4">
      <c r="A315" s="46"/>
      <c r="B315" s="211"/>
      <c r="C315" s="211"/>
      <c r="D315" s="33"/>
      <c r="E315" s="33"/>
      <c r="F315" s="33"/>
      <c r="G315" s="33"/>
      <c r="H315" s="33"/>
      <c r="I315" s="212"/>
      <c r="J315" s="212"/>
      <c r="K315" s="46"/>
      <c r="L315" s="46"/>
      <c r="M315" s="255"/>
      <c r="N315" s="200"/>
      <c r="O315" s="46"/>
      <c r="P315" s="46"/>
      <c r="Q315" s="46"/>
      <c r="R315" s="46"/>
      <c r="S315" s="33"/>
      <c r="T315" s="235"/>
      <c r="U315" s="243"/>
      <c r="V315" s="260"/>
      <c r="W315" s="34"/>
    </row>
    <row r="316" spans="1:23" x14ac:dyDescent="0.4">
      <c r="A316" s="46"/>
      <c r="B316" s="211"/>
      <c r="C316" s="211"/>
      <c r="D316" s="33"/>
      <c r="E316" s="33"/>
      <c r="F316" s="33"/>
      <c r="G316" s="33"/>
      <c r="H316" s="33"/>
      <c r="I316" s="212"/>
      <c r="J316" s="212"/>
      <c r="K316" s="46"/>
      <c r="L316" s="46"/>
      <c r="M316" s="255"/>
      <c r="N316" s="200"/>
      <c r="O316" s="46"/>
      <c r="P316" s="46"/>
      <c r="Q316" s="46"/>
      <c r="R316" s="46"/>
      <c r="S316" s="33"/>
      <c r="T316" s="235"/>
      <c r="U316" s="243"/>
      <c r="V316" s="260"/>
      <c r="W316" s="34"/>
    </row>
    <row r="317" spans="1:23" x14ac:dyDescent="0.4">
      <c r="A317" s="46"/>
      <c r="B317" s="211"/>
      <c r="C317" s="211"/>
      <c r="D317" s="33"/>
      <c r="E317" s="33"/>
      <c r="F317" s="33"/>
      <c r="G317" s="33"/>
      <c r="H317" s="33"/>
      <c r="I317" s="212"/>
      <c r="J317" s="212"/>
      <c r="K317" s="46"/>
      <c r="L317" s="46"/>
      <c r="M317" s="255"/>
      <c r="N317" s="200"/>
      <c r="O317" s="46"/>
      <c r="P317" s="46"/>
      <c r="Q317" s="46"/>
      <c r="R317" s="46"/>
      <c r="S317" s="33"/>
      <c r="T317" s="235"/>
      <c r="U317" s="243"/>
      <c r="V317" s="260"/>
      <c r="W317" s="34"/>
    </row>
    <row r="318" spans="1:23" x14ac:dyDescent="0.4">
      <c r="A318" s="46"/>
      <c r="B318" s="211"/>
      <c r="C318" s="211"/>
      <c r="D318" s="33"/>
      <c r="E318" s="33"/>
      <c r="F318" s="33"/>
      <c r="G318" s="33"/>
      <c r="H318" s="33"/>
      <c r="I318" s="212"/>
      <c r="J318" s="212"/>
      <c r="K318" s="46"/>
      <c r="L318" s="46"/>
      <c r="M318" s="255"/>
      <c r="N318" s="200"/>
      <c r="O318" s="46"/>
      <c r="P318" s="46"/>
      <c r="Q318" s="46"/>
      <c r="R318" s="46"/>
      <c r="S318" s="33"/>
      <c r="T318" s="235"/>
      <c r="U318" s="243"/>
      <c r="V318" s="260"/>
      <c r="W318" s="34"/>
    </row>
    <row r="319" spans="1:23" x14ac:dyDescent="0.4">
      <c r="A319" s="46"/>
      <c r="B319" s="211"/>
      <c r="C319" s="211"/>
      <c r="D319" s="33"/>
      <c r="E319" s="33"/>
      <c r="F319" s="33"/>
      <c r="G319" s="33"/>
      <c r="H319" s="33"/>
      <c r="I319" s="212"/>
      <c r="J319" s="212"/>
      <c r="K319" s="46"/>
      <c r="L319" s="46"/>
      <c r="M319" s="255"/>
      <c r="N319" s="200"/>
      <c r="O319" s="46"/>
      <c r="P319" s="46"/>
      <c r="Q319" s="46"/>
      <c r="R319" s="46"/>
      <c r="S319" s="33"/>
      <c r="T319" s="235"/>
      <c r="U319" s="243"/>
      <c r="V319" s="260"/>
      <c r="W319" s="34"/>
    </row>
    <row r="320" spans="1:23" x14ac:dyDescent="0.4">
      <c r="A320" s="46"/>
      <c r="B320" s="211"/>
      <c r="C320" s="211"/>
      <c r="D320" s="33"/>
      <c r="E320" s="33"/>
      <c r="F320" s="33"/>
      <c r="G320" s="33"/>
      <c r="H320" s="33"/>
      <c r="I320" s="212"/>
      <c r="J320" s="212"/>
      <c r="K320" s="46"/>
      <c r="L320" s="46"/>
      <c r="M320" s="255"/>
      <c r="N320" s="200"/>
      <c r="O320" s="46"/>
      <c r="P320" s="46"/>
      <c r="Q320" s="46"/>
      <c r="R320" s="46"/>
      <c r="S320" s="33"/>
      <c r="T320" s="235"/>
      <c r="U320" s="243"/>
      <c r="V320" s="260"/>
      <c r="W320" s="34"/>
    </row>
    <row r="321" spans="1:23" x14ac:dyDescent="0.4">
      <c r="A321" s="46"/>
      <c r="B321" s="211"/>
      <c r="C321" s="211"/>
      <c r="D321" s="33"/>
      <c r="E321" s="33"/>
      <c r="F321" s="33"/>
      <c r="G321" s="33"/>
      <c r="H321" s="33"/>
      <c r="I321" s="212"/>
      <c r="J321" s="212"/>
      <c r="K321" s="46"/>
      <c r="L321" s="46"/>
      <c r="M321" s="255"/>
      <c r="N321" s="200"/>
      <c r="O321" s="46"/>
      <c r="P321" s="46"/>
      <c r="Q321" s="46"/>
      <c r="R321" s="46"/>
      <c r="S321" s="33"/>
      <c r="T321" s="235"/>
      <c r="U321" s="243"/>
      <c r="V321" s="260"/>
      <c r="W321" s="34"/>
    </row>
    <row r="322" spans="1:23" x14ac:dyDescent="0.4">
      <c r="A322" s="46"/>
      <c r="B322" s="211"/>
      <c r="C322" s="211"/>
      <c r="D322" s="33"/>
      <c r="E322" s="33"/>
      <c r="F322" s="33"/>
      <c r="G322" s="33"/>
      <c r="H322" s="33"/>
      <c r="I322" s="212"/>
      <c r="J322" s="212"/>
      <c r="K322" s="46"/>
      <c r="L322" s="46"/>
      <c r="M322" s="255"/>
      <c r="N322" s="200"/>
      <c r="O322" s="46"/>
      <c r="P322" s="46"/>
      <c r="Q322" s="46"/>
      <c r="R322" s="46"/>
      <c r="S322" s="33"/>
      <c r="T322" s="235"/>
      <c r="U322" s="243"/>
      <c r="V322" s="260"/>
      <c r="W322" s="34"/>
    </row>
    <row r="323" spans="1:23" x14ac:dyDescent="0.4">
      <c r="A323" s="46"/>
      <c r="B323" s="211"/>
      <c r="C323" s="211"/>
      <c r="D323" s="33"/>
      <c r="E323" s="33"/>
      <c r="F323" s="33"/>
      <c r="G323" s="33"/>
      <c r="H323" s="33"/>
      <c r="I323" s="212"/>
      <c r="J323" s="212"/>
      <c r="K323" s="46"/>
      <c r="L323" s="46"/>
      <c r="M323" s="255"/>
      <c r="N323" s="200"/>
      <c r="O323" s="46"/>
      <c r="P323" s="46"/>
      <c r="Q323" s="46"/>
      <c r="R323" s="46"/>
      <c r="S323" s="33"/>
      <c r="T323" s="235"/>
      <c r="U323" s="243"/>
      <c r="V323" s="260"/>
      <c r="W323" s="34"/>
    </row>
    <row r="324" spans="1:23" x14ac:dyDescent="0.4">
      <c r="A324" s="46"/>
      <c r="B324" s="211"/>
      <c r="C324" s="211"/>
      <c r="D324" s="33"/>
      <c r="E324" s="33"/>
      <c r="F324" s="33"/>
      <c r="G324" s="33"/>
      <c r="H324" s="33"/>
      <c r="I324" s="212"/>
      <c r="J324" s="212"/>
      <c r="K324" s="46"/>
      <c r="L324" s="46"/>
      <c r="M324" s="255"/>
      <c r="N324" s="200"/>
      <c r="O324" s="46"/>
      <c r="P324" s="46"/>
      <c r="Q324" s="46"/>
      <c r="R324" s="46"/>
      <c r="S324" s="33"/>
      <c r="T324" s="235"/>
      <c r="U324" s="243"/>
      <c r="V324" s="260"/>
      <c r="W324" s="34"/>
    </row>
    <row r="325" spans="1:23" x14ac:dyDescent="0.4">
      <c r="A325" s="46"/>
      <c r="B325" s="211"/>
      <c r="C325" s="211"/>
      <c r="D325" s="33"/>
      <c r="E325" s="33"/>
      <c r="F325" s="33"/>
      <c r="G325" s="33"/>
      <c r="H325" s="33"/>
      <c r="I325" s="212"/>
      <c r="J325" s="212"/>
      <c r="K325" s="46"/>
      <c r="L325" s="46"/>
      <c r="M325" s="255"/>
      <c r="N325" s="200"/>
      <c r="O325" s="46"/>
      <c r="P325" s="46"/>
      <c r="Q325" s="46"/>
      <c r="R325" s="46"/>
      <c r="S325" s="33"/>
      <c r="T325" s="235"/>
      <c r="U325" s="243"/>
      <c r="V325" s="260"/>
      <c r="W325" s="34"/>
    </row>
    <row r="326" spans="1:23" x14ac:dyDescent="0.4">
      <c r="A326" s="46"/>
      <c r="B326" s="211"/>
      <c r="C326" s="211"/>
      <c r="D326" s="33"/>
      <c r="E326" s="33"/>
      <c r="F326" s="33"/>
      <c r="G326" s="33"/>
      <c r="H326" s="33"/>
      <c r="I326" s="212"/>
      <c r="J326" s="212"/>
      <c r="K326" s="46"/>
      <c r="L326" s="46"/>
      <c r="M326" s="255"/>
      <c r="N326" s="200"/>
      <c r="O326" s="46"/>
      <c r="P326" s="46"/>
      <c r="Q326" s="46"/>
      <c r="R326" s="46"/>
      <c r="S326" s="33"/>
      <c r="T326" s="235"/>
      <c r="U326" s="243"/>
      <c r="V326" s="260"/>
      <c r="W326" s="34"/>
    </row>
    <row r="327" spans="1:23" x14ac:dyDescent="0.4">
      <c r="A327" s="46"/>
      <c r="B327" s="211"/>
      <c r="C327" s="211"/>
      <c r="D327" s="33"/>
      <c r="E327" s="33"/>
      <c r="F327" s="33"/>
      <c r="G327" s="33"/>
      <c r="H327" s="33"/>
      <c r="I327" s="212"/>
      <c r="J327" s="212"/>
      <c r="K327" s="46"/>
      <c r="L327" s="46"/>
      <c r="M327" s="255"/>
      <c r="N327" s="200"/>
      <c r="O327" s="46"/>
      <c r="P327" s="46"/>
      <c r="Q327" s="46"/>
      <c r="R327" s="46"/>
      <c r="S327" s="33"/>
      <c r="T327" s="235"/>
      <c r="U327" s="243"/>
      <c r="V327" s="260"/>
      <c r="W327" s="34"/>
    </row>
    <row r="328" spans="1:23" x14ac:dyDescent="0.4">
      <c r="A328" s="46"/>
      <c r="B328" s="211"/>
      <c r="C328" s="211"/>
      <c r="D328" s="33"/>
      <c r="E328" s="33"/>
      <c r="F328" s="33"/>
      <c r="G328" s="33"/>
      <c r="H328" s="33"/>
      <c r="I328" s="212"/>
      <c r="J328" s="212"/>
      <c r="K328" s="46"/>
      <c r="L328" s="46"/>
      <c r="M328" s="255"/>
      <c r="N328" s="200"/>
      <c r="O328" s="46"/>
      <c r="P328" s="46"/>
      <c r="Q328" s="46"/>
      <c r="R328" s="46"/>
      <c r="S328" s="33"/>
      <c r="T328" s="235"/>
      <c r="U328" s="243"/>
      <c r="V328" s="260"/>
      <c r="W328" s="34"/>
    </row>
    <row r="329" spans="1:23" x14ac:dyDescent="0.4">
      <c r="A329" s="46"/>
      <c r="B329" s="211"/>
      <c r="C329" s="211"/>
      <c r="D329" s="33"/>
      <c r="E329" s="33"/>
      <c r="F329" s="33"/>
      <c r="G329" s="33"/>
      <c r="H329" s="33"/>
      <c r="I329" s="212"/>
      <c r="J329" s="212"/>
      <c r="K329" s="46"/>
      <c r="L329" s="46"/>
      <c r="M329" s="255"/>
      <c r="N329" s="200"/>
      <c r="O329" s="46"/>
      <c r="P329" s="46"/>
      <c r="Q329" s="46"/>
      <c r="R329" s="46"/>
      <c r="S329" s="33"/>
      <c r="T329" s="235"/>
      <c r="U329" s="243"/>
      <c r="V329" s="260"/>
      <c r="W329" s="34"/>
    </row>
    <row r="330" spans="1:23" x14ac:dyDescent="0.4">
      <c r="A330" s="46"/>
      <c r="B330" s="211"/>
      <c r="C330" s="211"/>
      <c r="D330" s="33"/>
      <c r="E330" s="33"/>
      <c r="F330" s="33"/>
      <c r="G330" s="33"/>
      <c r="H330" s="33"/>
      <c r="I330" s="212"/>
      <c r="J330" s="212"/>
      <c r="K330" s="46"/>
      <c r="L330" s="46"/>
      <c r="M330" s="255"/>
      <c r="N330" s="200"/>
      <c r="O330" s="46"/>
      <c r="P330" s="46"/>
      <c r="Q330" s="46"/>
      <c r="R330" s="46"/>
      <c r="S330" s="33"/>
      <c r="T330" s="235"/>
      <c r="U330" s="243"/>
      <c r="V330" s="260"/>
      <c r="W330" s="34"/>
    </row>
    <row r="331" spans="1:23" x14ac:dyDescent="0.4">
      <c r="A331" s="46"/>
      <c r="B331" s="211"/>
      <c r="C331" s="211"/>
      <c r="D331" s="33"/>
      <c r="E331" s="33"/>
      <c r="F331" s="33"/>
      <c r="G331" s="33"/>
      <c r="H331" s="33"/>
      <c r="I331" s="212"/>
      <c r="J331" s="212"/>
      <c r="K331" s="46"/>
      <c r="L331" s="46"/>
      <c r="M331" s="255"/>
      <c r="N331" s="200"/>
      <c r="O331" s="46"/>
      <c r="P331" s="46"/>
      <c r="Q331" s="46"/>
      <c r="R331" s="46"/>
      <c r="S331" s="33"/>
      <c r="T331" s="235"/>
      <c r="U331" s="243"/>
      <c r="V331" s="260"/>
      <c r="W331" s="34"/>
    </row>
    <row r="332" spans="1:23" x14ac:dyDescent="0.4">
      <c r="A332" s="46"/>
      <c r="B332" s="211"/>
      <c r="C332" s="211"/>
      <c r="D332" s="33"/>
      <c r="E332" s="33"/>
      <c r="F332" s="33"/>
      <c r="G332" s="33"/>
      <c r="H332" s="33"/>
      <c r="I332" s="212"/>
      <c r="J332" s="212"/>
      <c r="K332" s="46"/>
      <c r="L332" s="46"/>
      <c r="M332" s="255"/>
      <c r="N332" s="200"/>
      <c r="O332" s="46"/>
      <c r="P332" s="46"/>
      <c r="Q332" s="46"/>
      <c r="R332" s="46"/>
      <c r="S332" s="33"/>
      <c r="T332" s="235"/>
      <c r="U332" s="243"/>
      <c r="V332" s="260"/>
      <c r="W332" s="34"/>
    </row>
    <row r="333" spans="1:23" x14ac:dyDescent="0.4">
      <c r="A333" s="46"/>
      <c r="B333" s="211"/>
      <c r="C333" s="211"/>
      <c r="D333" s="33"/>
      <c r="E333" s="33"/>
      <c r="F333" s="33"/>
      <c r="G333" s="33"/>
      <c r="H333" s="33"/>
      <c r="I333" s="212"/>
      <c r="J333" s="212"/>
      <c r="K333" s="46"/>
      <c r="L333" s="46"/>
      <c r="M333" s="255"/>
      <c r="N333" s="200"/>
      <c r="O333" s="46"/>
      <c r="P333" s="46"/>
      <c r="Q333" s="46"/>
      <c r="R333" s="46"/>
      <c r="S333" s="33"/>
      <c r="T333" s="235"/>
      <c r="U333" s="243"/>
      <c r="V333" s="260"/>
      <c r="W333" s="34"/>
    </row>
    <row r="334" spans="1:23" x14ac:dyDescent="0.4">
      <c r="A334" s="46"/>
      <c r="B334" s="211"/>
      <c r="C334" s="211"/>
      <c r="D334" s="33"/>
      <c r="E334" s="33"/>
      <c r="F334" s="33"/>
      <c r="G334" s="33"/>
      <c r="H334" s="33"/>
      <c r="I334" s="212"/>
      <c r="J334" s="212"/>
      <c r="K334" s="46"/>
      <c r="L334" s="46"/>
      <c r="M334" s="255"/>
      <c r="N334" s="200"/>
      <c r="O334" s="46"/>
      <c r="P334" s="46"/>
      <c r="Q334" s="46"/>
      <c r="R334" s="46"/>
      <c r="S334" s="33"/>
      <c r="T334" s="235"/>
      <c r="U334" s="243"/>
      <c r="V334" s="260"/>
      <c r="W334" s="34"/>
    </row>
    <row r="335" spans="1:23" x14ac:dyDescent="0.4">
      <c r="A335" s="46"/>
      <c r="B335" s="211"/>
      <c r="C335" s="211"/>
      <c r="D335" s="33"/>
      <c r="E335" s="33"/>
      <c r="F335" s="33"/>
      <c r="G335" s="33"/>
      <c r="H335" s="33"/>
      <c r="I335" s="212"/>
      <c r="J335" s="212"/>
      <c r="K335" s="46"/>
      <c r="L335" s="46"/>
      <c r="M335" s="255"/>
      <c r="N335" s="200"/>
      <c r="O335" s="46"/>
      <c r="P335" s="46"/>
      <c r="Q335" s="46"/>
      <c r="R335" s="46"/>
      <c r="S335" s="33"/>
      <c r="T335" s="235"/>
      <c r="U335" s="243"/>
      <c r="V335" s="260"/>
      <c r="W335" s="34"/>
    </row>
    <row r="336" spans="1:23" x14ac:dyDescent="0.4">
      <c r="A336" s="46"/>
      <c r="B336" s="211"/>
      <c r="C336" s="211"/>
      <c r="D336" s="33"/>
      <c r="E336" s="33"/>
      <c r="F336" s="33"/>
      <c r="G336" s="33"/>
      <c r="H336" s="33"/>
      <c r="I336" s="212"/>
      <c r="J336" s="212"/>
      <c r="K336" s="46"/>
      <c r="L336" s="46"/>
      <c r="M336" s="255"/>
      <c r="N336" s="200"/>
      <c r="O336" s="46"/>
      <c r="P336" s="46"/>
      <c r="Q336" s="46"/>
      <c r="R336" s="46"/>
      <c r="S336" s="33"/>
      <c r="T336" s="235"/>
      <c r="U336" s="243"/>
      <c r="V336" s="260"/>
      <c r="W336" s="34"/>
    </row>
    <row r="337" spans="1:23" x14ac:dyDescent="0.4">
      <c r="A337" s="46"/>
      <c r="B337" s="211"/>
      <c r="C337" s="211"/>
      <c r="D337" s="33"/>
      <c r="E337" s="33"/>
      <c r="F337" s="33"/>
      <c r="G337" s="33"/>
      <c r="H337" s="33"/>
      <c r="I337" s="212"/>
      <c r="J337" s="212"/>
      <c r="K337" s="46"/>
      <c r="L337" s="46"/>
      <c r="M337" s="255"/>
      <c r="N337" s="200"/>
      <c r="O337" s="46"/>
      <c r="P337" s="46"/>
      <c r="Q337" s="46"/>
      <c r="R337" s="46"/>
      <c r="S337" s="33"/>
      <c r="T337" s="235"/>
      <c r="U337" s="243"/>
      <c r="V337" s="260"/>
      <c r="W337" s="34"/>
    </row>
    <row r="338" spans="1:23" x14ac:dyDescent="0.4">
      <c r="A338" s="46"/>
      <c r="B338" s="211"/>
      <c r="C338" s="211"/>
      <c r="D338" s="33"/>
      <c r="E338" s="33"/>
      <c r="F338" s="33"/>
      <c r="G338" s="33"/>
      <c r="H338" s="33"/>
      <c r="I338" s="212"/>
      <c r="J338" s="212"/>
      <c r="K338" s="46"/>
      <c r="L338" s="46"/>
      <c r="M338" s="255"/>
      <c r="N338" s="200"/>
      <c r="O338" s="46"/>
      <c r="P338" s="46"/>
      <c r="Q338" s="46"/>
      <c r="R338" s="46"/>
      <c r="S338" s="33"/>
      <c r="T338" s="235"/>
      <c r="U338" s="243"/>
      <c r="V338" s="260"/>
      <c r="W338" s="34"/>
    </row>
    <row r="339" spans="1:23" x14ac:dyDescent="0.4">
      <c r="A339" s="46"/>
      <c r="B339" s="211"/>
      <c r="C339" s="211"/>
      <c r="D339" s="33"/>
      <c r="E339" s="33"/>
      <c r="F339" s="33"/>
      <c r="G339" s="33"/>
      <c r="H339" s="33"/>
      <c r="I339" s="212"/>
      <c r="J339" s="212"/>
      <c r="K339" s="46"/>
      <c r="L339" s="46"/>
      <c r="M339" s="255"/>
      <c r="N339" s="200"/>
      <c r="O339" s="46"/>
      <c r="P339" s="46"/>
      <c r="Q339" s="46"/>
      <c r="R339" s="46"/>
      <c r="S339" s="33"/>
      <c r="T339" s="235"/>
      <c r="U339" s="243"/>
      <c r="V339" s="260"/>
      <c r="W339" s="34"/>
    </row>
    <row r="340" spans="1:23" x14ac:dyDescent="0.4">
      <c r="A340" s="46"/>
      <c r="B340" s="211"/>
      <c r="C340" s="211"/>
      <c r="D340" s="33"/>
      <c r="E340" s="33"/>
      <c r="F340" s="33"/>
      <c r="G340" s="33"/>
      <c r="H340" s="33"/>
      <c r="I340" s="212"/>
      <c r="J340" s="212"/>
      <c r="K340" s="46"/>
      <c r="L340" s="46"/>
      <c r="M340" s="255"/>
      <c r="N340" s="200"/>
      <c r="O340" s="46"/>
      <c r="P340" s="46"/>
      <c r="Q340" s="46"/>
      <c r="R340" s="46"/>
      <c r="S340" s="33"/>
      <c r="T340" s="235"/>
      <c r="U340" s="243"/>
      <c r="V340" s="260"/>
      <c r="W340" s="34"/>
    </row>
    <row r="341" spans="1:23" x14ac:dyDescent="0.4">
      <c r="A341" s="46"/>
      <c r="B341" s="211"/>
      <c r="C341" s="211"/>
      <c r="D341" s="33"/>
      <c r="E341" s="33"/>
      <c r="F341" s="33"/>
      <c r="G341" s="33"/>
      <c r="H341" s="33"/>
      <c r="I341" s="212"/>
      <c r="J341" s="212"/>
      <c r="K341" s="46"/>
      <c r="L341" s="46"/>
      <c r="M341" s="255"/>
      <c r="N341" s="200"/>
      <c r="O341" s="46"/>
      <c r="P341" s="46"/>
      <c r="Q341" s="46"/>
      <c r="R341" s="46"/>
      <c r="S341" s="33"/>
      <c r="T341" s="235"/>
      <c r="U341" s="243"/>
      <c r="V341" s="260"/>
      <c r="W341" s="34"/>
    </row>
    <row r="342" spans="1:23" x14ac:dyDescent="0.4">
      <c r="A342" s="46"/>
      <c r="B342" s="211"/>
      <c r="C342" s="211"/>
      <c r="D342" s="33"/>
      <c r="E342" s="33"/>
      <c r="F342" s="33"/>
      <c r="G342" s="33"/>
      <c r="H342" s="33"/>
      <c r="I342" s="212"/>
      <c r="J342" s="212"/>
      <c r="K342" s="46"/>
      <c r="L342" s="46"/>
      <c r="M342" s="255"/>
      <c r="N342" s="200"/>
      <c r="O342" s="46"/>
      <c r="P342" s="46"/>
      <c r="Q342" s="46"/>
      <c r="R342" s="46"/>
      <c r="S342" s="33"/>
      <c r="T342" s="235"/>
      <c r="U342" s="243"/>
      <c r="V342" s="260"/>
      <c r="W342" s="34"/>
    </row>
    <row r="343" spans="1:23" x14ac:dyDescent="0.4">
      <c r="A343" s="46"/>
      <c r="B343" s="211"/>
      <c r="C343" s="211"/>
      <c r="D343" s="33"/>
      <c r="E343" s="33"/>
      <c r="F343" s="33"/>
      <c r="G343" s="33"/>
      <c r="H343" s="33"/>
      <c r="I343" s="212"/>
      <c r="J343" s="212"/>
      <c r="K343" s="46"/>
      <c r="L343" s="46"/>
      <c r="M343" s="255"/>
      <c r="N343" s="200"/>
      <c r="O343" s="46"/>
      <c r="P343" s="46"/>
      <c r="Q343" s="46"/>
      <c r="R343" s="46"/>
      <c r="S343" s="33"/>
      <c r="T343" s="235"/>
      <c r="U343" s="243"/>
      <c r="V343" s="260"/>
      <c r="W343" s="34"/>
    </row>
    <row r="344" spans="1:23" x14ac:dyDescent="0.4">
      <c r="A344" s="46"/>
      <c r="B344" s="211"/>
      <c r="C344" s="211"/>
      <c r="D344" s="33"/>
      <c r="E344" s="33"/>
      <c r="F344" s="33"/>
      <c r="G344" s="33"/>
      <c r="H344" s="33"/>
      <c r="I344" s="212"/>
      <c r="J344" s="212"/>
      <c r="K344" s="46"/>
      <c r="L344" s="46"/>
      <c r="M344" s="255"/>
      <c r="N344" s="200"/>
      <c r="O344" s="46"/>
      <c r="P344" s="46"/>
      <c r="Q344" s="46"/>
      <c r="R344" s="46"/>
      <c r="S344" s="33"/>
      <c r="T344" s="235"/>
      <c r="U344" s="243"/>
      <c r="V344" s="260"/>
      <c r="W344" s="34"/>
    </row>
    <row r="345" spans="1:23" x14ac:dyDescent="0.4">
      <c r="A345" s="46"/>
      <c r="B345" s="211"/>
      <c r="C345" s="211"/>
      <c r="D345" s="33"/>
      <c r="E345" s="33"/>
      <c r="F345" s="33"/>
      <c r="G345" s="33"/>
      <c r="H345" s="33"/>
      <c r="I345" s="212"/>
      <c r="J345" s="212"/>
      <c r="K345" s="46"/>
      <c r="L345" s="46"/>
      <c r="M345" s="255"/>
      <c r="N345" s="200"/>
      <c r="O345" s="46"/>
      <c r="P345" s="46"/>
      <c r="Q345" s="46"/>
      <c r="R345" s="46"/>
      <c r="S345" s="33"/>
      <c r="T345" s="235"/>
      <c r="U345" s="243"/>
      <c r="V345" s="260"/>
      <c r="W345" s="34"/>
    </row>
    <row r="346" spans="1:23" x14ac:dyDescent="0.4">
      <c r="A346" s="46"/>
      <c r="B346" s="211"/>
      <c r="C346" s="211"/>
      <c r="D346" s="33"/>
      <c r="E346" s="33"/>
      <c r="F346" s="33"/>
      <c r="G346" s="33"/>
      <c r="H346" s="33"/>
      <c r="I346" s="212"/>
      <c r="J346" s="212"/>
      <c r="K346" s="46"/>
      <c r="L346" s="46"/>
      <c r="M346" s="255"/>
      <c r="N346" s="200"/>
      <c r="O346" s="46"/>
      <c r="P346" s="46"/>
      <c r="Q346" s="46"/>
      <c r="R346" s="46"/>
      <c r="S346" s="33"/>
      <c r="T346" s="235"/>
      <c r="U346" s="243"/>
      <c r="V346" s="260"/>
      <c r="W346" s="34"/>
    </row>
    <row r="347" spans="1:23" x14ac:dyDescent="0.4">
      <c r="A347" s="46"/>
      <c r="B347" s="211"/>
      <c r="C347" s="211"/>
      <c r="D347" s="33"/>
      <c r="E347" s="33"/>
      <c r="F347" s="33"/>
      <c r="G347" s="33"/>
      <c r="H347" s="33"/>
      <c r="I347" s="212"/>
      <c r="J347" s="212"/>
      <c r="K347" s="46"/>
      <c r="L347" s="46"/>
      <c r="M347" s="255"/>
      <c r="N347" s="200"/>
      <c r="O347" s="46"/>
      <c r="P347" s="46"/>
      <c r="Q347" s="46"/>
      <c r="R347" s="46"/>
      <c r="S347" s="33"/>
      <c r="T347" s="235"/>
      <c r="U347" s="243"/>
      <c r="V347" s="260"/>
      <c r="W347" s="34"/>
    </row>
    <row r="348" spans="1:23" x14ac:dyDescent="0.4">
      <c r="A348" s="46"/>
      <c r="B348" s="211"/>
      <c r="C348" s="211"/>
      <c r="D348" s="33"/>
      <c r="E348" s="33"/>
      <c r="F348" s="33"/>
      <c r="G348" s="33"/>
      <c r="H348" s="33"/>
      <c r="I348" s="212"/>
      <c r="J348" s="212"/>
      <c r="K348" s="46"/>
      <c r="L348" s="46"/>
      <c r="M348" s="255"/>
      <c r="N348" s="200"/>
      <c r="O348" s="46"/>
      <c r="P348" s="46"/>
      <c r="Q348" s="46"/>
      <c r="R348" s="46"/>
      <c r="S348" s="33"/>
      <c r="T348" s="235"/>
      <c r="U348" s="243"/>
      <c r="V348" s="260"/>
      <c r="W348" s="34"/>
    </row>
    <row r="349" spans="1:23" x14ac:dyDescent="0.4">
      <c r="A349" s="46"/>
      <c r="B349" s="211"/>
      <c r="C349" s="211"/>
      <c r="D349" s="33"/>
      <c r="E349" s="33"/>
      <c r="F349" s="33"/>
      <c r="G349" s="33"/>
      <c r="H349" s="33"/>
      <c r="I349" s="212"/>
      <c r="J349" s="212"/>
      <c r="K349" s="46"/>
      <c r="L349" s="46"/>
      <c r="M349" s="255"/>
      <c r="N349" s="200"/>
      <c r="O349" s="46"/>
      <c r="P349" s="46"/>
      <c r="Q349" s="46"/>
      <c r="R349" s="46"/>
      <c r="S349" s="33"/>
      <c r="T349" s="235"/>
      <c r="U349" s="243"/>
      <c r="V349" s="260"/>
      <c r="W349" s="34"/>
    </row>
    <row r="350" spans="1:23" x14ac:dyDescent="0.4">
      <c r="A350" s="46"/>
      <c r="B350" s="211"/>
      <c r="C350" s="211"/>
      <c r="D350" s="33"/>
      <c r="E350" s="33"/>
      <c r="F350" s="33"/>
      <c r="G350" s="33"/>
      <c r="H350" s="33"/>
      <c r="I350" s="212"/>
      <c r="J350" s="212"/>
      <c r="K350" s="46"/>
      <c r="L350" s="46"/>
      <c r="M350" s="255"/>
      <c r="N350" s="200"/>
      <c r="O350" s="46"/>
      <c r="P350" s="46"/>
      <c r="Q350" s="46"/>
      <c r="R350" s="46"/>
      <c r="S350" s="33"/>
      <c r="T350" s="235"/>
      <c r="U350" s="243"/>
      <c r="V350" s="260"/>
      <c r="W350" s="34"/>
    </row>
    <row r="351" spans="1:23" x14ac:dyDescent="0.4">
      <c r="A351" s="46"/>
      <c r="B351" s="211"/>
      <c r="C351" s="211"/>
      <c r="D351" s="33"/>
      <c r="E351" s="33"/>
      <c r="F351" s="33"/>
      <c r="G351" s="33"/>
      <c r="H351" s="33"/>
      <c r="I351" s="212"/>
      <c r="J351" s="212"/>
      <c r="K351" s="46"/>
      <c r="L351" s="46"/>
      <c r="M351" s="255"/>
      <c r="N351" s="200"/>
      <c r="O351" s="46"/>
      <c r="P351" s="46"/>
      <c r="Q351" s="46"/>
      <c r="R351" s="46"/>
      <c r="S351" s="33"/>
      <c r="T351" s="235"/>
      <c r="U351" s="243"/>
      <c r="V351" s="260"/>
      <c r="W351" s="34"/>
    </row>
    <row r="352" spans="1:23" x14ac:dyDescent="0.4">
      <c r="A352" s="46"/>
      <c r="B352" s="211"/>
      <c r="C352" s="211"/>
      <c r="D352" s="33"/>
      <c r="E352" s="33"/>
      <c r="F352" s="33"/>
      <c r="G352" s="33"/>
      <c r="H352" s="33"/>
      <c r="I352" s="212"/>
      <c r="J352" s="212"/>
      <c r="K352" s="46"/>
      <c r="L352" s="46"/>
      <c r="M352" s="255"/>
      <c r="N352" s="200"/>
      <c r="O352" s="46"/>
      <c r="P352" s="46"/>
      <c r="Q352" s="46"/>
      <c r="R352" s="46"/>
      <c r="S352" s="33"/>
      <c r="T352" s="235"/>
      <c r="U352" s="243"/>
      <c r="V352" s="260"/>
      <c r="W352" s="34"/>
    </row>
    <row r="353" spans="1:23" x14ac:dyDescent="0.4">
      <c r="A353" s="46"/>
      <c r="B353" s="211"/>
      <c r="C353" s="211"/>
      <c r="D353" s="33"/>
      <c r="E353" s="33"/>
      <c r="F353" s="33"/>
      <c r="G353" s="33"/>
      <c r="H353" s="33"/>
      <c r="I353" s="212"/>
      <c r="J353" s="212"/>
      <c r="K353" s="46"/>
      <c r="L353" s="46"/>
      <c r="M353" s="255"/>
      <c r="N353" s="200"/>
      <c r="O353" s="46"/>
      <c r="P353" s="46"/>
      <c r="Q353" s="46"/>
      <c r="R353" s="46"/>
      <c r="S353" s="33"/>
      <c r="T353" s="235"/>
      <c r="U353" s="243"/>
      <c r="V353" s="260"/>
      <c r="W353" s="34"/>
    </row>
    <row r="354" spans="1:23" x14ac:dyDescent="0.4">
      <c r="A354" s="46"/>
      <c r="B354" s="211"/>
      <c r="C354" s="211"/>
      <c r="D354" s="33"/>
      <c r="E354" s="33"/>
      <c r="F354" s="33"/>
      <c r="G354" s="33"/>
      <c r="H354" s="33"/>
      <c r="I354" s="212"/>
      <c r="J354" s="212"/>
      <c r="K354" s="46"/>
      <c r="L354" s="46"/>
      <c r="M354" s="255"/>
      <c r="N354" s="200"/>
      <c r="O354" s="46"/>
      <c r="P354" s="46"/>
      <c r="Q354" s="46"/>
      <c r="R354" s="46"/>
      <c r="S354" s="33"/>
      <c r="T354" s="235"/>
      <c r="U354" s="243"/>
      <c r="V354" s="260"/>
      <c r="W354" s="34"/>
    </row>
    <row r="355" spans="1:23" x14ac:dyDescent="0.4">
      <c r="A355" s="46"/>
      <c r="B355" s="211"/>
      <c r="C355" s="211"/>
      <c r="D355" s="33"/>
      <c r="E355" s="33"/>
      <c r="F355" s="33"/>
      <c r="G355" s="33"/>
      <c r="H355" s="33"/>
      <c r="I355" s="212"/>
      <c r="J355" s="212"/>
      <c r="K355" s="46"/>
      <c r="L355" s="46"/>
      <c r="M355" s="255"/>
      <c r="N355" s="200"/>
      <c r="O355" s="46"/>
      <c r="P355" s="46"/>
      <c r="Q355" s="46"/>
      <c r="R355" s="46"/>
      <c r="S355" s="33"/>
      <c r="T355" s="235"/>
      <c r="U355" s="243"/>
      <c r="V355" s="260"/>
      <c r="W355" s="34"/>
    </row>
    <row r="356" spans="1:23" x14ac:dyDescent="0.4">
      <c r="A356" s="46"/>
      <c r="B356" s="211"/>
      <c r="C356" s="211"/>
      <c r="D356" s="33"/>
      <c r="E356" s="33"/>
      <c r="F356" s="33"/>
      <c r="G356" s="33"/>
      <c r="H356" s="33"/>
      <c r="I356" s="212"/>
      <c r="J356" s="212"/>
      <c r="K356" s="46"/>
      <c r="L356" s="46"/>
      <c r="M356" s="255"/>
      <c r="N356" s="200"/>
      <c r="O356" s="46"/>
      <c r="P356" s="46"/>
      <c r="Q356" s="46"/>
      <c r="R356" s="46"/>
      <c r="S356" s="33"/>
      <c r="T356" s="235"/>
      <c r="U356" s="243"/>
      <c r="V356" s="260"/>
      <c r="W356" s="34"/>
    </row>
    <row r="357" spans="1:23" x14ac:dyDescent="0.4">
      <c r="A357" s="46"/>
      <c r="B357" s="211"/>
      <c r="C357" s="211"/>
      <c r="D357" s="33"/>
      <c r="E357" s="33"/>
      <c r="F357" s="33"/>
      <c r="G357" s="33"/>
      <c r="H357" s="33"/>
      <c r="I357" s="212"/>
      <c r="J357" s="212"/>
      <c r="K357" s="46"/>
      <c r="L357" s="46"/>
      <c r="M357" s="255"/>
      <c r="N357" s="200"/>
      <c r="O357" s="46"/>
      <c r="P357" s="46"/>
      <c r="Q357" s="46"/>
      <c r="R357" s="46"/>
      <c r="S357" s="33"/>
      <c r="T357" s="235"/>
      <c r="U357" s="243"/>
      <c r="V357" s="260"/>
      <c r="W357" s="34"/>
    </row>
    <row r="358" spans="1:23" x14ac:dyDescent="0.4">
      <c r="A358" s="46"/>
      <c r="B358" s="211"/>
      <c r="C358" s="211"/>
      <c r="D358" s="33"/>
      <c r="E358" s="33"/>
      <c r="F358" s="33"/>
      <c r="G358" s="33"/>
      <c r="H358" s="33"/>
      <c r="I358" s="212"/>
      <c r="J358" s="212"/>
      <c r="K358" s="46"/>
      <c r="L358" s="46"/>
      <c r="M358" s="255"/>
      <c r="N358" s="200"/>
      <c r="O358" s="46"/>
      <c r="P358" s="46"/>
      <c r="Q358" s="46"/>
      <c r="R358" s="46"/>
      <c r="S358" s="33"/>
      <c r="T358" s="235"/>
      <c r="U358" s="243"/>
      <c r="V358" s="260"/>
      <c r="W358" s="34"/>
    </row>
    <row r="359" spans="1:23" x14ac:dyDescent="0.4">
      <c r="A359" s="46"/>
      <c r="B359" s="211"/>
      <c r="C359" s="211"/>
      <c r="D359" s="33"/>
      <c r="E359" s="33"/>
      <c r="F359" s="33"/>
      <c r="G359" s="33"/>
      <c r="H359" s="33"/>
      <c r="I359" s="212"/>
      <c r="J359" s="212"/>
      <c r="K359" s="46"/>
      <c r="L359" s="46"/>
      <c r="M359" s="255"/>
      <c r="N359" s="200"/>
      <c r="O359" s="46"/>
      <c r="P359" s="46"/>
      <c r="Q359" s="46"/>
      <c r="R359" s="46"/>
      <c r="S359" s="33"/>
      <c r="T359" s="235"/>
      <c r="U359" s="243"/>
      <c r="V359" s="260"/>
      <c r="W359" s="34"/>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21">
    <mergeCell ref="A1:W1"/>
    <mergeCell ref="O6:O24"/>
    <mergeCell ref="P6:P24"/>
    <mergeCell ref="V4:W4"/>
    <mergeCell ref="Q6:Q24"/>
    <mergeCell ref="A3:T3"/>
    <mergeCell ref="A4:E4"/>
    <mergeCell ref="F4:L4"/>
    <mergeCell ref="M4:N4"/>
    <mergeCell ref="O4:Q4"/>
    <mergeCell ref="R28:R31"/>
    <mergeCell ref="R25:R27"/>
    <mergeCell ref="R6:R24"/>
    <mergeCell ref="S4:U4"/>
    <mergeCell ref="A2:W2"/>
    <mergeCell ref="O25:O27"/>
    <mergeCell ref="P25:P27"/>
    <mergeCell ref="Q25:Q27"/>
    <mergeCell ref="O28:O31"/>
    <mergeCell ref="Q28:Q31"/>
    <mergeCell ref="P28:P31"/>
  </mergeCells>
  <conditionalFormatting sqref="O25">
    <cfRule type="containsText" dxfId="44" priority="1" operator="containsText" text="No">
      <formula>NOT(ISERROR(SEARCH("No",O25)))</formula>
    </cfRule>
    <cfRule type="containsText" dxfId="43" priority="2" operator="containsText" text="Yes">
      <formula>NOT(ISERROR(SEARCH("Yes",O25)))</formula>
    </cfRule>
  </conditionalFormatting>
  <conditionalFormatting sqref="O6:R6 O32:R1048576">
    <cfRule type="containsText" dxfId="42" priority="6" operator="containsText" text="No">
      <formula>NOT(ISERROR(SEARCH("No",O6)))</formula>
    </cfRule>
    <cfRule type="containsText" dxfId="41" priority="7" operator="containsText" text="Yes">
      <formula>NOT(ISERROR(SEARCH("Yes",O6)))</formula>
    </cfRule>
  </conditionalFormatting>
  <conditionalFormatting sqref="S6:S1048576">
    <cfRule type="containsText" dxfId="40" priority="3" operator="containsText" text="Rejected">
      <formula>NOT(ISERROR(SEARCH("Rejected",S6)))</formula>
    </cfRule>
    <cfRule type="containsText" dxfId="39" priority="4" operator="containsText" text="Revisions Needed">
      <formula>NOT(ISERROR(SEARCH("Revisions Needed",S6)))</formula>
    </cfRule>
    <cfRule type="containsText" dxfId="38" priority="5" operator="containsText" text="Approved">
      <formula>NOT(ISERROR(SEARCH("Approved",S6)))</formula>
    </cfRule>
  </conditionalFormatting>
  <dataValidations count="4">
    <dataValidation type="list" allowBlank="1" showInputMessage="1" showErrorMessage="1" sqref="P6:Q6" xr:uid="{BF9D9037-BD8D-45F4-894D-A60312F6EABD}">
      <formula1>"Yes, No"</formula1>
    </dataValidation>
    <dataValidation type="list" allowBlank="1" showInputMessage="1" showErrorMessage="1" sqref="C6:C1048576" xr:uid="{8A8E0575-6FFA-43A9-A61E-EC26529A75D5}">
      <formula1>"Monthly, Yearly"</formula1>
    </dataValidation>
    <dataValidation type="list" allowBlank="1" showInputMessage="1" showErrorMessage="1" sqref="O6 O32:Q1048576" xr:uid="{C1FE1E7A-86B0-4108-B9E5-A5A752C7F61B}">
      <formula1>"No, Yes"</formula1>
    </dataValidation>
    <dataValidation type="list" allowBlank="1" sqref="S6:S1048576" xr:uid="{04CCCD65-8E04-4644-AF4F-066C7EEB3949}">
      <formula1>"Approved,Revisions Needed, Rejected"</formula1>
    </dataValidation>
  </dataValidation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7C7C-2004-477A-A207-00D6F5F7FF03}">
  <sheetPr>
    <tabColor theme="6"/>
  </sheetPr>
  <dimension ref="A1:V26"/>
  <sheetViews>
    <sheetView showGridLines="0" zoomScale="60" zoomScaleNormal="60" workbookViewId="0">
      <selection activeCell="K9" sqref="K9"/>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5.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2.81640625" style="2" customWidth="1"/>
    <col min="13" max="13" width="36" style="1" customWidth="1"/>
    <col min="14" max="14" width="85" style="143" customWidth="1"/>
    <col min="15" max="15" width="12.81640625" style="76" customWidth="1"/>
    <col min="16" max="16" width="10.81640625" style="76" customWidth="1"/>
    <col min="17" max="17" width="13.1796875" style="76" customWidth="1"/>
    <col min="18" max="18" width="45.26953125" style="76" customWidth="1"/>
    <col min="19" max="19" width="17.1796875" style="2" customWidth="1"/>
    <col min="20" max="20" width="76.54296875" style="17" customWidth="1"/>
    <col min="21" max="21" width="16.26953125" style="159" customWidth="1"/>
    <col min="22" max="22" width="76.54296875" style="17" customWidth="1"/>
    <col min="23" max="16384" width="8.54296875" style="1"/>
  </cols>
  <sheetData>
    <row r="1" spans="1:22" ht="37.5" customHeight="1" x14ac:dyDescent="0.35">
      <c r="A1" s="555" t="s">
        <v>0</v>
      </c>
      <c r="B1" s="555"/>
      <c r="C1" s="555"/>
      <c r="D1" s="555"/>
      <c r="E1" s="555"/>
      <c r="F1" s="555"/>
      <c r="G1" s="555"/>
      <c r="H1" s="555"/>
      <c r="I1" s="555"/>
      <c r="J1" s="555"/>
      <c r="K1" s="555"/>
      <c r="L1" s="555"/>
      <c r="M1" s="555"/>
      <c r="N1" s="555"/>
      <c r="O1" s="555"/>
      <c r="P1" s="555"/>
      <c r="Q1" s="555"/>
      <c r="R1" s="555"/>
      <c r="S1" s="555"/>
      <c r="T1" s="555"/>
      <c r="U1" s="81"/>
      <c r="V1" s="81"/>
    </row>
    <row r="2" spans="1:22" ht="19.5" customHeight="1" thickBot="1" x14ac:dyDescent="0.4">
      <c r="A2" s="550" t="s">
        <v>2</v>
      </c>
      <c r="B2" s="550"/>
      <c r="C2" s="550"/>
      <c r="D2" s="550"/>
      <c r="E2" s="550"/>
      <c r="F2" s="550"/>
      <c r="G2" s="550"/>
      <c r="H2" s="550"/>
      <c r="I2" s="550"/>
      <c r="J2" s="550"/>
      <c r="K2" s="550"/>
      <c r="L2" s="550"/>
      <c r="M2" s="550"/>
      <c r="N2" s="550"/>
      <c r="O2" s="550"/>
      <c r="P2" s="550"/>
      <c r="Q2" s="550"/>
      <c r="R2" s="550"/>
      <c r="S2" s="550"/>
      <c r="T2" s="550"/>
      <c r="U2" s="82"/>
      <c r="V2" s="82"/>
    </row>
    <row r="3" spans="1:22" s="4" customFormat="1" ht="27.75" customHeight="1" thickTop="1" thickBot="1" x14ac:dyDescent="0.45">
      <c r="A3" s="516" t="s">
        <v>3</v>
      </c>
      <c r="B3" s="516"/>
      <c r="C3" s="516"/>
      <c r="D3" s="516"/>
      <c r="E3" s="516"/>
      <c r="F3" s="547" t="s">
        <v>4</v>
      </c>
      <c r="G3" s="548"/>
      <c r="H3" s="548"/>
      <c r="I3" s="548"/>
      <c r="J3" s="548"/>
      <c r="K3" s="548"/>
      <c r="L3" s="549"/>
      <c r="M3" s="516" t="s">
        <v>5</v>
      </c>
      <c r="N3" s="516"/>
      <c r="O3" s="547" t="s">
        <v>6</v>
      </c>
      <c r="P3" s="548"/>
      <c r="Q3" s="549"/>
      <c r="R3" s="154"/>
      <c r="S3" s="516" t="s">
        <v>7</v>
      </c>
      <c r="T3" s="516"/>
      <c r="U3" s="513" t="s">
        <v>396</v>
      </c>
      <c r="V3" s="515"/>
    </row>
    <row r="4" spans="1:22" ht="71.5" customHeight="1" thickTop="1" thickBot="1" x14ac:dyDescent="0.4">
      <c r="A4" s="10" t="s">
        <v>9</v>
      </c>
      <c r="B4" s="10" t="s">
        <v>10</v>
      </c>
      <c r="C4" s="10" t="s">
        <v>11</v>
      </c>
      <c r="D4" s="10" t="s">
        <v>12</v>
      </c>
      <c r="E4" s="10" t="s">
        <v>13</v>
      </c>
      <c r="F4" s="10" t="s">
        <v>14</v>
      </c>
      <c r="G4" s="10" t="s">
        <v>228</v>
      </c>
      <c r="H4" s="10" t="s">
        <v>15</v>
      </c>
      <c r="I4" s="10" t="s">
        <v>16</v>
      </c>
      <c r="J4" s="10" t="s">
        <v>17</v>
      </c>
      <c r="K4" s="10" t="s">
        <v>18</v>
      </c>
      <c r="L4" s="10" t="s">
        <v>19</v>
      </c>
      <c r="M4" s="10" t="s">
        <v>20</v>
      </c>
      <c r="N4" s="10" t="s">
        <v>21</v>
      </c>
      <c r="O4" s="10" t="s">
        <v>22</v>
      </c>
      <c r="P4" s="10" t="s">
        <v>23</v>
      </c>
      <c r="Q4" s="10" t="s">
        <v>24</v>
      </c>
      <c r="R4" s="191" t="s">
        <v>25</v>
      </c>
      <c r="S4" s="23" t="s">
        <v>26</v>
      </c>
      <c r="T4" s="18" t="s">
        <v>27</v>
      </c>
      <c r="U4" s="85" t="s">
        <v>29</v>
      </c>
      <c r="V4" s="85" t="s">
        <v>30</v>
      </c>
    </row>
    <row r="5" spans="1:22" s="5" customFormat="1" ht="205.5" customHeight="1" thickTop="1" x14ac:dyDescent="0.35">
      <c r="A5" s="145">
        <v>1</v>
      </c>
      <c r="B5" s="146" t="s">
        <v>908</v>
      </c>
      <c r="C5" s="144" t="s">
        <v>67</v>
      </c>
      <c r="D5" s="147" t="s">
        <v>909</v>
      </c>
      <c r="E5" s="148" t="s">
        <v>910</v>
      </c>
      <c r="F5" s="92" t="s">
        <v>590</v>
      </c>
      <c r="G5" s="92"/>
      <c r="H5" s="92" t="s">
        <v>399</v>
      </c>
      <c r="I5" s="93" t="s">
        <v>416</v>
      </c>
      <c r="J5" s="93" t="s">
        <v>52</v>
      </c>
      <c r="K5" s="92" t="s">
        <v>53</v>
      </c>
      <c r="L5" s="6">
        <v>3</v>
      </c>
      <c r="M5" s="133" t="s">
        <v>911</v>
      </c>
      <c r="N5" s="152" t="s">
        <v>912</v>
      </c>
      <c r="O5" s="544" t="s">
        <v>150</v>
      </c>
      <c r="P5" s="544" t="s">
        <v>150</v>
      </c>
      <c r="Q5" s="544" t="s">
        <v>150</v>
      </c>
      <c r="R5" s="517" t="s">
        <v>913</v>
      </c>
      <c r="S5" s="100" t="s">
        <v>56</v>
      </c>
      <c r="T5" s="193" t="s">
        <v>914</v>
      </c>
      <c r="U5" s="155" t="s">
        <v>352</v>
      </c>
      <c r="V5" s="195" t="s">
        <v>915</v>
      </c>
    </row>
    <row r="6" spans="1:22" s="5" customFormat="1" ht="228.65" customHeight="1" x14ac:dyDescent="0.4">
      <c r="A6" s="38">
        <v>2</v>
      </c>
      <c r="B6" s="144" t="s">
        <v>908</v>
      </c>
      <c r="C6" s="144" t="s">
        <v>67</v>
      </c>
      <c r="D6" s="38" t="s">
        <v>909</v>
      </c>
      <c r="E6" s="150" t="s">
        <v>916</v>
      </c>
      <c r="F6" s="38" t="s">
        <v>590</v>
      </c>
      <c r="G6" s="38"/>
      <c r="H6" s="38" t="s">
        <v>399</v>
      </c>
      <c r="I6" s="151" t="s">
        <v>917</v>
      </c>
      <c r="J6" s="151" t="s">
        <v>52</v>
      </c>
      <c r="K6" s="38" t="s">
        <v>53</v>
      </c>
      <c r="L6" s="41">
        <v>3</v>
      </c>
      <c r="M6" s="75" t="s">
        <v>911</v>
      </c>
      <c r="N6" s="153" t="s">
        <v>912</v>
      </c>
      <c r="O6" s="546"/>
      <c r="P6" s="546"/>
      <c r="Q6" s="546"/>
      <c r="R6" s="518"/>
      <c r="S6" s="41" t="s">
        <v>56</v>
      </c>
      <c r="T6" s="171" t="s">
        <v>914</v>
      </c>
      <c r="U6" s="194" t="s">
        <v>352</v>
      </c>
      <c r="V6" s="196" t="s">
        <v>918</v>
      </c>
    </row>
    <row r="7" spans="1:22" s="5" customFormat="1" ht="409" hidden="1" customHeight="1" x14ac:dyDescent="0.35">
      <c r="A7" s="8">
        <v>3</v>
      </c>
      <c r="B7" s="12" t="s">
        <v>361</v>
      </c>
      <c r="C7" s="144" t="s">
        <v>46</v>
      </c>
      <c r="D7" s="122" t="s">
        <v>919</v>
      </c>
      <c r="E7" s="47" t="s">
        <v>920</v>
      </c>
      <c r="F7" s="8" t="s">
        <v>590</v>
      </c>
      <c r="G7" s="8"/>
      <c r="H7" s="8" t="s">
        <v>71</v>
      </c>
      <c r="I7" s="26" t="s">
        <v>921</v>
      </c>
      <c r="J7" s="26" t="s">
        <v>922</v>
      </c>
      <c r="K7" s="8" t="s">
        <v>74</v>
      </c>
      <c r="L7" s="8"/>
      <c r="M7" s="9" t="s">
        <v>616</v>
      </c>
      <c r="N7" s="9" t="s">
        <v>923</v>
      </c>
      <c r="O7" s="223" t="s">
        <v>150</v>
      </c>
      <c r="P7" s="223" t="s">
        <v>150</v>
      </c>
      <c r="Q7" s="223" t="s">
        <v>150</v>
      </c>
      <c r="R7" s="578" t="s">
        <v>924</v>
      </c>
      <c r="S7" s="224" t="s">
        <v>201</v>
      </c>
      <c r="T7" s="225" t="s">
        <v>925</v>
      </c>
      <c r="U7" s="226" t="s">
        <v>352</v>
      </c>
      <c r="V7" s="195" t="s">
        <v>926</v>
      </c>
    </row>
    <row r="8" spans="1:22" s="5" customFormat="1" ht="409" hidden="1" customHeight="1" x14ac:dyDescent="0.35">
      <c r="A8" s="8">
        <v>4</v>
      </c>
      <c r="B8" s="12" t="s">
        <v>361</v>
      </c>
      <c r="C8" s="144" t="s">
        <v>67</v>
      </c>
      <c r="D8" s="122" t="s">
        <v>919</v>
      </c>
      <c r="E8" s="117" t="s">
        <v>927</v>
      </c>
      <c r="F8" s="8" t="s">
        <v>590</v>
      </c>
      <c r="G8" s="117"/>
      <c r="H8" s="117" t="s">
        <v>71</v>
      </c>
      <c r="I8" s="26" t="s">
        <v>860</v>
      </c>
      <c r="J8" s="26" t="s">
        <v>928</v>
      </c>
      <c r="K8" s="117" t="s">
        <v>74</v>
      </c>
      <c r="L8" s="117"/>
      <c r="M8" s="9" t="s">
        <v>616</v>
      </c>
      <c r="N8" s="9" t="s">
        <v>929</v>
      </c>
      <c r="O8" s="197" t="s">
        <v>150</v>
      </c>
      <c r="P8" s="223" t="s">
        <v>150</v>
      </c>
      <c r="Q8" s="223" t="s">
        <v>150</v>
      </c>
      <c r="R8" s="579"/>
      <c r="S8" s="38" t="s">
        <v>201</v>
      </c>
      <c r="T8" s="171" t="s">
        <v>930</v>
      </c>
      <c r="U8" s="174" t="s">
        <v>352</v>
      </c>
      <c r="V8" s="172" t="s">
        <v>926</v>
      </c>
    </row>
    <row r="9" spans="1:22" s="5" customFormat="1" ht="262" customHeight="1" x14ac:dyDescent="0.35">
      <c r="A9" s="8"/>
      <c r="B9" s="12"/>
      <c r="C9" s="144"/>
      <c r="D9" s="128"/>
      <c r="E9" s="99"/>
      <c r="F9" s="130"/>
      <c r="G9" s="8"/>
      <c r="H9" s="8"/>
      <c r="I9" s="26"/>
      <c r="J9" s="26"/>
      <c r="K9" s="8"/>
      <c r="L9" s="8"/>
      <c r="M9" s="135"/>
      <c r="N9" s="38"/>
      <c r="O9" s="197"/>
      <c r="P9" s="38"/>
      <c r="Q9" s="38"/>
      <c r="R9" s="131"/>
      <c r="S9" s="130"/>
      <c r="T9" s="192"/>
      <c r="U9" s="155"/>
      <c r="V9" s="192"/>
    </row>
    <row r="10" spans="1:22" s="5" customFormat="1" ht="257.14999999999998" customHeight="1" x14ac:dyDescent="0.4">
      <c r="A10" s="8"/>
      <c r="B10" s="12"/>
      <c r="C10" s="144"/>
      <c r="D10" s="101"/>
      <c r="E10" s="99"/>
      <c r="F10" s="130"/>
      <c r="G10" s="8"/>
      <c r="H10" s="8"/>
      <c r="I10" s="26"/>
      <c r="J10" s="25"/>
      <c r="K10" s="8"/>
      <c r="L10" s="8"/>
      <c r="M10" s="135"/>
      <c r="N10" s="142"/>
      <c r="O10" s="569"/>
      <c r="P10" s="543"/>
      <c r="Q10" s="543"/>
      <c r="R10" s="75"/>
      <c r="S10" s="102"/>
      <c r="T10" s="16"/>
      <c r="U10" s="183"/>
      <c r="V10" s="188"/>
    </row>
    <row r="11" spans="1:22" s="5" customFormat="1" ht="202.5" customHeight="1" x14ac:dyDescent="0.35">
      <c r="A11" s="8"/>
      <c r="B11" s="12"/>
      <c r="C11" s="144"/>
      <c r="D11" s="101"/>
      <c r="E11" s="99"/>
      <c r="F11" s="130"/>
      <c r="G11" s="8"/>
      <c r="H11" s="8"/>
      <c r="I11" s="26"/>
      <c r="J11" s="25"/>
      <c r="K11" s="8"/>
      <c r="L11" s="8"/>
      <c r="M11" s="135"/>
      <c r="N11" s="142"/>
      <c r="O11" s="569"/>
      <c r="P11" s="543"/>
      <c r="Q11" s="543"/>
      <c r="R11" s="75"/>
      <c r="S11" s="102"/>
      <c r="T11" s="169"/>
      <c r="U11" s="174"/>
      <c r="V11" s="34"/>
    </row>
    <row r="12" spans="1:22" s="5" customFormat="1" ht="187" customHeight="1" x14ac:dyDescent="0.35">
      <c r="A12" s="8"/>
      <c r="B12" s="12"/>
      <c r="C12" s="144"/>
      <c r="D12" s="101"/>
      <c r="E12" s="99"/>
      <c r="F12" s="130"/>
      <c r="G12" s="8"/>
      <c r="H12" s="8"/>
      <c r="I12" s="26"/>
      <c r="J12" s="25"/>
      <c r="K12" s="8"/>
      <c r="L12" s="8"/>
      <c r="M12" s="135"/>
      <c r="N12" s="38"/>
      <c r="O12" s="569"/>
      <c r="P12" s="543"/>
      <c r="Q12" s="543"/>
      <c r="R12" s="75"/>
      <c r="S12" s="102"/>
      <c r="T12" s="169"/>
      <c r="U12" s="174"/>
      <c r="V12" s="34"/>
    </row>
    <row r="13" spans="1:22" s="5" customFormat="1" ht="173.5" customHeight="1" x14ac:dyDescent="0.35">
      <c r="A13" s="8"/>
      <c r="B13" s="12"/>
      <c r="C13" s="144"/>
      <c r="D13" s="139"/>
      <c r="E13" s="99"/>
      <c r="F13" s="130"/>
      <c r="G13" s="8"/>
      <c r="H13" s="8"/>
      <c r="I13" s="26"/>
      <c r="J13" s="26"/>
      <c r="K13" s="8"/>
      <c r="L13" s="8"/>
      <c r="M13" s="135"/>
      <c r="N13" s="142"/>
      <c r="O13" s="569"/>
      <c r="P13" s="543"/>
      <c r="Q13" s="543"/>
      <c r="R13" s="75"/>
      <c r="S13" s="102"/>
      <c r="T13" s="169"/>
      <c r="U13" s="174"/>
      <c r="V13" s="34"/>
    </row>
    <row r="14" spans="1:22" s="5" customFormat="1" ht="166" customHeight="1" x14ac:dyDescent="0.35">
      <c r="A14" s="8"/>
      <c r="B14" s="12"/>
      <c r="C14" s="144"/>
      <c r="D14" s="139"/>
      <c r="E14" s="99"/>
      <c r="F14" s="130"/>
      <c r="G14" s="8"/>
      <c r="H14" s="8"/>
      <c r="I14" s="26"/>
      <c r="J14" s="26"/>
      <c r="K14" s="8"/>
      <c r="L14" s="8"/>
      <c r="M14" s="135"/>
      <c r="N14" s="142"/>
      <c r="O14" s="569"/>
      <c r="P14" s="543"/>
      <c r="Q14" s="543"/>
      <c r="R14" s="75"/>
      <c r="S14" s="102"/>
      <c r="T14" s="169"/>
      <c r="U14" s="174"/>
      <c r="V14" s="34"/>
    </row>
    <row r="15" spans="1:22" s="5" customFormat="1" ht="173.15" customHeight="1" x14ac:dyDescent="0.35">
      <c r="A15" s="8"/>
      <c r="B15" s="12"/>
      <c r="C15" s="144"/>
      <c r="D15" s="139"/>
      <c r="E15" s="99"/>
      <c r="F15" s="130"/>
      <c r="G15" s="8"/>
      <c r="H15" s="8"/>
      <c r="I15" s="26"/>
      <c r="J15" s="26"/>
      <c r="K15" s="8"/>
      <c r="L15" s="8"/>
      <c r="M15" s="135"/>
      <c r="N15" s="38"/>
      <c r="O15" s="569"/>
      <c r="P15" s="543"/>
      <c r="Q15" s="543"/>
      <c r="R15" s="75"/>
      <c r="S15" s="102"/>
      <c r="T15" s="169"/>
      <c r="U15" s="174"/>
      <c r="V15" s="34"/>
    </row>
    <row r="16" spans="1:22" s="5" customFormat="1" ht="115.5" customHeight="1" x14ac:dyDescent="0.35">
      <c r="A16" s="8"/>
      <c r="B16" s="13"/>
      <c r="C16" s="144"/>
      <c r="D16" s="8"/>
      <c r="E16" s="8"/>
      <c r="F16" s="8"/>
      <c r="G16" s="8"/>
      <c r="H16" s="8"/>
      <c r="I16" s="26"/>
      <c r="J16" s="26"/>
      <c r="K16" s="8"/>
      <c r="L16" s="8"/>
      <c r="M16" s="138"/>
      <c r="N16" s="75"/>
      <c r="O16" s="221"/>
      <c r="P16" s="120"/>
      <c r="Q16" s="121"/>
      <c r="R16" s="75"/>
      <c r="S16" s="8"/>
      <c r="T16" s="169"/>
      <c r="U16" s="174"/>
      <c r="V16" s="34"/>
    </row>
    <row r="17" spans="1:22" s="3" customFormat="1" ht="79.5" customHeight="1" x14ac:dyDescent="0.35">
      <c r="A17" s="8"/>
      <c r="B17" s="12"/>
      <c r="C17" s="144"/>
      <c r="D17" s="8"/>
      <c r="E17" s="8"/>
      <c r="F17" s="8"/>
      <c r="G17" s="8"/>
      <c r="H17" s="8"/>
      <c r="I17" s="26"/>
      <c r="J17" s="26"/>
      <c r="K17" s="8"/>
      <c r="L17" s="8"/>
      <c r="M17" s="9"/>
      <c r="N17" s="119"/>
      <c r="O17" s="38"/>
      <c r="P17" s="38"/>
      <c r="Q17" s="38"/>
      <c r="R17" s="38"/>
      <c r="S17" s="8"/>
      <c r="T17" s="169"/>
      <c r="U17" s="174"/>
      <c r="V17" s="34"/>
    </row>
    <row r="18" spans="1:22" s="3" customFormat="1" ht="223.5" customHeight="1" x14ac:dyDescent="0.35">
      <c r="A18" s="8"/>
      <c r="B18" s="13"/>
      <c r="C18" s="144"/>
      <c r="D18" s="8"/>
      <c r="E18" s="8"/>
      <c r="F18" s="8"/>
      <c r="G18" s="8"/>
      <c r="H18" s="8"/>
      <c r="I18" s="26"/>
      <c r="J18" s="26"/>
      <c r="K18" s="8"/>
      <c r="L18" s="8"/>
      <c r="M18" s="9"/>
      <c r="N18" s="9"/>
      <c r="O18" s="77"/>
      <c r="P18" s="77"/>
      <c r="Q18" s="77"/>
      <c r="R18" s="38"/>
      <c r="S18" s="8"/>
      <c r="T18" s="169"/>
      <c r="U18" s="174"/>
      <c r="V18" s="34"/>
    </row>
    <row r="19" spans="1:22" s="3" customFormat="1" ht="79.5" customHeight="1" x14ac:dyDescent="0.35">
      <c r="A19" s="8"/>
      <c r="B19" s="12"/>
      <c r="C19" s="144"/>
      <c r="D19" s="8"/>
      <c r="E19" s="8"/>
      <c r="F19" s="8"/>
      <c r="G19" s="8"/>
      <c r="H19" s="8"/>
      <c r="I19" s="26"/>
      <c r="J19" s="27"/>
      <c r="K19" s="8"/>
      <c r="L19" s="8"/>
      <c r="M19" s="9"/>
      <c r="N19" s="9"/>
      <c r="O19" s="8"/>
      <c r="P19" s="8"/>
      <c r="Q19" s="8"/>
      <c r="R19" s="38"/>
      <c r="S19" s="8"/>
      <c r="T19" s="169"/>
      <c r="U19" s="174"/>
      <c r="V19" s="34"/>
    </row>
    <row r="20" spans="1:22" s="3" customFormat="1" ht="79.5" customHeight="1" x14ac:dyDescent="0.35">
      <c r="A20" s="8"/>
      <c r="B20" s="12"/>
      <c r="C20" s="144"/>
      <c r="D20" s="8"/>
      <c r="E20" s="8"/>
      <c r="F20" s="8"/>
      <c r="G20" s="8"/>
      <c r="H20" s="8"/>
      <c r="I20" s="26"/>
      <c r="J20" s="26"/>
      <c r="K20" s="8"/>
      <c r="L20" s="8"/>
      <c r="M20" s="9"/>
      <c r="N20" s="9"/>
      <c r="O20" s="8"/>
      <c r="P20" s="8"/>
      <c r="Q20" s="8"/>
      <c r="R20" s="38"/>
      <c r="S20" s="8"/>
      <c r="T20" s="169"/>
      <c r="U20" s="174"/>
      <c r="V20" s="34"/>
    </row>
    <row r="21" spans="1:22" s="3" customFormat="1" ht="79.5" customHeight="1" x14ac:dyDescent="0.35">
      <c r="A21" s="8"/>
      <c r="B21" s="12"/>
      <c r="C21" s="144"/>
      <c r="D21" s="8"/>
      <c r="E21" s="8"/>
      <c r="F21" s="8"/>
      <c r="G21" s="8"/>
      <c r="H21" s="8"/>
      <c r="I21" s="26"/>
      <c r="J21" s="26"/>
      <c r="K21" s="8"/>
      <c r="L21" s="8"/>
      <c r="M21" s="9"/>
      <c r="N21" s="9"/>
      <c r="O21" s="8"/>
      <c r="P21" s="8"/>
      <c r="Q21" s="8"/>
      <c r="R21" s="38"/>
      <c r="S21" s="8"/>
      <c r="T21" s="169"/>
      <c r="U21" s="174"/>
      <c r="V21" s="34"/>
    </row>
    <row r="22" spans="1:22" s="3" customFormat="1" ht="79.5" customHeight="1" x14ac:dyDescent="0.35">
      <c r="A22" s="8"/>
      <c r="B22" s="12"/>
      <c r="C22" s="144"/>
      <c r="D22" s="8"/>
      <c r="E22" s="8"/>
      <c r="F22" s="8"/>
      <c r="G22" s="8"/>
      <c r="H22" s="8"/>
      <c r="I22" s="26"/>
      <c r="J22" s="26"/>
      <c r="K22" s="8"/>
      <c r="L22" s="8"/>
      <c r="M22" s="9"/>
      <c r="N22" s="9"/>
      <c r="O22" s="8"/>
      <c r="P22" s="8"/>
      <c r="Q22" s="8"/>
      <c r="R22" s="38"/>
      <c r="S22" s="8"/>
      <c r="T22" s="169"/>
      <c r="U22" s="174"/>
      <c r="V22" s="34"/>
    </row>
    <row r="23" spans="1:22" s="3" customFormat="1" ht="79.5" customHeight="1" x14ac:dyDescent="0.35">
      <c r="A23" s="8"/>
      <c r="B23" s="12"/>
      <c r="C23" s="144"/>
      <c r="D23" s="8"/>
      <c r="E23" s="8"/>
      <c r="F23" s="8"/>
      <c r="G23" s="8"/>
      <c r="H23" s="8"/>
      <c r="I23" s="26"/>
      <c r="J23" s="26"/>
      <c r="K23" s="8"/>
      <c r="L23" s="8"/>
      <c r="M23" s="9"/>
      <c r="N23" s="9"/>
      <c r="O23" s="8"/>
      <c r="P23" s="8"/>
      <c r="Q23" s="8"/>
      <c r="R23" s="38"/>
      <c r="S23" s="8"/>
      <c r="T23" s="169"/>
      <c r="U23" s="174"/>
      <c r="V23" s="34"/>
    </row>
    <row r="24" spans="1:22" s="3" customFormat="1" ht="79.5" customHeight="1" x14ac:dyDescent="0.35">
      <c r="A24" s="8"/>
      <c r="B24" s="12"/>
      <c r="C24" s="144"/>
      <c r="D24" s="8"/>
      <c r="E24" s="8"/>
      <c r="F24" s="8"/>
      <c r="G24" s="8"/>
      <c r="H24" s="8"/>
      <c r="I24" s="26"/>
      <c r="J24" s="26"/>
      <c r="K24" s="8"/>
      <c r="L24" s="8"/>
      <c r="M24" s="9"/>
      <c r="N24" s="9"/>
      <c r="O24" s="80"/>
      <c r="P24" s="80"/>
      <c r="Q24" s="80"/>
      <c r="R24" s="38"/>
      <c r="S24" s="8"/>
      <c r="T24" s="169"/>
      <c r="U24" s="174"/>
      <c r="V24" s="34"/>
    </row>
    <row r="25" spans="1:22" s="3" customFormat="1" ht="79.5" customHeight="1" x14ac:dyDescent="0.35">
      <c r="A25" s="8"/>
      <c r="B25" s="12"/>
      <c r="C25" s="144"/>
      <c r="D25" s="8"/>
      <c r="E25" s="8"/>
      <c r="F25" s="8"/>
      <c r="G25" s="8"/>
      <c r="H25" s="8"/>
      <c r="I25" s="26"/>
      <c r="J25" s="26"/>
      <c r="K25" s="8"/>
      <c r="L25" s="8"/>
      <c r="M25" s="9"/>
      <c r="N25" s="138"/>
      <c r="O25" s="38"/>
      <c r="P25" s="38"/>
      <c r="Q25" s="38"/>
      <c r="R25" s="38"/>
      <c r="S25" s="102"/>
      <c r="T25" s="169"/>
      <c r="U25" s="174"/>
      <c r="V25" s="34"/>
    </row>
    <row r="26" spans="1:22" ht="79.5" customHeight="1" x14ac:dyDescent="0.4">
      <c r="A26" s="19"/>
      <c r="B26" s="20"/>
      <c r="C26" s="144"/>
      <c r="D26" s="19"/>
      <c r="E26" s="19"/>
      <c r="F26" s="19"/>
      <c r="G26" s="19"/>
      <c r="H26" s="19"/>
      <c r="I26" s="28"/>
      <c r="J26" s="28"/>
      <c r="K26" s="19"/>
      <c r="L26" s="19"/>
      <c r="M26" s="21"/>
      <c r="N26" s="138"/>
      <c r="O26" s="38"/>
      <c r="P26" s="38"/>
      <c r="Q26" s="38"/>
      <c r="R26" s="38"/>
      <c r="S26" s="178"/>
      <c r="T26" s="170"/>
      <c r="U26" s="175"/>
      <c r="V26" s="34"/>
    </row>
  </sheetData>
  <autoFilter ref="A1:T18"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9">
    <mergeCell ref="R7:R8"/>
    <mergeCell ref="A1:T1"/>
    <mergeCell ref="A2:T2"/>
    <mergeCell ref="A3:E3"/>
    <mergeCell ref="F3:L3"/>
    <mergeCell ref="M3:N3"/>
    <mergeCell ref="O3:Q3"/>
    <mergeCell ref="S3:T3"/>
    <mergeCell ref="U3:V3"/>
    <mergeCell ref="O5:O6"/>
    <mergeCell ref="P5:P6"/>
    <mergeCell ref="Q5:Q6"/>
    <mergeCell ref="R5:R6"/>
    <mergeCell ref="O10:O12"/>
    <mergeCell ref="P10:P12"/>
    <mergeCell ref="Q10:Q12"/>
    <mergeCell ref="O13:O15"/>
    <mergeCell ref="P13:P15"/>
    <mergeCell ref="Q13:Q15"/>
  </mergeCells>
  <conditionalFormatting sqref="O5:Q26">
    <cfRule type="containsText" dxfId="37" priority="6" operator="containsText" text="No">
      <formula>NOT(ISERROR(SEARCH("No",O5)))</formula>
    </cfRule>
    <cfRule type="containsText" dxfId="36" priority="7" operator="containsText" text="Yes">
      <formula>NOT(ISERROR(SEARCH("Yes",O5)))</formula>
    </cfRule>
  </conditionalFormatting>
  <conditionalFormatting sqref="R5 R10 R13 R16:R1048576">
    <cfRule type="containsText" dxfId="35" priority="4" operator="containsText" text="No">
      <formula>NOT(ISERROR(SEARCH("No",R5)))</formula>
    </cfRule>
    <cfRule type="containsText" dxfId="34" priority="5" operator="containsText" text="Yes">
      <formula>NOT(ISERROR(SEARCH("Yes",R5)))</formula>
    </cfRule>
  </conditionalFormatting>
  <conditionalFormatting sqref="S5:S7 S9:S1048576">
    <cfRule type="containsText" dxfId="33" priority="8" operator="containsText" text="Approved">
      <formula>NOT(ISERROR(SEARCH("Approved",S5)))</formula>
    </cfRule>
  </conditionalFormatting>
  <conditionalFormatting sqref="S5:S1048576">
    <cfRule type="containsText" dxfId="32" priority="3" operator="containsText" text="Revisions Needed">
      <formula>NOT(ISERROR(SEARCH("Revisions Needed",S5)))</formula>
    </cfRule>
  </conditionalFormatting>
  <conditionalFormatting sqref="S8">
    <cfRule type="containsText" dxfId="31" priority="1" operator="containsText" text="Rejected">
      <formula>NOT(ISERROR(SEARCH("Rejected",S8)))</formula>
    </cfRule>
    <cfRule type="containsText" dxfId="30" priority="2" operator="containsText" text="Approved">
      <formula>NOT(ISERROR(SEARCH("Approved",S8)))</formula>
    </cfRule>
  </conditionalFormatting>
  <dataValidations count="4">
    <dataValidation type="list" allowBlank="1" showInputMessage="1" showErrorMessage="1" sqref="C5:C1048576" xr:uid="{62788DF3-F564-43B9-91A5-BB42EEFDB7D3}">
      <formula1>"Monthly, Yearly"</formula1>
    </dataValidation>
    <dataValidation type="list" allowBlank="1" sqref="S8" xr:uid="{D8A544CD-4202-41D8-BE1C-22453AD80C7A}">
      <formula1>"Approved,Revisions Needed, Rejected"</formula1>
    </dataValidation>
    <dataValidation type="list" allowBlank="1" sqref="S5:S7 S9:S1048576" xr:uid="{F26CD1C4-51DA-4EBD-919B-9D389B861475}">
      <formula1>"Approved,Revisions Needed"</formula1>
    </dataValidation>
    <dataValidation type="list" allowBlank="1" showInputMessage="1" showErrorMessage="1" sqref="O5:Q5 O10:Q10 O13:Q13 O7:Q8 O16:Q1048576" xr:uid="{AE602ED9-AF01-4DB2-AB5E-F69167446C3A}">
      <formula1>"No, Yes"</formula1>
    </dataValidation>
  </dataValidation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4FF5F-F9D2-41B1-B9AB-AFBB2A3AFE18}">
  <sheetPr>
    <tabColor theme="6"/>
  </sheetPr>
  <dimension ref="A1:V358"/>
  <sheetViews>
    <sheetView showGridLines="0" topLeftCell="A13" zoomScale="60" zoomScaleNormal="60" workbookViewId="0">
      <selection activeCell="K26" sqref="K26"/>
    </sheetView>
  </sheetViews>
  <sheetFormatPr defaultColWidth="8.54296875" defaultRowHeight="14.5" x14ac:dyDescent="0.35"/>
  <cols>
    <col min="1" max="1" width="9" style="76" customWidth="1"/>
    <col min="2" max="3" width="12" style="14" customWidth="1"/>
    <col min="4" max="4" width="18.81640625" style="2" customWidth="1"/>
    <col min="5" max="5" width="21.453125" style="2" customWidth="1"/>
    <col min="6" max="6" width="15.54296875" style="2" customWidth="1"/>
    <col min="7" max="7" width="13.1796875" style="2" hidden="1" customWidth="1"/>
    <col min="8" max="8" width="12.453125" style="2" customWidth="1"/>
    <col min="9" max="9" width="11.81640625" style="29" customWidth="1"/>
    <col min="10" max="10" width="11.453125" style="29" customWidth="1"/>
    <col min="11" max="11" width="15.54296875" style="76" customWidth="1"/>
    <col min="12" max="12" width="12.81640625" style="76" customWidth="1"/>
    <col min="13" max="13" width="36" style="1" customWidth="1"/>
    <col min="14" max="14" width="46.1796875" style="143" customWidth="1"/>
    <col min="15" max="15" width="12.81640625" style="76" customWidth="1"/>
    <col min="16" max="16" width="10.81640625" style="76" customWidth="1"/>
    <col min="17" max="17" width="13.1796875" style="76" customWidth="1"/>
    <col min="18" max="18" width="45.26953125" style="76" customWidth="1"/>
    <col min="19" max="19" width="21.1796875" style="2" customWidth="1"/>
    <col min="20" max="20" width="76.54296875" style="17" customWidth="1"/>
    <col min="21" max="21" width="16.26953125" style="159" customWidth="1"/>
    <col min="22" max="22" width="76.54296875" style="17" customWidth="1"/>
    <col min="23" max="16384" width="8.54296875" style="1"/>
  </cols>
  <sheetData>
    <row r="1" spans="1:22" ht="37.5" customHeight="1" x14ac:dyDescent="0.35">
      <c r="A1" s="555" t="s">
        <v>0</v>
      </c>
      <c r="B1" s="555"/>
      <c r="C1" s="555"/>
      <c r="D1" s="555"/>
      <c r="E1" s="555"/>
      <c r="F1" s="555"/>
      <c r="G1" s="555"/>
      <c r="H1" s="555"/>
      <c r="I1" s="555"/>
      <c r="J1" s="555"/>
      <c r="K1" s="555"/>
      <c r="L1" s="555"/>
      <c r="M1" s="555"/>
      <c r="N1" s="555"/>
      <c r="O1" s="555"/>
      <c r="P1" s="555"/>
      <c r="Q1" s="555"/>
      <c r="R1" s="555"/>
      <c r="S1" s="555"/>
      <c r="T1" s="555"/>
      <c r="U1" s="81"/>
      <c r="V1" s="81"/>
    </row>
    <row r="2" spans="1:22" ht="19.5" customHeight="1" thickBot="1" x14ac:dyDescent="0.4">
      <c r="A2" s="550" t="s">
        <v>2</v>
      </c>
      <c r="B2" s="550"/>
      <c r="C2" s="550"/>
      <c r="D2" s="550"/>
      <c r="E2" s="550"/>
      <c r="F2" s="550"/>
      <c r="G2" s="550"/>
      <c r="H2" s="550"/>
      <c r="I2" s="550"/>
      <c r="J2" s="550"/>
      <c r="K2" s="550"/>
      <c r="L2" s="550"/>
      <c r="M2" s="550"/>
      <c r="N2" s="550"/>
      <c r="O2" s="550"/>
      <c r="P2" s="550"/>
      <c r="Q2" s="550"/>
      <c r="R2" s="550"/>
      <c r="S2" s="550"/>
      <c r="T2" s="550"/>
      <c r="U2" s="82"/>
      <c r="V2" s="82"/>
    </row>
    <row r="3" spans="1:22" s="4" customFormat="1" ht="27.75" customHeight="1" thickTop="1" thickBot="1" x14ac:dyDescent="0.45">
      <c r="A3" s="516" t="s">
        <v>3</v>
      </c>
      <c r="B3" s="516"/>
      <c r="C3" s="516"/>
      <c r="D3" s="516"/>
      <c r="E3" s="516"/>
      <c r="F3" s="547" t="s">
        <v>4</v>
      </c>
      <c r="G3" s="548"/>
      <c r="H3" s="548"/>
      <c r="I3" s="548"/>
      <c r="J3" s="548"/>
      <c r="K3" s="548"/>
      <c r="L3" s="549"/>
      <c r="M3" s="516" t="s">
        <v>5</v>
      </c>
      <c r="N3" s="516"/>
      <c r="O3" s="547" t="s">
        <v>6</v>
      </c>
      <c r="P3" s="548"/>
      <c r="Q3" s="549"/>
      <c r="R3" s="154"/>
      <c r="S3" s="516" t="s">
        <v>7</v>
      </c>
      <c r="T3" s="516"/>
      <c r="U3" s="513" t="s">
        <v>396</v>
      </c>
      <c r="V3" s="515"/>
    </row>
    <row r="4" spans="1:22" ht="92.5" customHeight="1" thickTop="1" thickBot="1" x14ac:dyDescent="0.4">
      <c r="A4" s="10" t="s">
        <v>9</v>
      </c>
      <c r="B4" s="10" t="s">
        <v>10</v>
      </c>
      <c r="C4" s="10" t="s">
        <v>11</v>
      </c>
      <c r="D4" s="10" t="s">
        <v>12</v>
      </c>
      <c r="E4" s="10" t="s">
        <v>13</v>
      </c>
      <c r="F4" s="10" t="s">
        <v>14</v>
      </c>
      <c r="G4" s="10" t="s">
        <v>228</v>
      </c>
      <c r="H4" s="10" t="s">
        <v>15</v>
      </c>
      <c r="I4" s="10" t="s">
        <v>16</v>
      </c>
      <c r="J4" s="10" t="s">
        <v>17</v>
      </c>
      <c r="K4" s="10" t="s">
        <v>18</v>
      </c>
      <c r="L4" s="10" t="s">
        <v>19</v>
      </c>
      <c r="M4" s="10" t="s">
        <v>20</v>
      </c>
      <c r="N4" s="10" t="s">
        <v>21</v>
      </c>
      <c r="O4" s="10" t="s">
        <v>22</v>
      </c>
      <c r="P4" s="10" t="s">
        <v>23</v>
      </c>
      <c r="Q4" s="10" t="s">
        <v>24</v>
      </c>
      <c r="R4" s="10" t="s">
        <v>25</v>
      </c>
      <c r="S4" s="23" t="s">
        <v>26</v>
      </c>
      <c r="T4" s="18" t="s">
        <v>27</v>
      </c>
      <c r="U4" s="85" t="s">
        <v>29</v>
      </c>
      <c r="V4" s="85" t="s">
        <v>30</v>
      </c>
    </row>
    <row r="5" spans="1:22" s="5" customFormat="1" ht="151.5" customHeight="1" thickTop="1" x14ac:dyDescent="0.35">
      <c r="A5" s="145">
        <v>1</v>
      </c>
      <c r="B5" s="227" t="s">
        <v>361</v>
      </c>
      <c r="C5" s="144" t="s">
        <v>46</v>
      </c>
      <c r="D5" s="198" t="s">
        <v>397</v>
      </c>
      <c r="E5" s="150" t="s">
        <v>398</v>
      </c>
      <c r="F5" s="199" t="s">
        <v>49</v>
      </c>
      <c r="G5" s="92"/>
      <c r="H5" s="92" t="s">
        <v>399</v>
      </c>
      <c r="I5" s="93" t="s">
        <v>400</v>
      </c>
      <c r="J5" s="93"/>
      <c r="K5" s="92" t="s">
        <v>74</v>
      </c>
      <c r="L5" s="6"/>
      <c r="M5" s="201" t="s">
        <v>401</v>
      </c>
      <c r="N5" s="138" t="s">
        <v>402</v>
      </c>
      <c r="O5" s="543" t="s">
        <v>150</v>
      </c>
      <c r="P5" s="543" t="s">
        <v>55</v>
      </c>
      <c r="Q5" s="544" t="s">
        <v>55</v>
      </c>
      <c r="R5" s="552" t="s">
        <v>931</v>
      </c>
      <c r="S5" s="100" t="s">
        <v>56</v>
      </c>
      <c r="T5" s="193"/>
      <c r="U5" s="155" t="s">
        <v>314</v>
      </c>
      <c r="V5" s="195"/>
    </row>
    <row r="6" spans="1:22" s="5" customFormat="1" ht="167.5" customHeight="1" x14ac:dyDescent="0.4">
      <c r="A6" s="38">
        <v>2</v>
      </c>
      <c r="B6" s="227" t="s">
        <v>361</v>
      </c>
      <c r="C6" s="144" t="s">
        <v>46</v>
      </c>
      <c r="D6" s="38" t="s">
        <v>397</v>
      </c>
      <c r="E6" s="150" t="s">
        <v>404</v>
      </c>
      <c r="F6" s="38" t="s">
        <v>49</v>
      </c>
      <c r="G6" s="197"/>
      <c r="H6" s="38" t="s">
        <v>399</v>
      </c>
      <c r="I6" s="151" t="s">
        <v>405</v>
      </c>
      <c r="J6" s="151"/>
      <c r="K6" s="38" t="s">
        <v>74</v>
      </c>
      <c r="L6" s="41"/>
      <c r="M6" s="142" t="s">
        <v>401</v>
      </c>
      <c r="N6" s="138" t="s">
        <v>402</v>
      </c>
      <c r="O6" s="543"/>
      <c r="P6" s="543"/>
      <c r="Q6" s="545"/>
      <c r="R6" s="524"/>
      <c r="S6" s="41" t="s">
        <v>56</v>
      </c>
      <c r="T6" s="171"/>
      <c r="U6" s="155" t="s">
        <v>314</v>
      </c>
      <c r="V6" s="196"/>
    </row>
    <row r="7" spans="1:22" s="5" customFormat="1" ht="162" customHeight="1" x14ac:dyDescent="0.35">
      <c r="A7" s="117">
        <v>3</v>
      </c>
      <c r="B7" s="227" t="s">
        <v>361</v>
      </c>
      <c r="C7" s="144" t="s">
        <v>46</v>
      </c>
      <c r="D7" s="38" t="s">
        <v>397</v>
      </c>
      <c r="E7" s="150" t="s">
        <v>406</v>
      </c>
      <c r="F7" s="38" t="s">
        <v>49</v>
      </c>
      <c r="G7" s="130"/>
      <c r="H7" s="38" t="s">
        <v>399</v>
      </c>
      <c r="I7" s="25" t="s">
        <v>407</v>
      </c>
      <c r="J7" s="25"/>
      <c r="K7" s="38" t="s">
        <v>74</v>
      </c>
      <c r="L7" s="132"/>
      <c r="M7" s="142" t="s">
        <v>401</v>
      </c>
      <c r="N7" s="138" t="s">
        <v>402</v>
      </c>
      <c r="O7" s="543"/>
      <c r="P7" s="543"/>
      <c r="Q7" s="545"/>
      <c r="R7" s="524"/>
      <c r="S7" s="102" t="s">
        <v>56</v>
      </c>
      <c r="T7" s="192"/>
      <c r="U7" s="155" t="s">
        <v>314</v>
      </c>
      <c r="V7" s="192"/>
    </row>
    <row r="8" spans="1:22" s="5" customFormat="1" ht="155.5" customHeight="1" x14ac:dyDescent="0.35">
      <c r="A8" s="8">
        <v>4</v>
      </c>
      <c r="B8" s="227" t="s">
        <v>361</v>
      </c>
      <c r="C8" s="144" t="s">
        <v>46</v>
      </c>
      <c r="D8" s="38" t="s">
        <v>397</v>
      </c>
      <c r="E8" s="150" t="s">
        <v>408</v>
      </c>
      <c r="F8" s="38" t="s">
        <v>49</v>
      </c>
      <c r="G8" s="130"/>
      <c r="H8" s="117" t="s">
        <v>88</v>
      </c>
      <c r="I8" s="26" t="s">
        <v>409</v>
      </c>
      <c r="J8" s="25"/>
      <c r="K8" s="38" t="s">
        <v>74</v>
      </c>
      <c r="L8" s="132"/>
      <c r="M8" s="142" t="s">
        <v>401</v>
      </c>
      <c r="N8" s="219" t="s">
        <v>52</v>
      </c>
      <c r="O8" s="543"/>
      <c r="P8" s="543"/>
      <c r="Q8" s="545"/>
      <c r="R8" s="524"/>
      <c r="S8" s="102" t="s">
        <v>56</v>
      </c>
      <c r="T8" s="16"/>
      <c r="U8" s="155" t="s">
        <v>314</v>
      </c>
      <c r="V8" s="16"/>
    </row>
    <row r="9" spans="1:22" s="5" customFormat="1" ht="158.15" customHeight="1" x14ac:dyDescent="0.35">
      <c r="A9" s="8">
        <v>5</v>
      </c>
      <c r="B9" s="227" t="s">
        <v>361</v>
      </c>
      <c r="C9" s="144" t="s">
        <v>46</v>
      </c>
      <c r="D9" s="38" t="s">
        <v>397</v>
      </c>
      <c r="E9" s="150" t="s">
        <v>410</v>
      </c>
      <c r="F9" s="38" t="s">
        <v>49</v>
      </c>
      <c r="G9" s="102"/>
      <c r="H9" s="8" t="s">
        <v>71</v>
      </c>
      <c r="I9" s="26" t="s">
        <v>411</v>
      </c>
      <c r="J9" s="26"/>
      <c r="K9" s="38" t="s">
        <v>74</v>
      </c>
      <c r="L9" s="132"/>
      <c r="M9" s="142" t="s">
        <v>401</v>
      </c>
      <c r="N9" s="220" t="s">
        <v>52</v>
      </c>
      <c r="O9" s="543"/>
      <c r="P9" s="543"/>
      <c r="Q9" s="545"/>
      <c r="R9" s="524"/>
      <c r="S9" s="102" t="s">
        <v>56</v>
      </c>
      <c r="T9" s="16"/>
      <c r="U9" s="155" t="s">
        <v>314</v>
      </c>
      <c r="V9" s="16"/>
    </row>
    <row r="10" spans="1:22" s="5" customFormat="1" ht="160.5" customHeight="1" x14ac:dyDescent="0.4">
      <c r="A10" s="8">
        <v>6</v>
      </c>
      <c r="B10" s="227" t="s">
        <v>361</v>
      </c>
      <c r="C10" s="144" t="s">
        <v>46</v>
      </c>
      <c r="D10" s="38" t="s">
        <v>397</v>
      </c>
      <c r="E10" s="150" t="s">
        <v>412</v>
      </c>
      <c r="F10" s="38" t="s">
        <v>49</v>
      </c>
      <c r="G10" s="102"/>
      <c r="H10" s="8" t="s">
        <v>71</v>
      </c>
      <c r="I10" s="26" t="s">
        <v>217</v>
      </c>
      <c r="J10" s="25"/>
      <c r="K10" s="38" t="s">
        <v>74</v>
      </c>
      <c r="L10" s="132"/>
      <c r="M10" s="142" t="s">
        <v>401</v>
      </c>
      <c r="N10" s="219" t="s">
        <v>52</v>
      </c>
      <c r="O10" s="543"/>
      <c r="P10" s="543"/>
      <c r="Q10" s="545"/>
      <c r="R10" s="524"/>
      <c r="S10" s="102" t="s">
        <v>56</v>
      </c>
      <c r="T10" s="16"/>
      <c r="U10" s="155" t="s">
        <v>314</v>
      </c>
      <c r="V10" s="188"/>
    </row>
    <row r="11" spans="1:22" s="5" customFormat="1" ht="161.15" hidden="1" customHeight="1" x14ac:dyDescent="0.35">
      <c r="A11" s="8">
        <v>7</v>
      </c>
      <c r="B11" s="227" t="s">
        <v>361</v>
      </c>
      <c r="C11" s="144" t="s">
        <v>46</v>
      </c>
      <c r="D11" s="38" t="s">
        <v>397</v>
      </c>
      <c r="E11" s="150" t="s">
        <v>413</v>
      </c>
      <c r="F11" s="38" t="s">
        <v>49</v>
      </c>
      <c r="G11" s="102"/>
      <c r="H11" s="8" t="s">
        <v>71</v>
      </c>
      <c r="I11" s="26" t="s">
        <v>414</v>
      </c>
      <c r="J11" s="25"/>
      <c r="K11" s="38" t="s">
        <v>74</v>
      </c>
      <c r="L11" s="132"/>
      <c r="M11" s="142" t="s">
        <v>401</v>
      </c>
      <c r="N11" s="219" t="s">
        <v>52</v>
      </c>
      <c r="O11" s="543"/>
      <c r="P11" s="543"/>
      <c r="Q11" s="545"/>
      <c r="R11" s="524"/>
      <c r="S11" s="102" t="s">
        <v>201</v>
      </c>
      <c r="T11" s="228">
        <v>0.2</v>
      </c>
      <c r="U11" s="155" t="s">
        <v>314</v>
      </c>
      <c r="V11" s="34"/>
    </row>
    <row r="12" spans="1:22" s="5" customFormat="1" ht="133.5" hidden="1" customHeight="1" x14ac:dyDescent="0.35">
      <c r="A12" s="8">
        <v>8</v>
      </c>
      <c r="B12" s="227" t="s">
        <v>361</v>
      </c>
      <c r="C12" s="144" t="s">
        <v>46</v>
      </c>
      <c r="D12" s="38" t="s">
        <v>397</v>
      </c>
      <c r="E12" s="150" t="s">
        <v>415</v>
      </c>
      <c r="F12" s="38" t="s">
        <v>49</v>
      </c>
      <c r="G12" s="102"/>
      <c r="H12" s="8" t="s">
        <v>71</v>
      </c>
      <c r="I12" s="26" t="s">
        <v>416</v>
      </c>
      <c r="J12" s="25"/>
      <c r="K12" s="38" t="s">
        <v>74</v>
      </c>
      <c r="L12" s="132"/>
      <c r="M12" s="142" t="s">
        <v>401</v>
      </c>
      <c r="N12" s="220" t="s">
        <v>52</v>
      </c>
      <c r="O12" s="543"/>
      <c r="P12" s="543"/>
      <c r="Q12" s="546"/>
      <c r="R12" s="518"/>
      <c r="S12" s="102" t="s">
        <v>201</v>
      </c>
      <c r="T12" s="228">
        <v>0.25</v>
      </c>
      <c r="U12" s="155" t="s">
        <v>314</v>
      </c>
      <c r="V12" s="34"/>
    </row>
    <row r="13" spans="1:22" s="5" customFormat="1" ht="140.15" customHeight="1" x14ac:dyDescent="0.35">
      <c r="A13" s="8">
        <v>9</v>
      </c>
      <c r="B13" s="227" t="s">
        <v>361</v>
      </c>
      <c r="C13" s="144" t="s">
        <v>46</v>
      </c>
      <c r="D13" s="38" t="s">
        <v>417</v>
      </c>
      <c r="E13" s="103" t="s">
        <v>418</v>
      </c>
      <c r="F13" s="130" t="s">
        <v>49</v>
      </c>
      <c r="G13" s="8"/>
      <c r="H13" s="8" t="s">
        <v>399</v>
      </c>
      <c r="I13" s="26" t="s">
        <v>419</v>
      </c>
      <c r="J13" s="26"/>
      <c r="K13" s="38" t="s">
        <v>74</v>
      </c>
      <c r="L13" s="8"/>
      <c r="M13" s="135" t="s">
        <v>420</v>
      </c>
      <c r="N13" s="138" t="s">
        <v>402</v>
      </c>
      <c r="O13" s="543" t="s">
        <v>55</v>
      </c>
      <c r="P13" s="543" t="s">
        <v>55</v>
      </c>
      <c r="Q13" s="543" t="s">
        <v>55</v>
      </c>
      <c r="R13" s="543" t="s">
        <v>52</v>
      </c>
      <c r="S13" s="102" t="s">
        <v>56</v>
      </c>
      <c r="T13" s="169"/>
      <c r="U13" s="155" t="s">
        <v>314</v>
      </c>
      <c r="V13" s="34"/>
    </row>
    <row r="14" spans="1:22" s="5" customFormat="1" ht="133.5" customHeight="1" x14ac:dyDescent="0.35">
      <c r="A14" s="8">
        <v>10</v>
      </c>
      <c r="B14" s="227" t="s">
        <v>361</v>
      </c>
      <c r="C14" s="144" t="s">
        <v>46</v>
      </c>
      <c r="D14" s="38" t="s">
        <v>417</v>
      </c>
      <c r="E14" s="103" t="s">
        <v>421</v>
      </c>
      <c r="F14" s="130" t="s">
        <v>49</v>
      </c>
      <c r="G14" s="8"/>
      <c r="H14" s="8" t="s">
        <v>399</v>
      </c>
      <c r="I14" s="26" t="s">
        <v>422</v>
      </c>
      <c r="J14" s="26"/>
      <c r="K14" s="38" t="s">
        <v>74</v>
      </c>
      <c r="L14" s="8"/>
      <c r="M14" s="135" t="s">
        <v>420</v>
      </c>
      <c r="N14" s="138" t="s">
        <v>402</v>
      </c>
      <c r="O14" s="543"/>
      <c r="P14" s="543"/>
      <c r="Q14" s="543"/>
      <c r="R14" s="543"/>
      <c r="S14" s="102" t="s">
        <v>56</v>
      </c>
      <c r="T14" s="169"/>
      <c r="U14" s="155" t="s">
        <v>314</v>
      </c>
      <c r="V14" s="34"/>
    </row>
    <row r="15" spans="1:22" s="5" customFormat="1" ht="144.65" customHeight="1" x14ac:dyDescent="0.35">
      <c r="A15" s="8">
        <v>11</v>
      </c>
      <c r="B15" s="227" t="s">
        <v>361</v>
      </c>
      <c r="C15" s="144" t="s">
        <v>46</v>
      </c>
      <c r="D15" s="38" t="s">
        <v>417</v>
      </c>
      <c r="E15" s="103" t="s">
        <v>423</v>
      </c>
      <c r="F15" s="130" t="s">
        <v>49</v>
      </c>
      <c r="G15" s="8"/>
      <c r="H15" s="8" t="s">
        <v>399</v>
      </c>
      <c r="I15" s="26" t="s">
        <v>424</v>
      </c>
      <c r="J15" s="26"/>
      <c r="K15" s="38" t="s">
        <v>74</v>
      </c>
      <c r="L15" s="8"/>
      <c r="M15" s="135" t="s">
        <v>425</v>
      </c>
      <c r="N15" s="138" t="s">
        <v>402</v>
      </c>
      <c r="O15" s="543"/>
      <c r="P15" s="543"/>
      <c r="Q15" s="543"/>
      <c r="R15" s="543"/>
      <c r="S15" s="102" t="s">
        <v>56</v>
      </c>
      <c r="T15" s="169"/>
      <c r="U15" s="155" t="s">
        <v>314</v>
      </c>
      <c r="V15" s="34"/>
    </row>
    <row r="16" spans="1:22" s="5" customFormat="1" ht="115.5" customHeight="1" x14ac:dyDescent="0.35">
      <c r="A16" s="8">
        <v>12</v>
      </c>
      <c r="B16" s="227" t="s">
        <v>361</v>
      </c>
      <c r="C16" s="144" t="s">
        <v>46</v>
      </c>
      <c r="D16" s="38" t="s">
        <v>417</v>
      </c>
      <c r="E16" s="103" t="s">
        <v>426</v>
      </c>
      <c r="F16" s="130" t="s">
        <v>49</v>
      </c>
      <c r="G16" s="8"/>
      <c r="H16" s="8" t="s">
        <v>399</v>
      </c>
      <c r="I16" s="26" t="s">
        <v>424</v>
      </c>
      <c r="J16" s="26"/>
      <c r="K16" s="38" t="s">
        <v>74</v>
      </c>
      <c r="L16" s="8"/>
      <c r="M16" s="135" t="s">
        <v>425</v>
      </c>
      <c r="N16" s="138" t="s">
        <v>402</v>
      </c>
      <c r="O16" s="543"/>
      <c r="P16" s="543"/>
      <c r="Q16" s="543"/>
      <c r="R16" s="543"/>
      <c r="S16" s="102" t="s">
        <v>56</v>
      </c>
      <c r="T16" s="169"/>
      <c r="U16" s="155" t="s">
        <v>314</v>
      </c>
      <c r="V16" s="34"/>
    </row>
    <row r="17" spans="1:22" s="3" customFormat="1" ht="116.15" customHeight="1" x14ac:dyDescent="0.35">
      <c r="A17" s="8">
        <v>13</v>
      </c>
      <c r="B17" s="227" t="s">
        <v>361</v>
      </c>
      <c r="C17" s="144" t="s">
        <v>46</v>
      </c>
      <c r="D17" s="38" t="s">
        <v>417</v>
      </c>
      <c r="E17" s="103" t="s">
        <v>427</v>
      </c>
      <c r="F17" s="130" t="s">
        <v>49</v>
      </c>
      <c r="G17" s="8"/>
      <c r="H17" s="8" t="s">
        <v>399</v>
      </c>
      <c r="I17" s="26" t="s">
        <v>428</v>
      </c>
      <c r="J17" s="26"/>
      <c r="K17" s="38" t="s">
        <v>74</v>
      </c>
      <c r="L17" s="8"/>
      <c r="M17" s="135" t="s">
        <v>425</v>
      </c>
      <c r="N17" s="138" t="s">
        <v>402</v>
      </c>
      <c r="O17" s="543"/>
      <c r="P17" s="543"/>
      <c r="Q17" s="543"/>
      <c r="R17" s="543"/>
      <c r="S17" s="102" t="s">
        <v>56</v>
      </c>
      <c r="T17" s="169"/>
      <c r="U17" s="155" t="s">
        <v>314</v>
      </c>
      <c r="V17" s="34"/>
    </row>
    <row r="18" spans="1:22" s="3" customFormat="1" ht="133.5" customHeight="1" x14ac:dyDescent="0.35">
      <c r="A18" s="8">
        <v>14</v>
      </c>
      <c r="B18" s="227" t="s">
        <v>361</v>
      </c>
      <c r="C18" s="144" t="s">
        <v>46</v>
      </c>
      <c r="D18" s="38" t="s">
        <v>417</v>
      </c>
      <c r="E18" s="103" t="s">
        <v>429</v>
      </c>
      <c r="F18" s="130" t="s">
        <v>49</v>
      </c>
      <c r="G18" s="8"/>
      <c r="H18" s="8" t="s">
        <v>399</v>
      </c>
      <c r="I18" s="26" t="s">
        <v>430</v>
      </c>
      <c r="J18" s="26"/>
      <c r="K18" s="38" t="s">
        <v>74</v>
      </c>
      <c r="L18" s="8"/>
      <c r="M18" s="135" t="s">
        <v>420</v>
      </c>
      <c r="N18" s="138" t="s">
        <v>402</v>
      </c>
      <c r="O18" s="543"/>
      <c r="P18" s="543"/>
      <c r="Q18" s="543"/>
      <c r="R18" s="543"/>
      <c r="S18" s="102" t="s">
        <v>56</v>
      </c>
      <c r="T18" s="169"/>
      <c r="U18" s="155" t="s">
        <v>314</v>
      </c>
      <c r="V18" s="34"/>
    </row>
    <row r="19" spans="1:22" s="3" customFormat="1" ht="109" customHeight="1" x14ac:dyDescent="0.35">
      <c r="A19" s="8">
        <v>15</v>
      </c>
      <c r="B19" s="227" t="s">
        <v>361</v>
      </c>
      <c r="C19" s="144" t="s">
        <v>46</v>
      </c>
      <c r="D19" s="38" t="s">
        <v>417</v>
      </c>
      <c r="E19" s="103" t="s">
        <v>431</v>
      </c>
      <c r="F19" s="130" t="s">
        <v>49</v>
      </c>
      <c r="G19" s="8"/>
      <c r="H19" s="8" t="s">
        <v>71</v>
      </c>
      <c r="I19" s="26" t="s">
        <v>432</v>
      </c>
      <c r="J19" s="27"/>
      <c r="K19" s="38" t="s">
        <v>74</v>
      </c>
      <c r="L19" s="8"/>
      <c r="M19" s="135" t="s">
        <v>425</v>
      </c>
      <c r="N19" s="138" t="s">
        <v>52</v>
      </c>
      <c r="O19" s="543"/>
      <c r="P19" s="543"/>
      <c r="Q19" s="543"/>
      <c r="R19" s="543"/>
      <c r="S19" s="102" t="s">
        <v>56</v>
      </c>
      <c r="T19" s="169"/>
      <c r="U19" s="155" t="s">
        <v>314</v>
      </c>
      <c r="V19" s="34"/>
    </row>
    <row r="20" spans="1:22" s="3" customFormat="1" ht="112.5" customHeight="1" x14ac:dyDescent="0.35">
      <c r="A20" s="8">
        <v>16</v>
      </c>
      <c r="B20" s="227" t="s">
        <v>361</v>
      </c>
      <c r="C20" s="144" t="s">
        <v>46</v>
      </c>
      <c r="D20" s="38" t="s">
        <v>417</v>
      </c>
      <c r="E20" s="103" t="s">
        <v>433</v>
      </c>
      <c r="F20" s="130" t="s">
        <v>49</v>
      </c>
      <c r="G20" s="8"/>
      <c r="H20" s="8" t="s">
        <v>71</v>
      </c>
      <c r="I20" s="26" t="s">
        <v>422</v>
      </c>
      <c r="J20" s="26"/>
      <c r="K20" s="38" t="s">
        <v>74</v>
      </c>
      <c r="L20" s="8"/>
      <c r="M20" s="135" t="s">
        <v>420</v>
      </c>
      <c r="N20" s="138" t="s">
        <v>402</v>
      </c>
      <c r="O20" s="543"/>
      <c r="P20" s="543"/>
      <c r="Q20" s="543"/>
      <c r="R20" s="543"/>
      <c r="S20" s="102" t="s">
        <v>56</v>
      </c>
      <c r="T20" s="169"/>
      <c r="U20" s="155" t="s">
        <v>314</v>
      </c>
      <c r="V20" s="34"/>
    </row>
    <row r="21" spans="1:22" s="3" customFormat="1" ht="79.5" customHeight="1" x14ac:dyDescent="0.35">
      <c r="A21" s="8">
        <v>17</v>
      </c>
      <c r="B21" s="227" t="s">
        <v>361</v>
      </c>
      <c r="C21" s="144" t="s">
        <v>46</v>
      </c>
      <c r="D21" s="136" t="s">
        <v>434</v>
      </c>
      <c r="E21" s="202" t="s">
        <v>435</v>
      </c>
      <c r="F21" s="130" t="s">
        <v>49</v>
      </c>
      <c r="G21" s="8"/>
      <c r="H21" s="8" t="s">
        <v>399</v>
      </c>
      <c r="I21" s="26" t="s">
        <v>436</v>
      </c>
      <c r="J21" s="26"/>
      <c r="K21" s="8" t="s">
        <v>53</v>
      </c>
      <c r="L21" s="8">
        <v>3</v>
      </c>
      <c r="M21" s="9" t="s">
        <v>437</v>
      </c>
      <c r="N21" s="138" t="s">
        <v>438</v>
      </c>
      <c r="O21" s="543" t="s">
        <v>150</v>
      </c>
      <c r="P21" s="543" t="s">
        <v>150</v>
      </c>
      <c r="Q21" s="543" t="s">
        <v>150</v>
      </c>
      <c r="R21" s="551" t="s">
        <v>439</v>
      </c>
      <c r="S21" s="102" t="s">
        <v>56</v>
      </c>
      <c r="T21" s="169"/>
      <c r="U21" s="155" t="s">
        <v>325</v>
      </c>
      <c r="V21" s="34"/>
    </row>
    <row r="22" spans="1:22" s="3" customFormat="1" ht="79.5" customHeight="1" x14ac:dyDescent="0.35">
      <c r="A22" s="8">
        <v>18</v>
      </c>
      <c r="B22" s="227" t="s">
        <v>361</v>
      </c>
      <c r="C22" s="144" t="s">
        <v>67</v>
      </c>
      <c r="D22" s="136" t="s">
        <v>434</v>
      </c>
      <c r="E22" s="150" t="s">
        <v>440</v>
      </c>
      <c r="F22" s="130" t="s">
        <v>49</v>
      </c>
      <c r="G22" s="8"/>
      <c r="H22" s="8" t="s">
        <v>71</v>
      </c>
      <c r="I22" s="26" t="s">
        <v>441</v>
      </c>
      <c r="J22" s="203"/>
      <c r="K22" s="8" t="s">
        <v>74</v>
      </c>
      <c r="L22" s="8"/>
      <c r="M22" s="9" t="s">
        <v>437</v>
      </c>
      <c r="N22" s="138" t="s">
        <v>442</v>
      </c>
      <c r="O22" s="543"/>
      <c r="P22" s="543"/>
      <c r="Q22" s="543"/>
      <c r="R22" s="551"/>
      <c r="S22" s="102" t="s">
        <v>56</v>
      </c>
      <c r="T22" s="169"/>
      <c r="U22" s="155" t="s">
        <v>325</v>
      </c>
      <c r="V22" s="34"/>
    </row>
    <row r="23" spans="1:22" s="3" customFormat="1" ht="110.5" customHeight="1" x14ac:dyDescent="0.35">
      <c r="A23" s="8">
        <v>19</v>
      </c>
      <c r="B23" s="227" t="s">
        <v>361</v>
      </c>
      <c r="C23" s="144" t="s">
        <v>67</v>
      </c>
      <c r="D23" s="136" t="s">
        <v>434</v>
      </c>
      <c r="E23" s="150" t="s">
        <v>443</v>
      </c>
      <c r="F23" s="130" t="s">
        <v>49</v>
      </c>
      <c r="G23" s="8"/>
      <c r="H23" s="8" t="s">
        <v>71</v>
      </c>
      <c r="I23" s="26" t="s">
        <v>444</v>
      </c>
      <c r="J23" s="26"/>
      <c r="K23" s="8" t="s">
        <v>74</v>
      </c>
      <c r="L23" s="8"/>
      <c r="M23" s="9" t="s">
        <v>445</v>
      </c>
      <c r="N23" s="138" t="s">
        <v>446</v>
      </c>
      <c r="O23" s="543"/>
      <c r="P23" s="543"/>
      <c r="Q23" s="543"/>
      <c r="R23" s="551"/>
      <c r="S23" s="102" t="s">
        <v>56</v>
      </c>
      <c r="T23" s="169"/>
      <c r="U23" s="155" t="s">
        <v>325</v>
      </c>
      <c r="V23" s="34"/>
    </row>
    <row r="24" spans="1:22" s="3" customFormat="1" ht="127" customHeight="1" x14ac:dyDescent="0.35">
      <c r="A24" s="8">
        <v>20</v>
      </c>
      <c r="B24" s="227" t="s">
        <v>361</v>
      </c>
      <c r="C24" s="144" t="s">
        <v>67</v>
      </c>
      <c r="D24" s="136" t="s">
        <v>434</v>
      </c>
      <c r="E24" s="150" t="s">
        <v>447</v>
      </c>
      <c r="F24" s="130" t="s">
        <v>49</v>
      </c>
      <c r="G24" s="8"/>
      <c r="H24" s="8" t="s">
        <v>71</v>
      </c>
      <c r="I24" s="26" t="s">
        <v>448</v>
      </c>
      <c r="J24" s="26"/>
      <c r="K24" s="8" t="s">
        <v>74</v>
      </c>
      <c r="L24" s="8"/>
      <c r="M24" s="9" t="s">
        <v>449</v>
      </c>
      <c r="N24" s="138" t="s">
        <v>450</v>
      </c>
      <c r="O24" s="543"/>
      <c r="P24" s="543"/>
      <c r="Q24" s="543"/>
      <c r="R24" s="551"/>
      <c r="S24" s="102" t="s">
        <v>56</v>
      </c>
      <c r="T24" s="169"/>
      <c r="U24" s="155" t="s">
        <v>325</v>
      </c>
      <c r="V24" s="34"/>
    </row>
    <row r="25" spans="1:22" s="3" customFormat="1" ht="125.5" customHeight="1" x14ac:dyDescent="0.35">
      <c r="A25" s="8">
        <v>21</v>
      </c>
      <c r="B25" s="227" t="s">
        <v>361</v>
      </c>
      <c r="C25" s="144" t="s">
        <v>67</v>
      </c>
      <c r="D25" s="136" t="s">
        <v>434</v>
      </c>
      <c r="E25" s="150" t="s">
        <v>451</v>
      </c>
      <c r="F25" s="130" t="s">
        <v>49</v>
      </c>
      <c r="G25" s="8"/>
      <c r="H25" s="8" t="s">
        <v>71</v>
      </c>
      <c r="I25" s="26" t="s">
        <v>452</v>
      </c>
      <c r="J25" s="26"/>
      <c r="K25" s="8" t="s">
        <v>74</v>
      </c>
      <c r="L25" s="8"/>
      <c r="M25" s="9" t="s">
        <v>449</v>
      </c>
      <c r="N25" s="138" t="s">
        <v>453</v>
      </c>
      <c r="O25" s="543"/>
      <c r="P25" s="543"/>
      <c r="Q25" s="543"/>
      <c r="R25" s="551"/>
      <c r="S25" s="102" t="s">
        <v>291</v>
      </c>
      <c r="T25" s="169"/>
      <c r="U25" s="155" t="s">
        <v>325</v>
      </c>
      <c r="V25" s="34"/>
    </row>
    <row r="26" spans="1:22" ht="128" x14ac:dyDescent="0.4">
      <c r="A26" s="8">
        <v>22</v>
      </c>
      <c r="B26" s="227" t="s">
        <v>361</v>
      </c>
      <c r="C26" s="144" t="s">
        <v>67</v>
      </c>
      <c r="D26" s="190" t="s">
        <v>454</v>
      </c>
      <c r="E26" s="103" t="s">
        <v>455</v>
      </c>
      <c r="F26" s="215" t="s">
        <v>456</v>
      </c>
      <c r="G26" s="204"/>
      <c r="H26" s="80" t="s">
        <v>457</v>
      </c>
      <c r="I26" s="217" t="s">
        <v>458</v>
      </c>
      <c r="J26" s="205"/>
      <c r="K26" s="80" t="s">
        <v>53</v>
      </c>
      <c r="L26" s="80">
        <v>3</v>
      </c>
      <c r="M26" s="206" t="s">
        <v>459</v>
      </c>
      <c r="N26" s="207" t="s">
        <v>460</v>
      </c>
      <c r="O26" s="543" t="s">
        <v>55</v>
      </c>
      <c r="P26" s="543" t="s">
        <v>55</v>
      </c>
      <c r="Q26" s="543" t="s">
        <v>55</v>
      </c>
      <c r="R26" s="543" t="s">
        <v>52</v>
      </c>
      <c r="S26" s="208" t="s">
        <v>291</v>
      </c>
      <c r="T26" s="209"/>
      <c r="U26" s="155" t="s">
        <v>325</v>
      </c>
      <c r="V26" s="210"/>
    </row>
    <row r="27" spans="1:22" ht="128" x14ac:dyDescent="0.4">
      <c r="A27" s="8">
        <v>23</v>
      </c>
      <c r="B27" s="227" t="s">
        <v>361</v>
      </c>
      <c r="C27" s="144" t="s">
        <v>67</v>
      </c>
      <c r="D27" s="190" t="s">
        <v>454</v>
      </c>
      <c r="E27" s="103" t="s">
        <v>461</v>
      </c>
      <c r="F27" s="215" t="s">
        <v>456</v>
      </c>
      <c r="G27" s="33"/>
      <c r="H27" s="46" t="s">
        <v>71</v>
      </c>
      <c r="I27" s="216" t="s">
        <v>147</v>
      </c>
      <c r="J27" s="212"/>
      <c r="K27" s="80" t="s">
        <v>53</v>
      </c>
      <c r="L27" s="46">
        <v>3</v>
      </c>
      <c r="M27" s="206" t="s">
        <v>459</v>
      </c>
      <c r="N27" s="222" t="s">
        <v>462</v>
      </c>
      <c r="O27" s="543"/>
      <c r="P27" s="543"/>
      <c r="Q27" s="543"/>
      <c r="R27" s="543"/>
      <c r="S27" s="35" t="s">
        <v>56</v>
      </c>
      <c r="T27" s="34"/>
      <c r="U27" s="155" t="s">
        <v>325</v>
      </c>
      <c r="V27" s="34"/>
    </row>
    <row r="28" spans="1:22" ht="128" hidden="1" x14ac:dyDescent="0.4">
      <c r="A28" s="8">
        <v>24</v>
      </c>
      <c r="B28" s="227" t="s">
        <v>361</v>
      </c>
      <c r="C28" s="144" t="s">
        <v>67</v>
      </c>
      <c r="D28" s="190" t="s">
        <v>454</v>
      </c>
      <c r="E28" s="103" t="s">
        <v>463</v>
      </c>
      <c r="F28" s="215" t="s">
        <v>456</v>
      </c>
      <c r="G28" s="33"/>
      <c r="H28" s="46" t="s">
        <v>88</v>
      </c>
      <c r="I28" s="216" t="s">
        <v>147</v>
      </c>
      <c r="J28" s="212"/>
      <c r="K28" s="80" t="s">
        <v>53</v>
      </c>
      <c r="L28" s="46">
        <v>3</v>
      </c>
      <c r="M28" s="206" t="s">
        <v>459</v>
      </c>
      <c r="N28" s="222" t="s">
        <v>464</v>
      </c>
      <c r="O28" s="543"/>
      <c r="P28" s="543"/>
      <c r="Q28" s="543"/>
      <c r="R28" s="543"/>
      <c r="S28" s="35" t="s">
        <v>201</v>
      </c>
      <c r="T28" s="34" t="s">
        <v>465</v>
      </c>
      <c r="U28" s="155" t="s">
        <v>325</v>
      </c>
      <c r="V28" s="34"/>
    </row>
    <row r="29" spans="1:22" ht="188.5" customHeight="1" x14ac:dyDescent="0.35">
      <c r="A29" s="46">
        <v>25</v>
      </c>
      <c r="B29" s="227" t="s">
        <v>361</v>
      </c>
      <c r="C29" s="144" t="s">
        <v>46</v>
      </c>
      <c r="D29" s="230" t="s">
        <v>466</v>
      </c>
      <c r="E29" s="46" t="s">
        <v>467</v>
      </c>
      <c r="F29" s="46" t="s">
        <v>49</v>
      </c>
      <c r="G29" s="33"/>
      <c r="H29" s="46" t="s">
        <v>71</v>
      </c>
      <c r="I29" s="218" t="s">
        <v>154</v>
      </c>
      <c r="J29" s="212"/>
      <c r="K29" s="46" t="s">
        <v>74</v>
      </c>
      <c r="L29" s="46"/>
      <c r="M29" s="200" t="s">
        <v>468</v>
      </c>
      <c r="N29" s="200" t="s">
        <v>469</v>
      </c>
      <c r="O29" s="38" t="s">
        <v>55</v>
      </c>
      <c r="P29" s="38" t="s">
        <v>55</v>
      </c>
      <c r="Q29" s="38" t="s">
        <v>55</v>
      </c>
      <c r="R29" s="38" t="s">
        <v>52</v>
      </c>
      <c r="S29" s="33" t="s">
        <v>56</v>
      </c>
      <c r="T29" s="34"/>
      <c r="U29" s="155" t="s">
        <v>325</v>
      </c>
      <c r="V29" s="34"/>
    </row>
    <row r="30" spans="1:22" ht="16" x14ac:dyDescent="0.35">
      <c r="A30" s="46"/>
      <c r="B30" s="211"/>
      <c r="C30" s="211"/>
      <c r="D30" s="33"/>
      <c r="E30" s="33"/>
      <c r="F30" s="33"/>
      <c r="G30" s="33"/>
      <c r="H30" s="33"/>
      <c r="I30" s="212"/>
      <c r="J30" s="212"/>
      <c r="K30" s="46"/>
      <c r="L30" s="46"/>
      <c r="M30" s="213"/>
      <c r="N30" s="200"/>
      <c r="O30" s="38"/>
      <c r="P30" s="38"/>
      <c r="Q30" s="38"/>
      <c r="R30" s="38"/>
      <c r="S30" s="33"/>
      <c r="T30" s="34"/>
      <c r="U30" s="214"/>
      <c r="V30" s="34"/>
    </row>
    <row r="31" spans="1:22" ht="16" x14ac:dyDescent="0.35">
      <c r="A31" s="46"/>
      <c r="B31" s="211"/>
      <c r="C31" s="211"/>
      <c r="D31" s="33"/>
      <c r="E31" s="33"/>
      <c r="F31" s="33"/>
      <c r="G31" s="33"/>
      <c r="H31" s="33"/>
      <c r="I31" s="212"/>
      <c r="J31" s="212"/>
      <c r="K31" s="46"/>
      <c r="L31" s="46"/>
      <c r="M31" s="213"/>
      <c r="N31" s="200"/>
      <c r="O31" s="38"/>
      <c r="P31" s="38"/>
      <c r="Q31" s="38"/>
      <c r="R31" s="38"/>
      <c r="S31" s="33"/>
      <c r="T31" s="34"/>
      <c r="U31" s="214"/>
      <c r="V31" s="34"/>
    </row>
    <row r="32" spans="1:22" ht="16" x14ac:dyDescent="0.35">
      <c r="A32" s="46"/>
      <c r="B32" s="211"/>
      <c r="C32" s="211"/>
      <c r="D32" s="33"/>
      <c r="E32" s="33"/>
      <c r="F32" s="33"/>
      <c r="G32" s="33"/>
      <c r="H32" s="33"/>
      <c r="I32" s="212"/>
      <c r="J32" s="212"/>
      <c r="K32" s="46"/>
      <c r="L32" s="46"/>
      <c r="M32" s="213"/>
      <c r="N32" s="200"/>
      <c r="O32" s="38"/>
      <c r="P32" s="38"/>
      <c r="Q32" s="38"/>
      <c r="R32" s="38"/>
      <c r="S32" s="33"/>
      <c r="T32" s="34"/>
      <c r="U32" s="214"/>
      <c r="V32" s="34"/>
    </row>
    <row r="33" spans="1:22" ht="16" x14ac:dyDescent="0.35">
      <c r="A33" s="46"/>
      <c r="B33" s="211"/>
      <c r="C33" s="211"/>
      <c r="D33" s="33"/>
      <c r="E33" s="33"/>
      <c r="F33" s="33"/>
      <c r="G33" s="33"/>
      <c r="H33" s="33"/>
      <c r="I33" s="212"/>
      <c r="J33" s="212"/>
      <c r="K33" s="46"/>
      <c r="L33" s="46"/>
      <c r="M33" s="213"/>
      <c r="N33" s="200"/>
      <c r="O33" s="38"/>
      <c r="P33" s="38"/>
      <c r="Q33" s="38"/>
      <c r="R33" s="38"/>
      <c r="S33" s="33"/>
      <c r="T33" s="34"/>
      <c r="U33" s="214"/>
      <c r="V33" s="34"/>
    </row>
    <row r="34" spans="1:22" ht="16" x14ac:dyDescent="0.35">
      <c r="A34" s="46"/>
      <c r="B34" s="211"/>
      <c r="C34" s="211"/>
      <c r="D34" s="33"/>
      <c r="E34" s="33"/>
      <c r="F34" s="33"/>
      <c r="G34" s="33"/>
      <c r="H34" s="33"/>
      <c r="I34" s="212"/>
      <c r="J34" s="212"/>
      <c r="K34" s="46"/>
      <c r="L34" s="46"/>
      <c r="M34" s="213"/>
      <c r="N34" s="200"/>
      <c r="O34" s="38"/>
      <c r="P34" s="38"/>
      <c r="Q34" s="38"/>
      <c r="R34" s="38"/>
      <c r="S34" s="33"/>
      <c r="T34" s="34"/>
      <c r="U34" s="214"/>
      <c r="V34" s="34"/>
    </row>
    <row r="35" spans="1:22" ht="16" x14ac:dyDescent="0.35">
      <c r="A35" s="46"/>
      <c r="B35" s="211"/>
      <c r="C35" s="211"/>
      <c r="D35" s="33"/>
      <c r="E35" s="33"/>
      <c r="F35" s="33"/>
      <c r="G35" s="33"/>
      <c r="H35" s="33"/>
      <c r="I35" s="212"/>
      <c r="J35" s="212"/>
      <c r="K35" s="46"/>
      <c r="L35" s="46"/>
      <c r="M35" s="213"/>
      <c r="N35" s="200"/>
      <c r="O35" s="38"/>
      <c r="P35" s="38"/>
      <c r="Q35" s="38"/>
      <c r="R35" s="38"/>
      <c r="S35" s="33"/>
      <c r="T35" s="34"/>
      <c r="U35" s="214"/>
      <c r="V35" s="34"/>
    </row>
    <row r="36" spans="1:22" ht="16" x14ac:dyDescent="0.35">
      <c r="A36" s="46"/>
      <c r="B36" s="211"/>
      <c r="C36" s="211"/>
      <c r="D36" s="33"/>
      <c r="E36" s="33"/>
      <c r="F36" s="33"/>
      <c r="G36" s="33"/>
      <c r="H36" s="33"/>
      <c r="I36" s="212"/>
      <c r="J36" s="212"/>
      <c r="K36" s="46"/>
      <c r="L36" s="46"/>
      <c r="M36" s="213"/>
      <c r="N36" s="200"/>
      <c r="O36" s="38"/>
      <c r="P36" s="38"/>
      <c r="Q36" s="38"/>
      <c r="R36" s="38"/>
      <c r="S36" s="33"/>
      <c r="T36" s="34"/>
      <c r="U36" s="214"/>
      <c r="V36" s="34"/>
    </row>
    <row r="37" spans="1:22" ht="16" x14ac:dyDescent="0.35">
      <c r="A37" s="46"/>
      <c r="B37" s="211"/>
      <c r="C37" s="211"/>
      <c r="D37" s="33"/>
      <c r="E37" s="33"/>
      <c r="F37" s="33"/>
      <c r="G37" s="33"/>
      <c r="H37" s="33"/>
      <c r="I37" s="212"/>
      <c r="J37" s="212"/>
      <c r="K37" s="46"/>
      <c r="L37" s="46"/>
      <c r="M37" s="213"/>
      <c r="N37" s="200"/>
      <c r="O37" s="38"/>
      <c r="P37" s="38"/>
      <c r="Q37" s="38"/>
      <c r="R37" s="38"/>
      <c r="S37" s="33"/>
      <c r="T37" s="34"/>
      <c r="U37" s="214"/>
      <c r="V37" s="34"/>
    </row>
    <row r="38" spans="1:22" ht="16" x14ac:dyDescent="0.35">
      <c r="A38" s="46"/>
      <c r="B38" s="211"/>
      <c r="C38" s="211"/>
      <c r="D38" s="33"/>
      <c r="E38" s="33"/>
      <c r="F38" s="33"/>
      <c r="G38" s="33"/>
      <c r="H38" s="33"/>
      <c r="I38" s="212"/>
      <c r="J38" s="212"/>
      <c r="K38" s="46"/>
      <c r="L38" s="46"/>
      <c r="M38" s="213"/>
      <c r="N38" s="200"/>
      <c r="O38" s="38"/>
      <c r="P38" s="38"/>
      <c r="Q38" s="38"/>
      <c r="R38" s="38"/>
      <c r="S38" s="33"/>
      <c r="T38" s="34"/>
      <c r="U38" s="214"/>
      <c r="V38" s="34"/>
    </row>
    <row r="39" spans="1:22" ht="16" x14ac:dyDescent="0.35">
      <c r="A39" s="46"/>
      <c r="B39" s="211"/>
      <c r="C39" s="211"/>
      <c r="D39" s="33"/>
      <c r="E39" s="33"/>
      <c r="F39" s="33"/>
      <c r="G39" s="33"/>
      <c r="H39" s="33"/>
      <c r="I39" s="212"/>
      <c r="J39" s="212"/>
      <c r="K39" s="46"/>
      <c r="L39" s="46"/>
      <c r="M39" s="213"/>
      <c r="N39" s="200"/>
      <c r="O39" s="38"/>
      <c r="P39" s="38"/>
      <c r="Q39" s="38"/>
      <c r="R39" s="38"/>
      <c r="S39" s="33"/>
      <c r="T39" s="34"/>
      <c r="U39" s="214"/>
      <c r="V39" s="34"/>
    </row>
    <row r="40" spans="1:22" ht="16" x14ac:dyDescent="0.35">
      <c r="A40" s="46"/>
      <c r="B40" s="211"/>
      <c r="C40" s="211"/>
      <c r="D40" s="33"/>
      <c r="E40" s="33"/>
      <c r="F40" s="33"/>
      <c r="G40" s="33"/>
      <c r="H40" s="33"/>
      <c r="I40" s="212"/>
      <c r="J40" s="212"/>
      <c r="K40" s="46"/>
      <c r="L40" s="46"/>
      <c r="M40" s="213"/>
      <c r="N40" s="200"/>
      <c r="O40" s="38"/>
      <c r="P40" s="38"/>
      <c r="Q40" s="38"/>
      <c r="R40" s="38"/>
      <c r="S40" s="33"/>
      <c r="T40" s="34"/>
      <c r="U40" s="214"/>
      <c r="V40" s="34"/>
    </row>
    <row r="41" spans="1:22" ht="16" x14ac:dyDescent="0.35">
      <c r="A41" s="46"/>
      <c r="B41" s="211"/>
      <c r="C41" s="211"/>
      <c r="D41" s="33"/>
      <c r="E41" s="33"/>
      <c r="F41" s="33"/>
      <c r="G41" s="33"/>
      <c r="H41" s="33"/>
      <c r="I41" s="212"/>
      <c r="J41" s="212"/>
      <c r="K41" s="46"/>
      <c r="L41" s="46"/>
      <c r="M41" s="213"/>
      <c r="N41" s="200"/>
      <c r="O41" s="38"/>
      <c r="P41" s="38"/>
      <c r="Q41" s="38"/>
      <c r="R41" s="38"/>
      <c r="S41" s="33"/>
      <c r="T41" s="34"/>
      <c r="U41" s="214"/>
      <c r="V41" s="34"/>
    </row>
    <row r="42" spans="1:22" ht="16" x14ac:dyDescent="0.35">
      <c r="A42" s="46"/>
      <c r="B42" s="211"/>
      <c r="C42" s="211"/>
      <c r="D42" s="33"/>
      <c r="E42" s="33"/>
      <c r="F42" s="33"/>
      <c r="G42" s="33"/>
      <c r="H42" s="33"/>
      <c r="I42" s="212"/>
      <c r="J42" s="212"/>
      <c r="K42" s="46"/>
      <c r="L42" s="46"/>
      <c r="M42" s="213"/>
      <c r="N42" s="200"/>
      <c r="O42" s="38"/>
      <c r="P42" s="38"/>
      <c r="Q42" s="38"/>
      <c r="R42" s="38"/>
      <c r="S42" s="33"/>
      <c r="T42" s="34"/>
      <c r="U42" s="214"/>
      <c r="V42" s="34"/>
    </row>
    <row r="43" spans="1:22" ht="16" x14ac:dyDescent="0.35">
      <c r="A43" s="46"/>
      <c r="B43" s="211"/>
      <c r="C43" s="211"/>
      <c r="D43" s="33"/>
      <c r="E43" s="33"/>
      <c r="F43" s="33"/>
      <c r="G43" s="33"/>
      <c r="H43" s="33"/>
      <c r="I43" s="212"/>
      <c r="J43" s="212"/>
      <c r="K43" s="46"/>
      <c r="L43" s="46"/>
      <c r="M43" s="213"/>
      <c r="N43" s="200"/>
      <c r="O43" s="38"/>
      <c r="P43" s="38"/>
      <c r="Q43" s="38"/>
      <c r="R43" s="38"/>
      <c r="S43" s="33"/>
      <c r="T43" s="34"/>
      <c r="U43" s="214"/>
      <c r="V43" s="34"/>
    </row>
    <row r="44" spans="1:22" ht="16" x14ac:dyDescent="0.35">
      <c r="A44" s="46"/>
      <c r="B44" s="211"/>
      <c r="C44" s="211"/>
      <c r="D44" s="33"/>
      <c r="E44" s="33"/>
      <c r="F44" s="33"/>
      <c r="G44" s="33"/>
      <c r="H44" s="33"/>
      <c r="I44" s="212"/>
      <c r="J44" s="212"/>
      <c r="K44" s="46"/>
      <c r="L44" s="46"/>
      <c r="M44" s="213"/>
      <c r="N44" s="200"/>
      <c r="O44" s="38"/>
      <c r="P44" s="38"/>
      <c r="Q44" s="38"/>
      <c r="R44" s="38"/>
      <c r="S44" s="33"/>
      <c r="T44" s="34"/>
      <c r="U44" s="214"/>
      <c r="V44" s="34"/>
    </row>
    <row r="45" spans="1:22" ht="16" x14ac:dyDescent="0.35">
      <c r="A45" s="46"/>
      <c r="B45" s="211"/>
      <c r="C45" s="211"/>
      <c r="D45" s="33"/>
      <c r="E45" s="33"/>
      <c r="F45" s="33"/>
      <c r="G45" s="33"/>
      <c r="H45" s="33"/>
      <c r="I45" s="212"/>
      <c r="J45" s="212"/>
      <c r="K45" s="46"/>
      <c r="L45" s="46"/>
      <c r="M45" s="213"/>
      <c r="N45" s="200"/>
      <c r="O45" s="38"/>
      <c r="P45" s="38"/>
      <c r="Q45" s="38"/>
      <c r="R45" s="38"/>
      <c r="S45" s="33"/>
      <c r="T45" s="34"/>
      <c r="U45" s="214"/>
      <c r="V45" s="34"/>
    </row>
    <row r="46" spans="1:22" ht="16" x14ac:dyDescent="0.35">
      <c r="A46" s="46"/>
      <c r="B46" s="211"/>
      <c r="C46" s="211"/>
      <c r="D46" s="33"/>
      <c r="E46" s="33"/>
      <c r="F46" s="33"/>
      <c r="G46" s="33"/>
      <c r="H46" s="33"/>
      <c r="I46" s="212"/>
      <c r="J46" s="212"/>
      <c r="K46" s="46"/>
      <c r="L46" s="46"/>
      <c r="M46" s="213"/>
      <c r="N46" s="200"/>
      <c r="O46" s="38"/>
      <c r="P46" s="38"/>
      <c r="Q46" s="38"/>
      <c r="R46" s="38"/>
      <c r="S46" s="33"/>
      <c r="T46" s="34"/>
      <c r="U46" s="214"/>
      <c r="V46" s="34"/>
    </row>
    <row r="47" spans="1:22" ht="16" x14ac:dyDescent="0.35">
      <c r="A47" s="46"/>
      <c r="B47" s="211"/>
      <c r="C47" s="211"/>
      <c r="D47" s="33"/>
      <c r="E47" s="33"/>
      <c r="F47" s="33"/>
      <c r="G47" s="33"/>
      <c r="H47" s="33"/>
      <c r="I47" s="212"/>
      <c r="J47" s="212"/>
      <c r="K47" s="46"/>
      <c r="L47" s="46"/>
      <c r="M47" s="213"/>
      <c r="N47" s="200"/>
      <c r="O47" s="38"/>
      <c r="P47" s="38"/>
      <c r="Q47" s="38"/>
      <c r="R47" s="38"/>
      <c r="S47" s="33"/>
      <c r="T47" s="34"/>
      <c r="U47" s="214"/>
      <c r="V47" s="34"/>
    </row>
    <row r="48" spans="1:22" ht="16" x14ac:dyDescent="0.35">
      <c r="A48" s="46"/>
      <c r="B48" s="211"/>
      <c r="C48" s="211"/>
      <c r="D48" s="33"/>
      <c r="E48" s="33"/>
      <c r="F48" s="33"/>
      <c r="G48" s="33"/>
      <c r="H48" s="33"/>
      <c r="I48" s="212"/>
      <c r="J48" s="212"/>
      <c r="K48" s="46"/>
      <c r="L48" s="46"/>
      <c r="M48" s="213"/>
      <c r="N48" s="200"/>
      <c r="O48" s="38"/>
      <c r="P48" s="38"/>
      <c r="Q48" s="38"/>
      <c r="R48" s="38"/>
      <c r="S48" s="33"/>
      <c r="T48" s="34"/>
      <c r="U48" s="214"/>
      <c r="V48" s="34"/>
    </row>
    <row r="49" spans="1:22" ht="16" x14ac:dyDescent="0.35">
      <c r="A49" s="46"/>
      <c r="B49" s="211"/>
      <c r="C49" s="211"/>
      <c r="D49" s="33"/>
      <c r="E49" s="33"/>
      <c r="F49" s="33"/>
      <c r="G49" s="33"/>
      <c r="H49" s="33"/>
      <c r="I49" s="212"/>
      <c r="J49" s="212"/>
      <c r="K49" s="46"/>
      <c r="L49" s="46"/>
      <c r="M49" s="213"/>
      <c r="N49" s="200"/>
      <c r="O49" s="38"/>
      <c r="P49" s="38"/>
      <c r="Q49" s="38"/>
      <c r="R49" s="38"/>
      <c r="S49" s="33"/>
      <c r="T49" s="34"/>
      <c r="U49" s="214"/>
      <c r="V49" s="34"/>
    </row>
    <row r="50" spans="1:22" ht="16" x14ac:dyDescent="0.35">
      <c r="A50" s="46"/>
      <c r="B50" s="211"/>
      <c r="C50" s="211"/>
      <c r="D50" s="33"/>
      <c r="E50" s="33"/>
      <c r="F50" s="33"/>
      <c r="G50" s="33"/>
      <c r="H50" s="33"/>
      <c r="I50" s="212"/>
      <c r="J50" s="212"/>
      <c r="K50" s="46"/>
      <c r="L50" s="46"/>
      <c r="M50" s="213"/>
      <c r="N50" s="200"/>
      <c r="O50" s="38"/>
      <c r="P50" s="38"/>
      <c r="Q50" s="38"/>
      <c r="R50" s="38"/>
      <c r="S50" s="33"/>
      <c r="T50" s="34"/>
      <c r="U50" s="214"/>
      <c r="V50" s="34"/>
    </row>
    <row r="51" spans="1:22" ht="16" x14ac:dyDescent="0.35">
      <c r="A51" s="46"/>
      <c r="B51" s="211"/>
      <c r="C51" s="211"/>
      <c r="D51" s="33"/>
      <c r="E51" s="33"/>
      <c r="F51" s="33"/>
      <c r="G51" s="33"/>
      <c r="H51" s="33"/>
      <c r="I51" s="212"/>
      <c r="J51" s="212"/>
      <c r="K51" s="46"/>
      <c r="L51" s="46"/>
      <c r="M51" s="213"/>
      <c r="N51" s="200"/>
      <c r="O51" s="38"/>
      <c r="P51" s="38"/>
      <c r="Q51" s="38"/>
      <c r="R51" s="38"/>
      <c r="S51" s="33"/>
      <c r="T51" s="34"/>
      <c r="U51" s="214"/>
      <c r="V51" s="34"/>
    </row>
    <row r="52" spans="1:22" ht="16" x14ac:dyDescent="0.35">
      <c r="A52" s="46"/>
      <c r="B52" s="211"/>
      <c r="C52" s="211"/>
      <c r="D52" s="33"/>
      <c r="E52" s="33"/>
      <c r="F52" s="33"/>
      <c r="G52" s="33"/>
      <c r="H52" s="33"/>
      <c r="I52" s="212"/>
      <c r="J52" s="212"/>
      <c r="K52" s="46"/>
      <c r="L52" s="46"/>
      <c r="M52" s="213"/>
      <c r="N52" s="200"/>
      <c r="O52" s="38"/>
      <c r="P52" s="38"/>
      <c r="Q52" s="38"/>
      <c r="R52" s="38"/>
      <c r="S52" s="33"/>
      <c r="T52" s="34"/>
      <c r="U52" s="214"/>
      <c r="V52" s="34"/>
    </row>
    <row r="53" spans="1:22" ht="16" x14ac:dyDescent="0.35">
      <c r="A53" s="46"/>
      <c r="B53" s="211"/>
      <c r="C53" s="211"/>
      <c r="D53" s="33"/>
      <c r="E53" s="33"/>
      <c r="F53" s="33"/>
      <c r="G53" s="33"/>
      <c r="H53" s="33"/>
      <c r="I53" s="212"/>
      <c r="J53" s="212"/>
      <c r="K53" s="46"/>
      <c r="L53" s="46"/>
      <c r="M53" s="213"/>
      <c r="N53" s="200"/>
      <c r="O53" s="38"/>
      <c r="P53" s="38"/>
      <c r="Q53" s="38"/>
      <c r="R53" s="38"/>
      <c r="S53" s="33"/>
      <c r="T53" s="34"/>
      <c r="U53" s="214"/>
      <c r="V53" s="34"/>
    </row>
    <row r="54" spans="1:22" ht="16" x14ac:dyDescent="0.35">
      <c r="A54" s="46"/>
      <c r="B54" s="211"/>
      <c r="C54" s="211"/>
      <c r="D54" s="33"/>
      <c r="E54" s="33"/>
      <c r="F54" s="33"/>
      <c r="G54" s="33"/>
      <c r="H54" s="33"/>
      <c r="I54" s="212"/>
      <c r="J54" s="212"/>
      <c r="K54" s="46"/>
      <c r="L54" s="46"/>
      <c r="M54" s="213"/>
      <c r="N54" s="200"/>
      <c r="O54" s="38"/>
      <c r="P54" s="38"/>
      <c r="Q54" s="38"/>
      <c r="R54" s="38"/>
      <c r="S54" s="33"/>
      <c r="T54" s="34"/>
      <c r="U54" s="214"/>
      <c r="V54" s="34"/>
    </row>
    <row r="55" spans="1:22" ht="16" x14ac:dyDescent="0.35">
      <c r="A55" s="46"/>
      <c r="B55" s="211"/>
      <c r="C55" s="211"/>
      <c r="D55" s="33"/>
      <c r="E55" s="33"/>
      <c r="F55" s="33"/>
      <c r="G55" s="33"/>
      <c r="H55" s="33"/>
      <c r="I55" s="212"/>
      <c r="J55" s="212"/>
      <c r="K55" s="46"/>
      <c r="L55" s="46"/>
      <c r="M55" s="213"/>
      <c r="N55" s="200"/>
      <c r="O55" s="38"/>
      <c r="P55" s="38"/>
      <c r="Q55" s="38"/>
      <c r="R55" s="38"/>
      <c r="S55" s="33"/>
      <c r="T55" s="34"/>
      <c r="U55" s="214"/>
      <c r="V55" s="34"/>
    </row>
    <row r="56" spans="1:22" ht="16" x14ac:dyDescent="0.35">
      <c r="A56" s="46"/>
      <c r="B56" s="211"/>
      <c r="C56" s="211"/>
      <c r="D56" s="33"/>
      <c r="E56" s="33"/>
      <c r="F56" s="33"/>
      <c r="G56" s="33"/>
      <c r="H56" s="33"/>
      <c r="I56" s="212"/>
      <c r="J56" s="212"/>
      <c r="K56" s="46"/>
      <c r="L56" s="46"/>
      <c r="M56" s="213"/>
      <c r="N56" s="200"/>
      <c r="O56" s="38"/>
      <c r="P56" s="38"/>
      <c r="Q56" s="38"/>
      <c r="R56" s="38"/>
      <c r="S56" s="33"/>
      <c r="T56" s="34"/>
      <c r="U56" s="214"/>
      <c r="V56" s="34"/>
    </row>
    <row r="57" spans="1:22" ht="16" x14ac:dyDescent="0.35">
      <c r="A57" s="46"/>
      <c r="B57" s="211"/>
      <c r="C57" s="211"/>
      <c r="D57" s="33"/>
      <c r="E57" s="33"/>
      <c r="F57" s="33"/>
      <c r="G57" s="33"/>
      <c r="H57" s="33"/>
      <c r="I57" s="212"/>
      <c r="J57" s="212"/>
      <c r="K57" s="46"/>
      <c r="L57" s="46"/>
      <c r="M57" s="213"/>
      <c r="N57" s="200"/>
      <c r="O57" s="38"/>
      <c r="P57" s="38"/>
      <c r="Q57" s="38"/>
      <c r="R57" s="38"/>
      <c r="S57" s="33"/>
      <c r="T57" s="34"/>
      <c r="U57" s="214"/>
      <c r="V57" s="34"/>
    </row>
    <row r="58" spans="1:22" ht="16" x14ac:dyDescent="0.35">
      <c r="A58" s="46"/>
      <c r="B58" s="211"/>
      <c r="C58" s="211"/>
      <c r="D58" s="33"/>
      <c r="E58" s="33"/>
      <c r="F58" s="33"/>
      <c r="G58" s="33"/>
      <c r="H58" s="33"/>
      <c r="I58" s="212"/>
      <c r="J58" s="212"/>
      <c r="K58" s="46"/>
      <c r="L58" s="46"/>
      <c r="M58" s="213"/>
      <c r="N58" s="200"/>
      <c r="O58" s="38"/>
      <c r="P58" s="38"/>
      <c r="Q58" s="38"/>
      <c r="R58" s="38"/>
      <c r="S58" s="33"/>
      <c r="T58" s="34"/>
      <c r="U58" s="214"/>
      <c r="V58" s="34"/>
    </row>
    <row r="59" spans="1:22" ht="16" x14ac:dyDescent="0.35">
      <c r="A59" s="46"/>
      <c r="B59" s="211"/>
      <c r="C59" s="211"/>
      <c r="D59" s="33"/>
      <c r="E59" s="33"/>
      <c r="F59" s="33"/>
      <c r="G59" s="33"/>
      <c r="H59" s="33"/>
      <c r="I59" s="212"/>
      <c r="J59" s="212"/>
      <c r="K59" s="46"/>
      <c r="L59" s="46"/>
      <c r="M59" s="213"/>
      <c r="N59" s="200"/>
      <c r="O59" s="38"/>
      <c r="P59" s="38"/>
      <c r="Q59" s="38"/>
      <c r="R59" s="38"/>
      <c r="S59" s="33"/>
      <c r="T59" s="34"/>
      <c r="U59" s="214"/>
      <c r="V59" s="34"/>
    </row>
    <row r="60" spans="1:22" ht="16" x14ac:dyDescent="0.35">
      <c r="A60" s="46"/>
      <c r="B60" s="211"/>
      <c r="C60" s="211"/>
      <c r="D60" s="33"/>
      <c r="E60" s="33"/>
      <c r="F60" s="33"/>
      <c r="G60" s="33"/>
      <c r="H60" s="33"/>
      <c r="I60" s="212"/>
      <c r="J60" s="212"/>
      <c r="K60" s="46"/>
      <c r="L60" s="46"/>
      <c r="M60" s="213"/>
      <c r="N60" s="200"/>
      <c r="O60" s="38"/>
      <c r="P60" s="38"/>
      <c r="Q60" s="38"/>
      <c r="R60" s="38"/>
      <c r="S60" s="33"/>
      <c r="T60" s="34"/>
      <c r="U60" s="214"/>
      <c r="V60" s="34"/>
    </row>
    <row r="61" spans="1:22" ht="16" x14ac:dyDescent="0.35">
      <c r="A61" s="46"/>
      <c r="B61" s="211"/>
      <c r="C61" s="211"/>
      <c r="D61" s="33"/>
      <c r="E61" s="33"/>
      <c r="F61" s="33"/>
      <c r="G61" s="33"/>
      <c r="H61" s="33"/>
      <c r="I61" s="212"/>
      <c r="J61" s="212"/>
      <c r="K61" s="46"/>
      <c r="L61" s="46"/>
      <c r="M61" s="213"/>
      <c r="N61" s="200"/>
      <c r="O61" s="38"/>
      <c r="P61" s="38"/>
      <c r="Q61" s="38"/>
      <c r="R61" s="38"/>
      <c r="S61" s="33"/>
      <c r="T61" s="34"/>
      <c r="U61" s="214"/>
      <c r="V61" s="34"/>
    </row>
    <row r="62" spans="1:22" ht="16" x14ac:dyDescent="0.35">
      <c r="A62" s="46"/>
      <c r="B62" s="211"/>
      <c r="C62" s="211"/>
      <c r="D62" s="33"/>
      <c r="E62" s="33"/>
      <c r="F62" s="33"/>
      <c r="G62" s="33"/>
      <c r="H62" s="33"/>
      <c r="I62" s="212"/>
      <c r="J62" s="212"/>
      <c r="K62" s="46"/>
      <c r="L62" s="46"/>
      <c r="M62" s="213"/>
      <c r="N62" s="200"/>
      <c r="O62" s="38"/>
      <c r="P62" s="38"/>
      <c r="Q62" s="38"/>
      <c r="R62" s="38"/>
      <c r="S62" s="33"/>
      <c r="T62" s="34"/>
      <c r="U62" s="214"/>
      <c r="V62" s="34"/>
    </row>
    <row r="63" spans="1:22" ht="16" x14ac:dyDescent="0.35">
      <c r="A63" s="46"/>
      <c r="B63" s="211"/>
      <c r="C63" s="211"/>
      <c r="D63" s="33"/>
      <c r="E63" s="33"/>
      <c r="F63" s="33"/>
      <c r="G63" s="33"/>
      <c r="H63" s="33"/>
      <c r="I63" s="212"/>
      <c r="J63" s="212"/>
      <c r="K63" s="46"/>
      <c r="L63" s="46"/>
      <c r="M63" s="213"/>
      <c r="N63" s="200"/>
      <c r="O63" s="38"/>
      <c r="P63" s="38"/>
      <c r="Q63" s="38"/>
      <c r="R63" s="38"/>
      <c r="S63" s="33"/>
      <c r="T63" s="34"/>
      <c r="U63" s="214"/>
      <c r="V63" s="34"/>
    </row>
    <row r="64" spans="1:22" ht="16" x14ac:dyDescent="0.35">
      <c r="A64" s="46"/>
      <c r="B64" s="211"/>
      <c r="C64" s="211"/>
      <c r="D64" s="33"/>
      <c r="E64" s="33"/>
      <c r="F64" s="33"/>
      <c r="G64" s="33"/>
      <c r="H64" s="33"/>
      <c r="I64" s="212"/>
      <c r="J64" s="212"/>
      <c r="K64" s="46"/>
      <c r="L64" s="46"/>
      <c r="M64" s="213"/>
      <c r="N64" s="200"/>
      <c r="O64" s="38"/>
      <c r="P64" s="38"/>
      <c r="Q64" s="38"/>
      <c r="R64" s="38"/>
      <c r="S64" s="33"/>
      <c r="T64" s="34"/>
      <c r="U64" s="214"/>
      <c r="V64" s="34"/>
    </row>
    <row r="65" spans="1:22" ht="16" x14ac:dyDescent="0.35">
      <c r="A65" s="46"/>
      <c r="B65" s="211"/>
      <c r="C65" s="211"/>
      <c r="D65" s="33"/>
      <c r="E65" s="33"/>
      <c r="F65" s="33"/>
      <c r="G65" s="33"/>
      <c r="H65" s="33"/>
      <c r="I65" s="212"/>
      <c r="J65" s="212"/>
      <c r="K65" s="46"/>
      <c r="L65" s="46"/>
      <c r="M65" s="213"/>
      <c r="N65" s="200"/>
      <c r="O65" s="38"/>
      <c r="P65" s="38"/>
      <c r="Q65" s="38"/>
      <c r="R65" s="38"/>
      <c r="S65" s="33"/>
      <c r="T65" s="34"/>
      <c r="U65" s="214"/>
      <c r="V65" s="34"/>
    </row>
    <row r="66" spans="1:22" ht="16" x14ac:dyDescent="0.35">
      <c r="A66" s="46"/>
      <c r="B66" s="211"/>
      <c r="C66" s="211"/>
      <c r="D66" s="33"/>
      <c r="E66" s="33"/>
      <c r="F66" s="33"/>
      <c r="G66" s="33"/>
      <c r="H66" s="33"/>
      <c r="I66" s="212"/>
      <c r="J66" s="212"/>
      <c r="K66" s="46"/>
      <c r="L66" s="46"/>
      <c r="M66" s="213"/>
      <c r="N66" s="200"/>
      <c r="O66" s="38"/>
      <c r="P66" s="38"/>
      <c r="Q66" s="38"/>
      <c r="R66" s="38"/>
      <c r="S66" s="33"/>
      <c r="T66" s="34"/>
      <c r="U66" s="214"/>
      <c r="V66" s="34"/>
    </row>
    <row r="67" spans="1:22" ht="16" x14ac:dyDescent="0.35">
      <c r="A67" s="46"/>
      <c r="B67" s="211"/>
      <c r="C67" s="211"/>
      <c r="D67" s="33"/>
      <c r="E67" s="33"/>
      <c r="F67" s="33"/>
      <c r="G67" s="33"/>
      <c r="H67" s="33"/>
      <c r="I67" s="212"/>
      <c r="J67" s="212"/>
      <c r="K67" s="46"/>
      <c r="L67" s="46"/>
      <c r="M67" s="213"/>
      <c r="N67" s="200"/>
      <c r="O67" s="38"/>
      <c r="P67" s="38"/>
      <c r="Q67" s="38"/>
      <c r="R67" s="38"/>
      <c r="S67" s="33"/>
      <c r="T67" s="34"/>
      <c r="U67" s="214"/>
      <c r="V67" s="34"/>
    </row>
    <row r="68" spans="1:22" ht="16" x14ac:dyDescent="0.35">
      <c r="A68" s="46"/>
      <c r="B68" s="211"/>
      <c r="C68" s="211"/>
      <c r="D68" s="33"/>
      <c r="E68" s="33"/>
      <c r="F68" s="33"/>
      <c r="G68" s="33"/>
      <c r="H68" s="33"/>
      <c r="I68" s="212"/>
      <c r="J68" s="212"/>
      <c r="K68" s="46"/>
      <c r="L68" s="46"/>
      <c r="M68" s="213"/>
      <c r="N68" s="200"/>
      <c r="O68" s="38"/>
      <c r="P68" s="38"/>
      <c r="Q68" s="38"/>
      <c r="R68" s="38"/>
      <c r="S68" s="33"/>
      <c r="T68" s="34"/>
      <c r="U68" s="214"/>
      <c r="V68" s="34"/>
    </row>
    <row r="69" spans="1:22" ht="16" x14ac:dyDescent="0.35">
      <c r="A69" s="46"/>
      <c r="B69" s="211"/>
      <c r="C69" s="211"/>
      <c r="D69" s="33"/>
      <c r="E69" s="33"/>
      <c r="F69" s="33"/>
      <c r="G69" s="33"/>
      <c r="H69" s="33"/>
      <c r="I69" s="212"/>
      <c r="J69" s="212"/>
      <c r="K69" s="46"/>
      <c r="L69" s="46"/>
      <c r="M69" s="213"/>
      <c r="N69" s="200"/>
      <c r="O69" s="38"/>
      <c r="P69" s="38"/>
      <c r="Q69" s="38"/>
      <c r="R69" s="38"/>
      <c r="S69" s="33"/>
      <c r="T69" s="34"/>
      <c r="U69" s="214"/>
      <c r="V69" s="34"/>
    </row>
    <row r="70" spans="1:22" ht="16" x14ac:dyDescent="0.35">
      <c r="A70" s="46"/>
      <c r="B70" s="211"/>
      <c r="C70" s="211"/>
      <c r="D70" s="33"/>
      <c r="E70" s="33"/>
      <c r="F70" s="33"/>
      <c r="G70" s="33"/>
      <c r="H70" s="33"/>
      <c r="I70" s="212"/>
      <c r="J70" s="212"/>
      <c r="K70" s="46"/>
      <c r="L70" s="46"/>
      <c r="M70" s="213"/>
      <c r="N70" s="200"/>
      <c r="O70" s="38"/>
      <c r="P70" s="38"/>
      <c r="Q70" s="38"/>
      <c r="R70" s="38"/>
      <c r="S70" s="33"/>
      <c r="T70" s="34"/>
      <c r="U70" s="214"/>
      <c r="V70" s="34"/>
    </row>
    <row r="71" spans="1:22" ht="16" x14ac:dyDescent="0.35">
      <c r="A71" s="46"/>
      <c r="B71" s="211"/>
      <c r="C71" s="211"/>
      <c r="D71" s="33"/>
      <c r="E71" s="33"/>
      <c r="F71" s="33"/>
      <c r="G71" s="33"/>
      <c r="H71" s="33"/>
      <c r="I71" s="212"/>
      <c r="J71" s="212"/>
      <c r="K71" s="46"/>
      <c r="L71" s="46"/>
      <c r="M71" s="213"/>
      <c r="N71" s="200"/>
      <c r="O71" s="38"/>
      <c r="P71" s="38"/>
      <c r="Q71" s="38"/>
      <c r="R71" s="38"/>
      <c r="S71" s="33"/>
      <c r="T71" s="34"/>
      <c r="U71" s="214"/>
      <c r="V71" s="34"/>
    </row>
    <row r="72" spans="1:22" ht="16" x14ac:dyDescent="0.35">
      <c r="A72" s="46"/>
      <c r="B72" s="211"/>
      <c r="C72" s="211"/>
      <c r="D72" s="33"/>
      <c r="E72" s="33"/>
      <c r="F72" s="33"/>
      <c r="G72" s="33"/>
      <c r="H72" s="33"/>
      <c r="I72" s="212"/>
      <c r="J72" s="212"/>
      <c r="K72" s="46"/>
      <c r="L72" s="46"/>
      <c r="M72" s="213"/>
      <c r="N72" s="200"/>
      <c r="O72" s="38"/>
      <c r="P72" s="38"/>
      <c r="Q72" s="38"/>
      <c r="R72" s="38"/>
      <c r="S72" s="33"/>
      <c r="T72" s="34"/>
      <c r="U72" s="214"/>
      <c r="V72" s="34"/>
    </row>
    <row r="73" spans="1:22" ht="16" x14ac:dyDescent="0.35">
      <c r="A73" s="46"/>
      <c r="B73" s="211"/>
      <c r="C73" s="211"/>
      <c r="D73" s="33"/>
      <c r="E73" s="33"/>
      <c r="F73" s="33"/>
      <c r="G73" s="33"/>
      <c r="H73" s="33"/>
      <c r="I73" s="212"/>
      <c r="J73" s="212"/>
      <c r="K73" s="46"/>
      <c r="L73" s="46"/>
      <c r="M73" s="213"/>
      <c r="N73" s="200"/>
      <c r="O73" s="38"/>
      <c r="P73" s="38"/>
      <c r="Q73" s="38"/>
      <c r="R73" s="38"/>
      <c r="S73" s="33"/>
      <c r="T73" s="34"/>
      <c r="U73" s="214"/>
      <c r="V73" s="34"/>
    </row>
    <row r="74" spans="1:22" ht="16" x14ac:dyDescent="0.35">
      <c r="A74" s="46"/>
      <c r="B74" s="211"/>
      <c r="C74" s="211"/>
      <c r="D74" s="33"/>
      <c r="E74" s="33"/>
      <c r="F74" s="33"/>
      <c r="G74" s="33"/>
      <c r="H74" s="33"/>
      <c r="I74" s="212"/>
      <c r="J74" s="212"/>
      <c r="K74" s="46"/>
      <c r="L74" s="46"/>
      <c r="M74" s="213"/>
      <c r="N74" s="200"/>
      <c r="O74" s="38"/>
      <c r="P74" s="38"/>
      <c r="Q74" s="38"/>
      <c r="R74" s="38"/>
      <c r="S74" s="33"/>
      <c r="T74" s="34"/>
      <c r="U74" s="214"/>
      <c r="V74" s="34"/>
    </row>
    <row r="75" spans="1:22" x14ac:dyDescent="0.35">
      <c r="A75" s="46"/>
      <c r="B75" s="211"/>
      <c r="C75" s="211"/>
      <c r="D75" s="33"/>
      <c r="E75" s="33"/>
      <c r="F75" s="33"/>
      <c r="G75" s="33"/>
      <c r="H75" s="33"/>
      <c r="I75" s="212"/>
      <c r="J75" s="212"/>
      <c r="K75" s="46"/>
      <c r="L75" s="46"/>
      <c r="M75" s="213"/>
      <c r="N75" s="200"/>
      <c r="O75" s="46"/>
      <c r="P75" s="46"/>
      <c r="Q75" s="46"/>
      <c r="R75" s="46"/>
      <c r="S75" s="33"/>
      <c r="T75" s="34"/>
      <c r="U75" s="214"/>
      <c r="V75" s="34"/>
    </row>
    <row r="76" spans="1:22" x14ac:dyDescent="0.35">
      <c r="A76" s="46"/>
      <c r="B76" s="211"/>
      <c r="C76" s="211"/>
      <c r="D76" s="33"/>
      <c r="E76" s="33"/>
      <c r="F76" s="33"/>
      <c r="G76" s="33"/>
      <c r="H76" s="33"/>
      <c r="I76" s="212"/>
      <c r="J76" s="212"/>
      <c r="K76" s="46"/>
      <c r="L76" s="46"/>
      <c r="M76" s="213"/>
      <c r="N76" s="200"/>
      <c r="O76" s="46"/>
      <c r="P76" s="46"/>
      <c r="Q76" s="46"/>
      <c r="R76" s="46"/>
      <c r="S76" s="33"/>
      <c r="T76" s="34"/>
      <c r="U76" s="214"/>
      <c r="V76" s="34"/>
    </row>
    <row r="77" spans="1:22" x14ac:dyDescent="0.35">
      <c r="A77" s="46"/>
      <c r="B77" s="211"/>
      <c r="C77" s="211"/>
      <c r="D77" s="33"/>
      <c r="E77" s="33"/>
      <c r="F77" s="33"/>
      <c r="G77" s="33"/>
      <c r="H77" s="33"/>
      <c r="I77" s="212"/>
      <c r="J77" s="212"/>
      <c r="K77" s="46"/>
      <c r="L77" s="46"/>
      <c r="M77" s="213"/>
      <c r="N77" s="200"/>
      <c r="O77" s="46"/>
      <c r="P77" s="46"/>
      <c r="Q77" s="46"/>
      <c r="R77" s="46"/>
      <c r="S77" s="33"/>
      <c r="T77" s="34"/>
      <c r="U77" s="214"/>
      <c r="V77" s="34"/>
    </row>
    <row r="78" spans="1:22" x14ac:dyDescent="0.35">
      <c r="A78" s="46"/>
      <c r="B78" s="211"/>
      <c r="C78" s="211"/>
      <c r="D78" s="33"/>
      <c r="E78" s="33"/>
      <c r="F78" s="33"/>
      <c r="G78" s="33"/>
      <c r="H78" s="33"/>
      <c r="I78" s="212"/>
      <c r="J78" s="212"/>
      <c r="K78" s="46"/>
      <c r="L78" s="46"/>
      <c r="M78" s="213"/>
      <c r="N78" s="200"/>
      <c r="O78" s="46"/>
      <c r="P78" s="46"/>
      <c r="Q78" s="46"/>
      <c r="R78" s="46"/>
      <c r="S78" s="33"/>
      <c r="T78" s="34"/>
      <c r="U78" s="214"/>
      <c r="V78" s="34"/>
    </row>
    <row r="79" spans="1:22" x14ac:dyDescent="0.35">
      <c r="A79" s="46"/>
      <c r="B79" s="211"/>
      <c r="C79" s="211"/>
      <c r="D79" s="33"/>
      <c r="E79" s="33"/>
      <c r="F79" s="33"/>
      <c r="G79" s="33"/>
      <c r="H79" s="33"/>
      <c r="I79" s="212"/>
      <c r="J79" s="212"/>
      <c r="K79" s="46"/>
      <c r="L79" s="46"/>
      <c r="M79" s="213"/>
      <c r="N79" s="200"/>
      <c r="O79" s="46"/>
      <c r="P79" s="46"/>
      <c r="Q79" s="46"/>
      <c r="R79" s="46"/>
      <c r="S79" s="33"/>
      <c r="T79" s="34"/>
      <c r="U79" s="214"/>
      <c r="V79" s="34"/>
    </row>
    <row r="80" spans="1:22" x14ac:dyDescent="0.35">
      <c r="A80" s="46"/>
      <c r="B80" s="211"/>
      <c r="C80" s="211"/>
      <c r="D80" s="33"/>
      <c r="E80" s="33"/>
      <c r="F80" s="33"/>
      <c r="G80" s="33"/>
      <c r="H80" s="33"/>
      <c r="I80" s="212"/>
      <c r="J80" s="212"/>
      <c r="K80" s="46"/>
      <c r="L80" s="46"/>
      <c r="M80" s="213"/>
      <c r="N80" s="200"/>
      <c r="O80" s="46"/>
      <c r="P80" s="46"/>
      <c r="Q80" s="46"/>
      <c r="R80" s="46"/>
      <c r="S80" s="33"/>
      <c r="T80" s="34"/>
      <c r="U80" s="214"/>
      <c r="V80" s="34"/>
    </row>
    <row r="81" spans="1:22" x14ac:dyDescent="0.35">
      <c r="A81" s="46"/>
      <c r="B81" s="211"/>
      <c r="C81" s="211"/>
      <c r="D81" s="33"/>
      <c r="E81" s="33"/>
      <c r="F81" s="33"/>
      <c r="G81" s="33"/>
      <c r="H81" s="33"/>
      <c r="I81" s="212"/>
      <c r="J81" s="212"/>
      <c r="K81" s="46"/>
      <c r="L81" s="46"/>
      <c r="M81" s="213"/>
      <c r="N81" s="200"/>
      <c r="O81" s="46"/>
      <c r="P81" s="46"/>
      <c r="Q81" s="46"/>
      <c r="R81" s="46"/>
      <c r="S81" s="33"/>
      <c r="T81" s="34"/>
      <c r="U81" s="214"/>
      <c r="V81" s="34"/>
    </row>
    <row r="82" spans="1:22" x14ac:dyDescent="0.35">
      <c r="A82" s="46"/>
      <c r="B82" s="211"/>
      <c r="C82" s="211"/>
      <c r="D82" s="33"/>
      <c r="E82" s="33"/>
      <c r="F82" s="33"/>
      <c r="G82" s="33"/>
      <c r="H82" s="33"/>
      <c r="I82" s="212"/>
      <c r="J82" s="212"/>
      <c r="K82" s="46"/>
      <c r="L82" s="46"/>
      <c r="M82" s="213"/>
      <c r="N82" s="200"/>
      <c r="O82" s="46"/>
      <c r="P82" s="46"/>
      <c r="Q82" s="46"/>
      <c r="R82" s="46"/>
      <c r="S82" s="33"/>
      <c r="T82" s="34"/>
      <c r="U82" s="214"/>
      <c r="V82" s="34"/>
    </row>
    <row r="83" spans="1:22" x14ac:dyDescent="0.35">
      <c r="A83" s="46"/>
      <c r="B83" s="211"/>
      <c r="C83" s="211"/>
      <c r="D83" s="33"/>
      <c r="E83" s="33"/>
      <c r="F83" s="33"/>
      <c r="G83" s="33"/>
      <c r="H83" s="33"/>
      <c r="I83" s="212"/>
      <c r="J83" s="212"/>
      <c r="K83" s="46"/>
      <c r="L83" s="46"/>
      <c r="M83" s="213"/>
      <c r="N83" s="200"/>
      <c r="O83" s="46"/>
      <c r="P83" s="46"/>
      <c r="Q83" s="46"/>
      <c r="R83" s="46"/>
      <c r="S83" s="33"/>
      <c r="T83" s="34"/>
      <c r="U83" s="214"/>
      <c r="V83" s="34"/>
    </row>
    <row r="84" spans="1:22" x14ac:dyDescent="0.35">
      <c r="A84" s="46"/>
      <c r="B84" s="211"/>
      <c r="C84" s="211"/>
      <c r="D84" s="33"/>
      <c r="E84" s="33"/>
      <c r="F84" s="33"/>
      <c r="G84" s="33"/>
      <c r="H84" s="33"/>
      <c r="I84" s="212"/>
      <c r="J84" s="212"/>
      <c r="K84" s="46"/>
      <c r="L84" s="46"/>
      <c r="M84" s="213"/>
      <c r="N84" s="200"/>
      <c r="O84" s="46"/>
      <c r="P84" s="46"/>
      <c r="Q84" s="46"/>
      <c r="R84" s="46"/>
      <c r="S84" s="33"/>
      <c r="T84" s="34"/>
      <c r="U84" s="214"/>
      <c r="V84" s="34"/>
    </row>
    <row r="85" spans="1:22" x14ac:dyDescent="0.35">
      <c r="A85" s="46"/>
      <c r="B85" s="211"/>
      <c r="C85" s="211"/>
      <c r="D85" s="33"/>
      <c r="E85" s="33"/>
      <c r="F85" s="33"/>
      <c r="G85" s="33"/>
      <c r="H85" s="33"/>
      <c r="I85" s="212"/>
      <c r="J85" s="212"/>
      <c r="K85" s="46"/>
      <c r="L85" s="46"/>
      <c r="M85" s="213"/>
      <c r="N85" s="200"/>
      <c r="O85" s="46"/>
      <c r="P85" s="46"/>
      <c r="Q85" s="46"/>
      <c r="R85" s="46"/>
      <c r="S85" s="33"/>
      <c r="T85" s="34"/>
      <c r="U85" s="214"/>
      <c r="V85" s="34"/>
    </row>
    <row r="86" spans="1:22" x14ac:dyDescent="0.35">
      <c r="A86" s="46"/>
      <c r="B86" s="211"/>
      <c r="C86" s="211"/>
      <c r="D86" s="33"/>
      <c r="E86" s="33"/>
      <c r="F86" s="33"/>
      <c r="G86" s="33"/>
      <c r="H86" s="33"/>
      <c r="I86" s="212"/>
      <c r="J86" s="212"/>
      <c r="K86" s="46"/>
      <c r="L86" s="46"/>
      <c r="M86" s="213"/>
      <c r="N86" s="200"/>
      <c r="O86" s="46"/>
      <c r="P86" s="46"/>
      <c r="Q86" s="46"/>
      <c r="R86" s="46"/>
      <c r="S86" s="33"/>
      <c r="T86" s="34"/>
      <c r="U86" s="214"/>
      <c r="V86" s="34"/>
    </row>
    <row r="87" spans="1:22" x14ac:dyDescent="0.35">
      <c r="A87" s="46"/>
      <c r="B87" s="211"/>
      <c r="C87" s="211"/>
      <c r="D87" s="33"/>
      <c r="E87" s="33"/>
      <c r="F87" s="33"/>
      <c r="G87" s="33"/>
      <c r="H87" s="33"/>
      <c r="I87" s="212"/>
      <c r="J87" s="212"/>
      <c r="K87" s="46"/>
      <c r="L87" s="46"/>
      <c r="M87" s="213"/>
      <c r="N87" s="200"/>
      <c r="O87" s="46"/>
      <c r="P87" s="46"/>
      <c r="Q87" s="46"/>
      <c r="R87" s="46"/>
      <c r="S87" s="33"/>
      <c r="T87" s="34"/>
      <c r="U87" s="214"/>
      <c r="V87" s="34"/>
    </row>
    <row r="88" spans="1:22" x14ac:dyDescent="0.35">
      <c r="A88" s="46"/>
      <c r="B88" s="211"/>
      <c r="C88" s="211"/>
      <c r="D88" s="33"/>
      <c r="E88" s="33"/>
      <c r="F88" s="33"/>
      <c r="G88" s="33"/>
      <c r="H88" s="33"/>
      <c r="I88" s="212"/>
      <c r="J88" s="212"/>
      <c r="K88" s="46"/>
      <c r="L88" s="46"/>
      <c r="M88" s="213"/>
      <c r="N88" s="200"/>
      <c r="O88" s="46"/>
      <c r="P88" s="46"/>
      <c r="Q88" s="46"/>
      <c r="R88" s="46"/>
      <c r="S88" s="33"/>
      <c r="T88" s="34"/>
      <c r="U88" s="214"/>
      <c r="V88" s="34"/>
    </row>
    <row r="89" spans="1:22" x14ac:dyDescent="0.35">
      <c r="A89" s="46"/>
      <c r="B89" s="211"/>
      <c r="C89" s="211"/>
      <c r="D89" s="33"/>
      <c r="E89" s="33"/>
      <c r="F89" s="33"/>
      <c r="G89" s="33"/>
      <c r="H89" s="33"/>
      <c r="I89" s="212"/>
      <c r="J89" s="212"/>
      <c r="K89" s="46"/>
      <c r="L89" s="46"/>
      <c r="M89" s="213"/>
      <c r="N89" s="200"/>
      <c r="O89" s="46"/>
      <c r="P89" s="46"/>
      <c r="Q89" s="46"/>
      <c r="R89" s="46"/>
      <c r="S89" s="33"/>
      <c r="T89" s="34"/>
      <c r="U89" s="214"/>
      <c r="V89" s="34"/>
    </row>
    <row r="90" spans="1:22" x14ac:dyDescent="0.35">
      <c r="A90" s="46"/>
      <c r="B90" s="211"/>
      <c r="C90" s="211"/>
      <c r="D90" s="33"/>
      <c r="E90" s="33"/>
      <c r="F90" s="33"/>
      <c r="G90" s="33"/>
      <c r="H90" s="33"/>
      <c r="I90" s="212"/>
      <c r="J90" s="212"/>
      <c r="K90" s="46"/>
      <c r="L90" s="46"/>
      <c r="M90" s="213"/>
      <c r="N90" s="200"/>
      <c r="O90" s="46"/>
      <c r="P90" s="46"/>
      <c r="Q90" s="46"/>
      <c r="R90" s="46"/>
      <c r="S90" s="33"/>
      <c r="T90" s="34"/>
      <c r="U90" s="214"/>
      <c r="V90" s="34"/>
    </row>
    <row r="91" spans="1:22" x14ac:dyDescent="0.35">
      <c r="A91" s="46"/>
      <c r="B91" s="211"/>
      <c r="C91" s="211"/>
      <c r="D91" s="33"/>
      <c r="E91" s="33"/>
      <c r="F91" s="33"/>
      <c r="G91" s="33"/>
      <c r="H91" s="33"/>
      <c r="I91" s="212"/>
      <c r="J91" s="212"/>
      <c r="K91" s="46"/>
      <c r="L91" s="46"/>
      <c r="M91" s="213"/>
      <c r="N91" s="200"/>
      <c r="O91" s="46"/>
      <c r="P91" s="46"/>
      <c r="Q91" s="46"/>
      <c r="R91" s="46"/>
      <c r="S91" s="33"/>
      <c r="T91" s="34"/>
      <c r="U91" s="214"/>
      <c r="V91" s="34"/>
    </row>
    <row r="92" spans="1:22" x14ac:dyDescent="0.35">
      <c r="A92" s="46"/>
      <c r="B92" s="211"/>
      <c r="C92" s="211"/>
      <c r="D92" s="33"/>
      <c r="E92" s="33"/>
      <c r="F92" s="33"/>
      <c r="G92" s="33"/>
      <c r="H92" s="33"/>
      <c r="I92" s="212"/>
      <c r="J92" s="212"/>
      <c r="K92" s="46"/>
      <c r="L92" s="46"/>
      <c r="M92" s="213"/>
      <c r="N92" s="200"/>
      <c r="O92" s="46"/>
      <c r="P92" s="46"/>
      <c r="Q92" s="46"/>
      <c r="R92" s="46"/>
      <c r="S92" s="33"/>
      <c r="T92" s="34"/>
      <c r="U92" s="214"/>
      <c r="V92" s="34"/>
    </row>
    <row r="93" spans="1:22" x14ac:dyDescent="0.35">
      <c r="A93" s="46"/>
      <c r="B93" s="211"/>
      <c r="C93" s="211"/>
      <c r="D93" s="33"/>
      <c r="E93" s="33"/>
      <c r="F93" s="33"/>
      <c r="G93" s="33"/>
      <c r="H93" s="33"/>
      <c r="I93" s="212"/>
      <c r="J93" s="212"/>
      <c r="K93" s="46"/>
      <c r="L93" s="46"/>
      <c r="M93" s="213"/>
      <c r="N93" s="200"/>
      <c r="O93" s="46"/>
      <c r="P93" s="46"/>
      <c r="Q93" s="46"/>
      <c r="R93" s="46"/>
      <c r="S93" s="33"/>
      <c r="T93" s="34"/>
      <c r="U93" s="214"/>
      <c r="V93" s="34"/>
    </row>
    <row r="94" spans="1:22" x14ac:dyDescent="0.35">
      <c r="A94" s="46"/>
      <c r="B94" s="211"/>
      <c r="C94" s="211"/>
      <c r="D94" s="33"/>
      <c r="E94" s="33"/>
      <c r="F94" s="33"/>
      <c r="G94" s="33"/>
      <c r="H94" s="33"/>
      <c r="I94" s="212"/>
      <c r="J94" s="212"/>
      <c r="K94" s="46"/>
      <c r="L94" s="46"/>
      <c r="M94" s="213"/>
      <c r="N94" s="200"/>
      <c r="O94" s="46"/>
      <c r="P94" s="46"/>
      <c r="Q94" s="46"/>
      <c r="R94" s="46"/>
      <c r="S94" s="33"/>
      <c r="T94" s="34"/>
      <c r="U94" s="214"/>
      <c r="V94" s="34"/>
    </row>
    <row r="95" spans="1:22" x14ac:dyDescent="0.35">
      <c r="A95" s="46"/>
      <c r="B95" s="211"/>
      <c r="C95" s="211"/>
      <c r="D95" s="33"/>
      <c r="E95" s="33"/>
      <c r="F95" s="33"/>
      <c r="G95" s="33"/>
      <c r="H95" s="33"/>
      <c r="I95" s="212"/>
      <c r="J95" s="212"/>
      <c r="K95" s="46"/>
      <c r="L95" s="46"/>
      <c r="M95" s="213"/>
      <c r="N95" s="200"/>
      <c r="O95" s="46"/>
      <c r="P95" s="46"/>
      <c r="Q95" s="46"/>
      <c r="R95" s="46"/>
      <c r="S95" s="33"/>
      <c r="T95" s="34"/>
      <c r="U95" s="214"/>
      <c r="V95" s="34"/>
    </row>
    <row r="96" spans="1:22" x14ac:dyDescent="0.35">
      <c r="A96" s="46"/>
      <c r="B96" s="211"/>
      <c r="C96" s="211"/>
      <c r="D96" s="33"/>
      <c r="E96" s="33"/>
      <c r="F96" s="33"/>
      <c r="G96" s="33"/>
      <c r="H96" s="33"/>
      <c r="I96" s="212"/>
      <c r="J96" s="212"/>
      <c r="K96" s="46"/>
      <c r="L96" s="46"/>
      <c r="M96" s="213"/>
      <c r="N96" s="200"/>
      <c r="O96" s="46"/>
      <c r="P96" s="46"/>
      <c r="Q96" s="46"/>
      <c r="R96" s="46"/>
      <c r="S96" s="33"/>
      <c r="T96" s="34"/>
      <c r="U96" s="214"/>
      <c r="V96" s="34"/>
    </row>
    <row r="97" spans="1:22" x14ac:dyDescent="0.35">
      <c r="A97" s="46"/>
      <c r="B97" s="211"/>
      <c r="C97" s="211"/>
      <c r="D97" s="33"/>
      <c r="E97" s="33"/>
      <c r="F97" s="33"/>
      <c r="G97" s="33"/>
      <c r="H97" s="33"/>
      <c r="I97" s="212"/>
      <c r="J97" s="212"/>
      <c r="K97" s="46"/>
      <c r="L97" s="46"/>
      <c r="M97" s="213"/>
      <c r="N97" s="200"/>
      <c r="O97" s="46"/>
      <c r="P97" s="46"/>
      <c r="Q97" s="46"/>
      <c r="R97" s="46"/>
      <c r="S97" s="33"/>
      <c r="T97" s="34"/>
      <c r="U97" s="214"/>
      <c r="V97" s="34"/>
    </row>
    <row r="98" spans="1:22" x14ac:dyDescent="0.35">
      <c r="A98" s="46"/>
      <c r="B98" s="211"/>
      <c r="C98" s="211"/>
      <c r="D98" s="33"/>
      <c r="E98" s="33"/>
      <c r="F98" s="33"/>
      <c r="G98" s="33"/>
      <c r="H98" s="33"/>
      <c r="I98" s="212"/>
      <c r="J98" s="212"/>
      <c r="K98" s="46"/>
      <c r="L98" s="46"/>
      <c r="M98" s="213"/>
      <c r="N98" s="200"/>
      <c r="O98" s="46"/>
      <c r="P98" s="46"/>
      <c r="Q98" s="46"/>
      <c r="R98" s="46"/>
      <c r="S98" s="33"/>
      <c r="T98" s="34"/>
      <c r="U98" s="214"/>
      <c r="V98" s="34"/>
    </row>
    <row r="99" spans="1:22" x14ac:dyDescent="0.35">
      <c r="A99" s="46"/>
      <c r="B99" s="211"/>
      <c r="C99" s="211"/>
      <c r="D99" s="33"/>
      <c r="E99" s="33"/>
      <c r="F99" s="33"/>
      <c r="G99" s="33"/>
      <c r="H99" s="33"/>
      <c r="I99" s="212"/>
      <c r="J99" s="212"/>
      <c r="K99" s="46"/>
      <c r="L99" s="46"/>
      <c r="M99" s="213"/>
      <c r="N99" s="200"/>
      <c r="O99" s="46"/>
      <c r="P99" s="46"/>
      <c r="Q99" s="46"/>
      <c r="R99" s="46"/>
      <c r="S99" s="33"/>
      <c r="T99" s="34"/>
      <c r="U99" s="214"/>
      <c r="V99" s="34"/>
    </row>
    <row r="100" spans="1:22" x14ac:dyDescent="0.35">
      <c r="A100" s="46"/>
      <c r="B100" s="211"/>
      <c r="C100" s="211"/>
      <c r="D100" s="33"/>
      <c r="E100" s="33"/>
      <c r="F100" s="33"/>
      <c r="G100" s="33"/>
      <c r="H100" s="33"/>
      <c r="I100" s="212"/>
      <c r="J100" s="212"/>
      <c r="K100" s="46"/>
      <c r="L100" s="46"/>
      <c r="M100" s="213"/>
      <c r="N100" s="200"/>
      <c r="O100" s="46"/>
      <c r="P100" s="46"/>
      <c r="Q100" s="46"/>
      <c r="R100" s="46"/>
      <c r="S100" s="33"/>
      <c r="T100" s="34"/>
      <c r="U100" s="214"/>
      <c r="V100" s="34"/>
    </row>
    <row r="101" spans="1:22" x14ac:dyDescent="0.35">
      <c r="A101" s="46"/>
      <c r="B101" s="211"/>
      <c r="C101" s="211"/>
      <c r="D101" s="33"/>
      <c r="E101" s="33"/>
      <c r="F101" s="33"/>
      <c r="G101" s="33"/>
      <c r="H101" s="33"/>
      <c r="I101" s="212"/>
      <c r="J101" s="212"/>
      <c r="K101" s="46"/>
      <c r="L101" s="46"/>
      <c r="M101" s="213"/>
      <c r="N101" s="200"/>
      <c r="O101" s="46"/>
      <c r="P101" s="46"/>
      <c r="Q101" s="46"/>
      <c r="R101" s="46"/>
      <c r="S101" s="33"/>
      <c r="T101" s="34"/>
      <c r="U101" s="214"/>
      <c r="V101" s="34"/>
    </row>
    <row r="102" spans="1:22" x14ac:dyDescent="0.35">
      <c r="A102" s="46"/>
      <c r="B102" s="211"/>
      <c r="C102" s="211"/>
      <c r="D102" s="33"/>
      <c r="E102" s="33"/>
      <c r="F102" s="33"/>
      <c r="G102" s="33"/>
      <c r="H102" s="33"/>
      <c r="I102" s="212"/>
      <c r="J102" s="212"/>
      <c r="K102" s="46"/>
      <c r="L102" s="46"/>
      <c r="M102" s="213"/>
      <c r="N102" s="200"/>
      <c r="O102" s="46"/>
      <c r="P102" s="46"/>
      <c r="Q102" s="46"/>
      <c r="R102" s="46"/>
      <c r="S102" s="33"/>
      <c r="T102" s="34"/>
      <c r="U102" s="214"/>
      <c r="V102" s="34"/>
    </row>
    <row r="103" spans="1:22" x14ac:dyDescent="0.35">
      <c r="A103" s="46"/>
      <c r="B103" s="211"/>
      <c r="C103" s="211"/>
      <c r="D103" s="33"/>
      <c r="E103" s="33"/>
      <c r="F103" s="33"/>
      <c r="G103" s="33"/>
      <c r="H103" s="33"/>
      <c r="I103" s="212"/>
      <c r="J103" s="212"/>
      <c r="K103" s="46"/>
      <c r="L103" s="46"/>
      <c r="M103" s="213"/>
      <c r="N103" s="200"/>
      <c r="O103" s="46"/>
      <c r="P103" s="46"/>
      <c r="Q103" s="46"/>
      <c r="R103" s="46"/>
      <c r="S103" s="33"/>
      <c r="T103" s="34"/>
      <c r="U103" s="214"/>
      <c r="V103" s="34"/>
    </row>
    <row r="104" spans="1:22" x14ac:dyDescent="0.35">
      <c r="A104" s="46"/>
      <c r="B104" s="211"/>
      <c r="C104" s="211"/>
      <c r="D104" s="33"/>
      <c r="E104" s="33"/>
      <c r="F104" s="33"/>
      <c r="G104" s="33"/>
      <c r="H104" s="33"/>
      <c r="I104" s="212"/>
      <c r="J104" s="212"/>
      <c r="K104" s="46"/>
      <c r="L104" s="46"/>
      <c r="M104" s="213"/>
      <c r="N104" s="200"/>
      <c r="O104" s="46"/>
      <c r="P104" s="46"/>
      <c r="Q104" s="46"/>
      <c r="R104" s="46"/>
      <c r="S104" s="33"/>
      <c r="T104" s="34"/>
      <c r="U104" s="214"/>
      <c r="V104" s="34"/>
    </row>
    <row r="105" spans="1:22" x14ac:dyDescent="0.35">
      <c r="A105" s="46"/>
      <c r="B105" s="211"/>
      <c r="C105" s="211"/>
      <c r="D105" s="33"/>
      <c r="E105" s="33"/>
      <c r="F105" s="33"/>
      <c r="G105" s="33"/>
      <c r="H105" s="33"/>
      <c r="I105" s="212"/>
      <c r="J105" s="212"/>
      <c r="K105" s="46"/>
      <c r="L105" s="46"/>
      <c r="M105" s="213"/>
      <c r="N105" s="200"/>
      <c r="O105" s="46"/>
      <c r="P105" s="46"/>
      <c r="Q105" s="46"/>
      <c r="R105" s="46"/>
      <c r="S105" s="33"/>
      <c r="T105" s="34"/>
      <c r="U105" s="214"/>
      <c r="V105" s="34"/>
    </row>
    <row r="106" spans="1:22" x14ac:dyDescent="0.35">
      <c r="A106" s="46"/>
      <c r="B106" s="211"/>
      <c r="C106" s="211"/>
      <c r="D106" s="33"/>
      <c r="E106" s="33"/>
      <c r="F106" s="33"/>
      <c r="G106" s="33"/>
      <c r="H106" s="33"/>
      <c r="I106" s="212"/>
      <c r="J106" s="212"/>
      <c r="K106" s="46"/>
      <c r="L106" s="46"/>
      <c r="M106" s="213"/>
      <c r="N106" s="200"/>
      <c r="O106" s="46"/>
      <c r="P106" s="46"/>
      <c r="Q106" s="46"/>
      <c r="R106" s="46"/>
      <c r="S106" s="33"/>
      <c r="T106" s="34"/>
      <c r="U106" s="214"/>
      <c r="V106" s="34"/>
    </row>
    <row r="107" spans="1:22" x14ac:dyDescent="0.35">
      <c r="A107" s="46"/>
      <c r="B107" s="211"/>
      <c r="C107" s="211"/>
      <c r="D107" s="33"/>
      <c r="E107" s="33"/>
      <c r="F107" s="33"/>
      <c r="G107" s="33"/>
      <c r="H107" s="33"/>
      <c r="I107" s="212"/>
      <c r="J107" s="212"/>
      <c r="K107" s="46"/>
      <c r="L107" s="46"/>
      <c r="M107" s="213"/>
      <c r="N107" s="200"/>
      <c r="O107" s="46"/>
      <c r="P107" s="46"/>
      <c r="Q107" s="46"/>
      <c r="R107" s="46"/>
      <c r="S107" s="33"/>
      <c r="T107" s="34"/>
      <c r="U107" s="214"/>
      <c r="V107" s="34"/>
    </row>
    <row r="108" spans="1:22" x14ac:dyDescent="0.35">
      <c r="A108" s="46"/>
      <c r="B108" s="211"/>
      <c r="C108" s="211"/>
      <c r="D108" s="33"/>
      <c r="E108" s="33"/>
      <c r="F108" s="33"/>
      <c r="G108" s="33"/>
      <c r="H108" s="33"/>
      <c r="I108" s="212"/>
      <c r="J108" s="212"/>
      <c r="K108" s="46"/>
      <c r="L108" s="46"/>
      <c r="M108" s="213"/>
      <c r="N108" s="200"/>
      <c r="O108" s="46"/>
      <c r="P108" s="46"/>
      <c r="Q108" s="46"/>
      <c r="R108" s="46"/>
      <c r="S108" s="33"/>
      <c r="T108" s="34"/>
      <c r="U108" s="214"/>
      <c r="V108" s="34"/>
    </row>
    <row r="109" spans="1:22" x14ac:dyDescent="0.35">
      <c r="A109" s="46"/>
      <c r="B109" s="211"/>
      <c r="C109" s="211"/>
      <c r="D109" s="33"/>
      <c r="E109" s="33"/>
      <c r="F109" s="33"/>
      <c r="G109" s="33"/>
      <c r="H109" s="33"/>
      <c r="I109" s="212"/>
      <c r="J109" s="212"/>
      <c r="K109" s="46"/>
      <c r="L109" s="46"/>
      <c r="M109" s="213"/>
      <c r="N109" s="200"/>
      <c r="O109" s="46"/>
      <c r="P109" s="46"/>
      <c r="Q109" s="46"/>
      <c r="R109" s="46"/>
      <c r="S109" s="33"/>
      <c r="T109" s="34"/>
      <c r="U109" s="214"/>
      <c r="V109" s="34"/>
    </row>
    <row r="110" spans="1:22" x14ac:dyDescent="0.35">
      <c r="A110" s="46"/>
      <c r="B110" s="211"/>
      <c r="C110" s="211"/>
      <c r="D110" s="33"/>
      <c r="E110" s="33"/>
      <c r="F110" s="33"/>
      <c r="G110" s="33"/>
      <c r="H110" s="33"/>
      <c r="I110" s="212"/>
      <c r="J110" s="212"/>
      <c r="K110" s="46"/>
      <c r="L110" s="46"/>
      <c r="M110" s="213"/>
      <c r="N110" s="200"/>
      <c r="O110" s="46"/>
      <c r="P110" s="46"/>
      <c r="Q110" s="46"/>
      <c r="R110" s="46"/>
      <c r="S110" s="33"/>
      <c r="T110" s="34"/>
      <c r="U110" s="214"/>
      <c r="V110" s="34"/>
    </row>
    <row r="111" spans="1:22" x14ac:dyDescent="0.35">
      <c r="A111" s="46"/>
      <c r="B111" s="211"/>
      <c r="C111" s="211"/>
      <c r="D111" s="33"/>
      <c r="E111" s="33"/>
      <c r="F111" s="33"/>
      <c r="G111" s="33"/>
      <c r="H111" s="33"/>
      <c r="I111" s="212"/>
      <c r="J111" s="212"/>
      <c r="K111" s="46"/>
      <c r="L111" s="46"/>
      <c r="M111" s="213"/>
      <c r="N111" s="200"/>
      <c r="O111" s="46"/>
      <c r="P111" s="46"/>
      <c r="Q111" s="46"/>
      <c r="R111" s="46"/>
      <c r="S111" s="33"/>
      <c r="T111" s="34"/>
      <c r="U111" s="214"/>
      <c r="V111" s="34"/>
    </row>
    <row r="112" spans="1:22" x14ac:dyDescent="0.35">
      <c r="A112" s="46"/>
      <c r="B112" s="211"/>
      <c r="C112" s="211"/>
      <c r="D112" s="33"/>
      <c r="E112" s="33"/>
      <c r="F112" s="33"/>
      <c r="G112" s="33"/>
      <c r="H112" s="33"/>
      <c r="I112" s="212"/>
      <c r="J112" s="212"/>
      <c r="K112" s="46"/>
      <c r="L112" s="46"/>
      <c r="M112" s="213"/>
      <c r="N112" s="200"/>
      <c r="O112" s="46"/>
      <c r="P112" s="46"/>
      <c r="Q112" s="46"/>
      <c r="R112" s="46"/>
      <c r="S112" s="33"/>
      <c r="T112" s="34"/>
      <c r="U112" s="214"/>
      <c r="V112" s="34"/>
    </row>
    <row r="113" spans="1:22" x14ac:dyDescent="0.35">
      <c r="A113" s="46"/>
      <c r="B113" s="211"/>
      <c r="C113" s="211"/>
      <c r="D113" s="33"/>
      <c r="E113" s="33"/>
      <c r="F113" s="33"/>
      <c r="G113" s="33"/>
      <c r="H113" s="33"/>
      <c r="I113" s="212"/>
      <c r="J113" s="212"/>
      <c r="K113" s="46"/>
      <c r="L113" s="46"/>
      <c r="M113" s="213"/>
      <c r="N113" s="200"/>
      <c r="O113" s="46"/>
      <c r="P113" s="46"/>
      <c r="Q113" s="46"/>
      <c r="R113" s="46"/>
      <c r="S113" s="33"/>
      <c r="T113" s="34"/>
      <c r="U113" s="214"/>
      <c r="V113" s="34"/>
    </row>
    <row r="114" spans="1:22" x14ac:dyDescent="0.35">
      <c r="A114" s="46"/>
      <c r="B114" s="211"/>
      <c r="C114" s="211"/>
      <c r="D114" s="33"/>
      <c r="E114" s="33"/>
      <c r="F114" s="33"/>
      <c r="G114" s="33"/>
      <c r="H114" s="33"/>
      <c r="I114" s="212"/>
      <c r="J114" s="212"/>
      <c r="K114" s="46"/>
      <c r="L114" s="46"/>
      <c r="M114" s="213"/>
      <c r="N114" s="200"/>
      <c r="O114" s="46"/>
      <c r="P114" s="46"/>
      <c r="Q114" s="46"/>
      <c r="R114" s="46"/>
      <c r="S114" s="33"/>
      <c r="T114" s="34"/>
      <c r="U114" s="214"/>
      <c r="V114" s="34"/>
    </row>
    <row r="115" spans="1:22" x14ac:dyDescent="0.35">
      <c r="A115" s="46"/>
      <c r="B115" s="211"/>
      <c r="C115" s="211"/>
      <c r="D115" s="33"/>
      <c r="E115" s="33"/>
      <c r="F115" s="33"/>
      <c r="G115" s="33"/>
      <c r="H115" s="33"/>
      <c r="I115" s="212"/>
      <c r="J115" s="212"/>
      <c r="K115" s="46"/>
      <c r="L115" s="46"/>
      <c r="M115" s="213"/>
      <c r="N115" s="200"/>
      <c r="O115" s="46"/>
      <c r="P115" s="46"/>
      <c r="Q115" s="46"/>
      <c r="R115" s="46"/>
      <c r="S115" s="33"/>
      <c r="T115" s="34"/>
      <c r="U115" s="214"/>
      <c r="V115" s="34"/>
    </row>
    <row r="116" spans="1:22" x14ac:dyDescent="0.35">
      <c r="A116" s="46"/>
      <c r="B116" s="211"/>
      <c r="C116" s="211"/>
      <c r="D116" s="33"/>
      <c r="E116" s="33"/>
      <c r="F116" s="33"/>
      <c r="G116" s="33"/>
      <c r="H116" s="33"/>
      <c r="I116" s="212"/>
      <c r="J116" s="212"/>
      <c r="K116" s="46"/>
      <c r="L116" s="46"/>
      <c r="M116" s="213"/>
      <c r="N116" s="200"/>
      <c r="O116" s="46"/>
      <c r="P116" s="46"/>
      <c r="Q116" s="46"/>
      <c r="R116" s="46"/>
      <c r="S116" s="33"/>
      <c r="T116" s="34"/>
      <c r="U116" s="214"/>
      <c r="V116" s="34"/>
    </row>
    <row r="117" spans="1:22" x14ac:dyDescent="0.35">
      <c r="A117" s="46"/>
      <c r="B117" s="211"/>
      <c r="C117" s="211"/>
      <c r="D117" s="33"/>
      <c r="E117" s="33"/>
      <c r="F117" s="33"/>
      <c r="G117" s="33"/>
      <c r="H117" s="33"/>
      <c r="I117" s="212"/>
      <c r="J117" s="212"/>
      <c r="K117" s="46"/>
      <c r="L117" s="46"/>
      <c r="M117" s="213"/>
      <c r="N117" s="200"/>
      <c r="O117" s="46"/>
      <c r="P117" s="46"/>
      <c r="Q117" s="46"/>
      <c r="R117" s="46"/>
      <c r="S117" s="33"/>
      <c r="T117" s="34"/>
      <c r="U117" s="214"/>
      <c r="V117" s="34"/>
    </row>
    <row r="118" spans="1:22" x14ac:dyDescent="0.35">
      <c r="A118" s="46"/>
      <c r="B118" s="211"/>
      <c r="C118" s="211"/>
      <c r="D118" s="33"/>
      <c r="E118" s="33"/>
      <c r="F118" s="33"/>
      <c r="G118" s="33"/>
      <c r="H118" s="33"/>
      <c r="I118" s="212"/>
      <c r="J118" s="212"/>
      <c r="K118" s="46"/>
      <c r="L118" s="46"/>
      <c r="M118" s="213"/>
      <c r="N118" s="200"/>
      <c r="O118" s="46"/>
      <c r="P118" s="46"/>
      <c r="Q118" s="46"/>
      <c r="R118" s="46"/>
      <c r="S118" s="33"/>
      <c r="T118" s="34"/>
      <c r="U118" s="214"/>
      <c r="V118" s="34"/>
    </row>
    <row r="119" spans="1:22" x14ac:dyDescent="0.35">
      <c r="A119" s="46"/>
      <c r="B119" s="211"/>
      <c r="C119" s="211"/>
      <c r="D119" s="33"/>
      <c r="E119" s="33"/>
      <c r="F119" s="33"/>
      <c r="G119" s="33"/>
      <c r="H119" s="33"/>
      <c r="I119" s="212"/>
      <c r="J119" s="212"/>
      <c r="K119" s="46"/>
      <c r="L119" s="46"/>
      <c r="M119" s="213"/>
      <c r="N119" s="200"/>
      <c r="O119" s="46"/>
      <c r="P119" s="46"/>
      <c r="Q119" s="46"/>
      <c r="R119" s="46"/>
      <c r="S119" s="33"/>
      <c r="T119" s="34"/>
      <c r="U119" s="214"/>
      <c r="V119" s="34"/>
    </row>
    <row r="120" spans="1:22" x14ac:dyDescent="0.35">
      <c r="A120" s="46"/>
      <c r="B120" s="211"/>
      <c r="C120" s="211"/>
      <c r="D120" s="33"/>
      <c r="E120" s="33"/>
      <c r="F120" s="33"/>
      <c r="G120" s="33"/>
      <c r="H120" s="33"/>
      <c r="I120" s="212"/>
      <c r="J120" s="212"/>
      <c r="K120" s="46"/>
      <c r="L120" s="46"/>
      <c r="M120" s="213"/>
      <c r="N120" s="200"/>
      <c r="O120" s="46"/>
      <c r="P120" s="46"/>
      <c r="Q120" s="46"/>
      <c r="R120" s="46"/>
      <c r="S120" s="33"/>
      <c r="T120" s="34"/>
      <c r="U120" s="214"/>
      <c r="V120" s="34"/>
    </row>
    <row r="121" spans="1:22" x14ac:dyDescent="0.35">
      <c r="A121" s="46"/>
      <c r="B121" s="211"/>
      <c r="C121" s="211"/>
      <c r="D121" s="33"/>
      <c r="E121" s="33"/>
      <c r="F121" s="33"/>
      <c r="G121" s="33"/>
      <c r="H121" s="33"/>
      <c r="I121" s="212"/>
      <c r="J121" s="212"/>
      <c r="K121" s="46"/>
      <c r="L121" s="46"/>
      <c r="M121" s="213"/>
      <c r="N121" s="200"/>
      <c r="O121" s="46"/>
      <c r="P121" s="46"/>
      <c r="Q121" s="46"/>
      <c r="R121" s="46"/>
      <c r="S121" s="33"/>
      <c r="T121" s="34"/>
      <c r="U121" s="214"/>
      <c r="V121" s="34"/>
    </row>
    <row r="122" spans="1:22" x14ac:dyDescent="0.35">
      <c r="A122" s="46"/>
      <c r="B122" s="211"/>
      <c r="C122" s="211"/>
      <c r="D122" s="33"/>
      <c r="E122" s="33"/>
      <c r="F122" s="33"/>
      <c r="G122" s="33"/>
      <c r="H122" s="33"/>
      <c r="I122" s="212"/>
      <c r="J122" s="212"/>
      <c r="K122" s="46"/>
      <c r="L122" s="46"/>
      <c r="M122" s="213"/>
      <c r="N122" s="200"/>
      <c r="O122" s="46"/>
      <c r="P122" s="46"/>
      <c r="Q122" s="46"/>
      <c r="R122" s="46"/>
      <c r="S122" s="33"/>
      <c r="T122" s="34"/>
      <c r="U122" s="214"/>
      <c r="V122" s="34"/>
    </row>
    <row r="123" spans="1:22" x14ac:dyDescent="0.35">
      <c r="A123" s="46"/>
      <c r="B123" s="211"/>
      <c r="C123" s="211"/>
      <c r="D123" s="33"/>
      <c r="E123" s="33"/>
      <c r="F123" s="33"/>
      <c r="G123" s="33"/>
      <c r="H123" s="33"/>
      <c r="I123" s="212"/>
      <c r="J123" s="212"/>
      <c r="K123" s="46"/>
      <c r="L123" s="46"/>
      <c r="M123" s="213"/>
      <c r="N123" s="200"/>
      <c r="O123" s="46"/>
      <c r="P123" s="46"/>
      <c r="Q123" s="46"/>
      <c r="R123" s="46"/>
      <c r="S123" s="33"/>
      <c r="T123" s="34"/>
      <c r="U123" s="214"/>
      <c r="V123" s="34"/>
    </row>
    <row r="124" spans="1:22" x14ac:dyDescent="0.35">
      <c r="A124" s="46"/>
      <c r="B124" s="211"/>
      <c r="C124" s="211"/>
      <c r="D124" s="33"/>
      <c r="E124" s="33"/>
      <c r="F124" s="33"/>
      <c r="G124" s="33"/>
      <c r="H124" s="33"/>
      <c r="I124" s="212"/>
      <c r="J124" s="212"/>
      <c r="K124" s="46"/>
      <c r="L124" s="46"/>
      <c r="M124" s="213"/>
      <c r="N124" s="200"/>
      <c r="O124" s="46"/>
      <c r="P124" s="46"/>
      <c r="Q124" s="46"/>
      <c r="R124" s="46"/>
      <c r="S124" s="33"/>
      <c r="T124" s="34"/>
      <c r="U124" s="214"/>
      <c r="V124" s="34"/>
    </row>
    <row r="125" spans="1:22" x14ac:dyDescent="0.35">
      <c r="A125" s="46"/>
      <c r="B125" s="211"/>
      <c r="C125" s="211"/>
      <c r="D125" s="33"/>
      <c r="E125" s="33"/>
      <c r="F125" s="33"/>
      <c r="G125" s="33"/>
      <c r="H125" s="33"/>
      <c r="I125" s="212"/>
      <c r="J125" s="212"/>
      <c r="K125" s="46"/>
      <c r="L125" s="46"/>
      <c r="M125" s="213"/>
      <c r="N125" s="200"/>
      <c r="O125" s="46"/>
      <c r="P125" s="46"/>
      <c r="Q125" s="46"/>
      <c r="R125" s="46"/>
      <c r="S125" s="33"/>
      <c r="T125" s="34"/>
      <c r="U125" s="214"/>
      <c r="V125" s="34"/>
    </row>
    <row r="126" spans="1:22" x14ac:dyDescent="0.35">
      <c r="A126" s="46"/>
      <c r="B126" s="211"/>
      <c r="C126" s="211"/>
      <c r="D126" s="33"/>
      <c r="E126" s="33"/>
      <c r="F126" s="33"/>
      <c r="G126" s="33"/>
      <c r="H126" s="33"/>
      <c r="I126" s="212"/>
      <c r="J126" s="212"/>
      <c r="K126" s="46"/>
      <c r="L126" s="46"/>
      <c r="M126" s="213"/>
      <c r="N126" s="200"/>
      <c r="O126" s="46"/>
      <c r="P126" s="46"/>
      <c r="Q126" s="46"/>
      <c r="R126" s="46"/>
      <c r="S126" s="33"/>
      <c r="T126" s="34"/>
      <c r="U126" s="214"/>
      <c r="V126" s="34"/>
    </row>
    <row r="127" spans="1:22" x14ac:dyDescent="0.35">
      <c r="A127" s="46"/>
      <c r="B127" s="211"/>
      <c r="C127" s="211"/>
      <c r="D127" s="33"/>
      <c r="E127" s="33"/>
      <c r="F127" s="33"/>
      <c r="G127" s="33"/>
      <c r="H127" s="33"/>
      <c r="I127" s="212"/>
      <c r="J127" s="212"/>
      <c r="K127" s="46"/>
      <c r="L127" s="46"/>
      <c r="M127" s="213"/>
      <c r="N127" s="200"/>
      <c r="O127" s="46"/>
      <c r="P127" s="46"/>
      <c r="Q127" s="46"/>
      <c r="R127" s="46"/>
      <c r="S127" s="33"/>
      <c r="T127" s="34"/>
      <c r="U127" s="214"/>
      <c r="V127" s="34"/>
    </row>
    <row r="128" spans="1:22" x14ac:dyDescent="0.35">
      <c r="A128" s="46"/>
      <c r="B128" s="211"/>
      <c r="C128" s="211"/>
      <c r="D128" s="33"/>
      <c r="E128" s="33"/>
      <c r="F128" s="33"/>
      <c r="G128" s="33"/>
      <c r="H128" s="33"/>
      <c r="I128" s="212"/>
      <c r="J128" s="212"/>
      <c r="K128" s="46"/>
      <c r="L128" s="46"/>
      <c r="M128" s="213"/>
      <c r="N128" s="200"/>
      <c r="O128" s="46"/>
      <c r="P128" s="46"/>
      <c r="Q128" s="46"/>
      <c r="R128" s="46"/>
      <c r="S128" s="33"/>
      <c r="T128" s="34"/>
      <c r="U128" s="214"/>
      <c r="V128" s="34"/>
    </row>
    <row r="129" spans="1:22" x14ac:dyDescent="0.35">
      <c r="A129" s="46"/>
      <c r="B129" s="211"/>
      <c r="C129" s="211"/>
      <c r="D129" s="33"/>
      <c r="E129" s="33"/>
      <c r="F129" s="33"/>
      <c r="G129" s="33"/>
      <c r="H129" s="33"/>
      <c r="I129" s="212"/>
      <c r="J129" s="212"/>
      <c r="K129" s="46"/>
      <c r="L129" s="46"/>
      <c r="M129" s="213"/>
      <c r="N129" s="200"/>
      <c r="O129" s="46"/>
      <c r="P129" s="46"/>
      <c r="Q129" s="46"/>
      <c r="R129" s="46"/>
      <c r="S129" s="33"/>
      <c r="T129" s="34"/>
      <c r="U129" s="214"/>
      <c r="V129" s="34"/>
    </row>
    <row r="130" spans="1:22" x14ac:dyDescent="0.35">
      <c r="A130" s="46"/>
      <c r="B130" s="211"/>
      <c r="C130" s="211"/>
      <c r="D130" s="33"/>
      <c r="E130" s="33"/>
      <c r="F130" s="33"/>
      <c r="G130" s="33"/>
      <c r="H130" s="33"/>
      <c r="I130" s="212"/>
      <c r="J130" s="212"/>
      <c r="K130" s="46"/>
      <c r="L130" s="46"/>
      <c r="M130" s="213"/>
      <c r="N130" s="200"/>
      <c r="O130" s="46"/>
      <c r="P130" s="46"/>
      <c r="Q130" s="46"/>
      <c r="R130" s="46"/>
      <c r="S130" s="33"/>
      <c r="T130" s="34"/>
      <c r="U130" s="214"/>
      <c r="V130" s="34"/>
    </row>
    <row r="131" spans="1:22" x14ac:dyDescent="0.35">
      <c r="A131" s="46"/>
      <c r="B131" s="211"/>
      <c r="C131" s="211"/>
      <c r="D131" s="33"/>
      <c r="E131" s="33"/>
      <c r="F131" s="33"/>
      <c r="G131" s="33"/>
      <c r="H131" s="33"/>
      <c r="I131" s="212"/>
      <c r="J131" s="212"/>
      <c r="K131" s="46"/>
      <c r="L131" s="46"/>
      <c r="M131" s="213"/>
      <c r="N131" s="200"/>
      <c r="O131" s="46"/>
      <c r="P131" s="46"/>
      <c r="Q131" s="46"/>
      <c r="R131" s="46"/>
      <c r="S131" s="33"/>
      <c r="T131" s="34"/>
      <c r="U131" s="214"/>
      <c r="V131" s="34"/>
    </row>
    <row r="132" spans="1:22" x14ac:dyDescent="0.35">
      <c r="A132" s="46"/>
      <c r="B132" s="211"/>
      <c r="C132" s="211"/>
      <c r="D132" s="33"/>
      <c r="E132" s="33"/>
      <c r="F132" s="33"/>
      <c r="G132" s="33"/>
      <c r="H132" s="33"/>
      <c r="I132" s="212"/>
      <c r="J132" s="212"/>
      <c r="K132" s="46"/>
      <c r="L132" s="46"/>
      <c r="M132" s="213"/>
      <c r="N132" s="200"/>
      <c r="O132" s="46"/>
      <c r="P132" s="46"/>
      <c r="Q132" s="46"/>
      <c r="R132" s="46"/>
      <c r="S132" s="33"/>
      <c r="T132" s="34"/>
      <c r="U132" s="214"/>
      <c r="V132" s="34"/>
    </row>
    <row r="133" spans="1:22" x14ac:dyDescent="0.35">
      <c r="A133" s="46"/>
      <c r="B133" s="211"/>
      <c r="C133" s="211"/>
      <c r="D133" s="33"/>
      <c r="E133" s="33"/>
      <c r="F133" s="33"/>
      <c r="G133" s="33"/>
      <c r="H133" s="33"/>
      <c r="I133" s="212"/>
      <c r="J133" s="212"/>
      <c r="K133" s="46"/>
      <c r="L133" s="46"/>
      <c r="M133" s="213"/>
      <c r="N133" s="200"/>
      <c r="O133" s="46"/>
      <c r="P133" s="46"/>
      <c r="Q133" s="46"/>
      <c r="R133" s="46"/>
      <c r="S133" s="33"/>
      <c r="T133" s="34"/>
      <c r="U133" s="214"/>
      <c r="V133" s="34"/>
    </row>
    <row r="134" spans="1:22" x14ac:dyDescent="0.35">
      <c r="A134" s="46"/>
      <c r="B134" s="211"/>
      <c r="C134" s="211"/>
      <c r="D134" s="33"/>
      <c r="E134" s="33"/>
      <c r="F134" s="33"/>
      <c r="G134" s="33"/>
      <c r="H134" s="33"/>
      <c r="I134" s="212"/>
      <c r="J134" s="212"/>
      <c r="K134" s="46"/>
      <c r="L134" s="46"/>
      <c r="M134" s="213"/>
      <c r="N134" s="200"/>
      <c r="O134" s="46"/>
      <c r="P134" s="46"/>
      <c r="Q134" s="46"/>
      <c r="R134" s="46"/>
      <c r="S134" s="33"/>
      <c r="T134" s="34"/>
      <c r="U134" s="214"/>
      <c r="V134" s="34"/>
    </row>
    <row r="135" spans="1:22" x14ac:dyDescent="0.35">
      <c r="A135" s="46"/>
      <c r="B135" s="211"/>
      <c r="C135" s="211"/>
      <c r="D135" s="33"/>
      <c r="E135" s="33"/>
      <c r="F135" s="33"/>
      <c r="G135" s="33"/>
      <c r="H135" s="33"/>
      <c r="I135" s="212"/>
      <c r="J135" s="212"/>
      <c r="K135" s="46"/>
      <c r="L135" s="46"/>
      <c r="M135" s="213"/>
      <c r="N135" s="200"/>
      <c r="O135" s="46"/>
      <c r="P135" s="46"/>
      <c r="Q135" s="46"/>
      <c r="R135" s="46"/>
      <c r="S135" s="33"/>
      <c r="T135" s="34"/>
      <c r="U135" s="214"/>
      <c r="V135" s="34"/>
    </row>
    <row r="136" spans="1:22" x14ac:dyDescent="0.35">
      <c r="A136" s="46"/>
      <c r="B136" s="211"/>
      <c r="C136" s="211"/>
      <c r="D136" s="33"/>
      <c r="E136" s="33"/>
      <c r="F136" s="33"/>
      <c r="G136" s="33"/>
      <c r="H136" s="33"/>
      <c r="I136" s="212"/>
      <c r="J136" s="212"/>
      <c r="K136" s="46"/>
      <c r="L136" s="46"/>
      <c r="M136" s="213"/>
      <c r="N136" s="200"/>
      <c r="O136" s="46"/>
      <c r="P136" s="46"/>
      <c r="Q136" s="46"/>
      <c r="R136" s="46"/>
      <c r="S136" s="33"/>
      <c r="T136" s="34"/>
      <c r="U136" s="214"/>
      <c r="V136" s="34"/>
    </row>
    <row r="137" spans="1:22" x14ac:dyDescent="0.35">
      <c r="A137" s="46"/>
      <c r="B137" s="211"/>
      <c r="C137" s="211"/>
      <c r="D137" s="33"/>
      <c r="E137" s="33"/>
      <c r="F137" s="33"/>
      <c r="G137" s="33"/>
      <c r="H137" s="33"/>
      <c r="I137" s="212"/>
      <c r="J137" s="212"/>
      <c r="K137" s="46"/>
      <c r="L137" s="46"/>
      <c r="M137" s="213"/>
      <c r="N137" s="200"/>
      <c r="O137" s="46"/>
      <c r="P137" s="46"/>
      <c r="Q137" s="46"/>
      <c r="R137" s="46"/>
      <c r="S137" s="33"/>
      <c r="T137" s="34"/>
      <c r="U137" s="214"/>
      <c r="V137" s="34"/>
    </row>
    <row r="138" spans="1:22" x14ac:dyDescent="0.35">
      <c r="A138" s="46"/>
      <c r="B138" s="211"/>
      <c r="C138" s="211"/>
      <c r="D138" s="33"/>
      <c r="E138" s="33"/>
      <c r="F138" s="33"/>
      <c r="G138" s="33"/>
      <c r="H138" s="33"/>
      <c r="I138" s="212"/>
      <c r="J138" s="212"/>
      <c r="K138" s="46"/>
      <c r="L138" s="46"/>
      <c r="M138" s="213"/>
      <c r="N138" s="200"/>
      <c r="O138" s="46"/>
      <c r="P138" s="46"/>
      <c r="Q138" s="46"/>
      <c r="R138" s="46"/>
      <c r="S138" s="33"/>
      <c r="T138" s="34"/>
      <c r="U138" s="214"/>
      <c r="V138" s="34"/>
    </row>
    <row r="139" spans="1:22" x14ac:dyDescent="0.35">
      <c r="A139" s="46"/>
      <c r="B139" s="211"/>
      <c r="C139" s="211"/>
      <c r="D139" s="33"/>
      <c r="E139" s="33"/>
      <c r="F139" s="33"/>
      <c r="G139" s="33"/>
      <c r="H139" s="33"/>
      <c r="I139" s="212"/>
      <c r="J139" s="212"/>
      <c r="K139" s="46"/>
      <c r="L139" s="46"/>
      <c r="M139" s="213"/>
      <c r="N139" s="200"/>
      <c r="O139" s="46"/>
      <c r="P139" s="46"/>
      <c r="Q139" s="46"/>
      <c r="R139" s="46"/>
      <c r="S139" s="33"/>
      <c r="T139" s="34"/>
      <c r="U139" s="214"/>
      <c r="V139" s="34"/>
    </row>
    <row r="140" spans="1:22" x14ac:dyDescent="0.35">
      <c r="A140" s="46"/>
      <c r="B140" s="211"/>
      <c r="C140" s="211"/>
      <c r="D140" s="33"/>
      <c r="E140" s="33"/>
      <c r="F140" s="33"/>
      <c r="G140" s="33"/>
      <c r="H140" s="33"/>
      <c r="I140" s="212"/>
      <c r="J140" s="212"/>
      <c r="K140" s="46"/>
      <c r="L140" s="46"/>
      <c r="M140" s="213"/>
      <c r="N140" s="200"/>
      <c r="O140" s="46"/>
      <c r="P140" s="46"/>
      <c r="Q140" s="46"/>
      <c r="R140" s="46"/>
      <c r="S140" s="33"/>
      <c r="T140" s="34"/>
      <c r="U140" s="214"/>
      <c r="V140" s="34"/>
    </row>
    <row r="141" spans="1:22" x14ac:dyDescent="0.35">
      <c r="A141" s="46"/>
      <c r="B141" s="211"/>
      <c r="C141" s="211"/>
      <c r="D141" s="33"/>
      <c r="E141" s="33"/>
      <c r="F141" s="33"/>
      <c r="G141" s="33"/>
      <c r="H141" s="33"/>
      <c r="I141" s="212"/>
      <c r="J141" s="212"/>
      <c r="K141" s="46"/>
      <c r="L141" s="46"/>
      <c r="M141" s="213"/>
      <c r="N141" s="200"/>
      <c r="O141" s="46"/>
      <c r="P141" s="46"/>
      <c r="Q141" s="46"/>
      <c r="R141" s="46"/>
      <c r="S141" s="33"/>
      <c r="T141" s="34"/>
      <c r="U141" s="214"/>
      <c r="V141" s="34"/>
    </row>
    <row r="142" spans="1:22" x14ac:dyDescent="0.35">
      <c r="A142" s="46"/>
      <c r="B142" s="211"/>
      <c r="C142" s="211"/>
      <c r="D142" s="33"/>
      <c r="E142" s="33"/>
      <c r="F142" s="33"/>
      <c r="G142" s="33"/>
      <c r="H142" s="33"/>
      <c r="I142" s="212"/>
      <c r="J142" s="212"/>
      <c r="K142" s="46"/>
      <c r="L142" s="46"/>
      <c r="M142" s="213"/>
      <c r="N142" s="200"/>
      <c r="O142" s="46"/>
      <c r="P142" s="46"/>
      <c r="Q142" s="46"/>
      <c r="R142" s="46"/>
      <c r="S142" s="33"/>
      <c r="T142" s="34"/>
      <c r="U142" s="214"/>
      <c r="V142" s="34"/>
    </row>
    <row r="143" spans="1:22" x14ac:dyDescent="0.35">
      <c r="A143" s="46"/>
      <c r="B143" s="211"/>
      <c r="C143" s="211"/>
      <c r="D143" s="33"/>
      <c r="E143" s="33"/>
      <c r="F143" s="33"/>
      <c r="G143" s="33"/>
      <c r="H143" s="33"/>
      <c r="I143" s="212"/>
      <c r="J143" s="212"/>
      <c r="K143" s="46"/>
      <c r="L143" s="46"/>
      <c r="M143" s="213"/>
      <c r="N143" s="200"/>
      <c r="O143" s="46"/>
      <c r="P143" s="46"/>
      <c r="Q143" s="46"/>
      <c r="R143" s="46"/>
      <c r="S143" s="33"/>
      <c r="T143" s="34"/>
      <c r="U143" s="214"/>
      <c r="V143" s="34"/>
    </row>
    <row r="144" spans="1:22" x14ac:dyDescent="0.35">
      <c r="A144" s="46"/>
      <c r="B144" s="211"/>
      <c r="C144" s="211"/>
      <c r="D144" s="33"/>
      <c r="E144" s="33"/>
      <c r="F144" s="33"/>
      <c r="G144" s="33"/>
      <c r="H144" s="33"/>
      <c r="I144" s="212"/>
      <c r="J144" s="212"/>
      <c r="K144" s="46"/>
      <c r="L144" s="46"/>
      <c r="M144" s="213"/>
      <c r="N144" s="200"/>
      <c r="O144" s="46"/>
      <c r="P144" s="46"/>
      <c r="Q144" s="46"/>
      <c r="R144" s="46"/>
      <c r="S144" s="33"/>
      <c r="T144" s="34"/>
      <c r="U144" s="214"/>
      <c r="V144" s="34"/>
    </row>
    <row r="145" spans="1:22" x14ac:dyDescent="0.35">
      <c r="A145" s="46"/>
      <c r="B145" s="211"/>
      <c r="C145" s="211"/>
      <c r="D145" s="33"/>
      <c r="E145" s="33"/>
      <c r="F145" s="33"/>
      <c r="G145" s="33"/>
      <c r="H145" s="33"/>
      <c r="I145" s="212"/>
      <c r="J145" s="212"/>
      <c r="K145" s="46"/>
      <c r="L145" s="46"/>
      <c r="M145" s="213"/>
      <c r="N145" s="200"/>
      <c r="O145" s="46"/>
      <c r="P145" s="46"/>
      <c r="Q145" s="46"/>
      <c r="R145" s="46"/>
      <c r="S145" s="33"/>
      <c r="T145" s="34"/>
      <c r="U145" s="214"/>
      <c r="V145" s="34"/>
    </row>
    <row r="146" spans="1:22" x14ac:dyDescent="0.35">
      <c r="A146" s="46"/>
      <c r="B146" s="211"/>
      <c r="C146" s="211"/>
      <c r="D146" s="33"/>
      <c r="E146" s="33"/>
      <c r="F146" s="33"/>
      <c r="G146" s="33"/>
      <c r="H146" s="33"/>
      <c r="I146" s="212"/>
      <c r="J146" s="212"/>
      <c r="K146" s="46"/>
      <c r="L146" s="46"/>
      <c r="M146" s="213"/>
      <c r="N146" s="200"/>
      <c r="O146" s="46"/>
      <c r="P146" s="46"/>
      <c r="Q146" s="46"/>
      <c r="R146" s="46"/>
      <c r="S146" s="33"/>
      <c r="T146" s="34"/>
      <c r="U146" s="214"/>
      <c r="V146" s="34"/>
    </row>
    <row r="147" spans="1:22" x14ac:dyDescent="0.35">
      <c r="A147" s="46"/>
      <c r="B147" s="211"/>
      <c r="C147" s="211"/>
      <c r="D147" s="33"/>
      <c r="E147" s="33"/>
      <c r="F147" s="33"/>
      <c r="G147" s="33"/>
      <c r="H147" s="33"/>
      <c r="I147" s="212"/>
      <c r="J147" s="212"/>
      <c r="K147" s="46"/>
      <c r="L147" s="46"/>
      <c r="M147" s="213"/>
      <c r="N147" s="200"/>
      <c r="O147" s="46"/>
      <c r="P147" s="46"/>
      <c r="Q147" s="46"/>
      <c r="R147" s="46"/>
      <c r="S147" s="33"/>
      <c r="T147" s="34"/>
      <c r="U147" s="214"/>
      <c r="V147" s="34"/>
    </row>
    <row r="148" spans="1:22" x14ac:dyDescent="0.35">
      <c r="A148" s="46"/>
      <c r="B148" s="211"/>
      <c r="C148" s="211"/>
      <c r="D148" s="33"/>
      <c r="E148" s="33"/>
      <c r="F148" s="33"/>
      <c r="G148" s="33"/>
      <c r="H148" s="33"/>
      <c r="I148" s="212"/>
      <c r="J148" s="212"/>
      <c r="K148" s="46"/>
      <c r="L148" s="46"/>
      <c r="M148" s="213"/>
      <c r="N148" s="200"/>
      <c r="O148" s="46"/>
      <c r="P148" s="46"/>
      <c r="Q148" s="46"/>
      <c r="R148" s="46"/>
      <c r="S148" s="33"/>
      <c r="T148" s="34"/>
      <c r="U148" s="214"/>
      <c r="V148" s="34"/>
    </row>
    <row r="149" spans="1:22" x14ac:dyDescent="0.35">
      <c r="A149" s="46"/>
      <c r="B149" s="211"/>
      <c r="C149" s="211"/>
      <c r="D149" s="33"/>
      <c r="E149" s="33"/>
      <c r="F149" s="33"/>
      <c r="G149" s="33"/>
      <c r="H149" s="33"/>
      <c r="I149" s="212"/>
      <c r="J149" s="212"/>
      <c r="K149" s="46"/>
      <c r="L149" s="46"/>
      <c r="M149" s="213"/>
      <c r="N149" s="200"/>
      <c r="O149" s="46"/>
      <c r="P149" s="46"/>
      <c r="Q149" s="46"/>
      <c r="R149" s="46"/>
      <c r="S149" s="33"/>
      <c r="T149" s="34"/>
      <c r="U149" s="214"/>
      <c r="V149" s="34"/>
    </row>
    <row r="150" spans="1:22" x14ac:dyDescent="0.35">
      <c r="A150" s="46"/>
      <c r="B150" s="211"/>
      <c r="C150" s="211"/>
      <c r="D150" s="33"/>
      <c r="E150" s="33"/>
      <c r="F150" s="33"/>
      <c r="G150" s="33"/>
      <c r="H150" s="33"/>
      <c r="I150" s="212"/>
      <c r="J150" s="212"/>
      <c r="K150" s="46"/>
      <c r="L150" s="46"/>
      <c r="M150" s="213"/>
      <c r="N150" s="200"/>
      <c r="O150" s="46"/>
      <c r="P150" s="46"/>
      <c r="Q150" s="46"/>
      <c r="R150" s="46"/>
      <c r="S150" s="33"/>
      <c r="T150" s="34"/>
      <c r="U150" s="214"/>
      <c r="V150" s="34"/>
    </row>
    <row r="151" spans="1:22" x14ac:dyDescent="0.35">
      <c r="A151" s="46"/>
      <c r="B151" s="211"/>
      <c r="C151" s="211"/>
      <c r="D151" s="33"/>
      <c r="E151" s="33"/>
      <c r="F151" s="33"/>
      <c r="G151" s="33"/>
      <c r="H151" s="33"/>
      <c r="I151" s="212"/>
      <c r="J151" s="212"/>
      <c r="K151" s="46"/>
      <c r="L151" s="46"/>
      <c r="M151" s="213"/>
      <c r="N151" s="200"/>
      <c r="O151" s="46"/>
      <c r="P151" s="46"/>
      <c r="Q151" s="46"/>
      <c r="R151" s="46"/>
      <c r="S151" s="33"/>
      <c r="T151" s="34"/>
      <c r="U151" s="214"/>
      <c r="V151" s="34"/>
    </row>
    <row r="152" spans="1:22" x14ac:dyDescent="0.35">
      <c r="A152" s="46"/>
      <c r="B152" s="211"/>
      <c r="C152" s="211"/>
      <c r="D152" s="33"/>
      <c r="E152" s="33"/>
      <c r="F152" s="33"/>
      <c r="G152" s="33"/>
      <c r="H152" s="33"/>
      <c r="I152" s="212"/>
      <c r="J152" s="212"/>
      <c r="K152" s="46"/>
      <c r="L152" s="46"/>
      <c r="M152" s="213"/>
      <c r="N152" s="200"/>
      <c r="O152" s="46"/>
      <c r="P152" s="46"/>
      <c r="Q152" s="46"/>
      <c r="R152" s="46"/>
      <c r="S152" s="33"/>
      <c r="T152" s="34"/>
      <c r="U152" s="214"/>
      <c r="V152" s="34"/>
    </row>
    <row r="153" spans="1:22" x14ac:dyDescent="0.35">
      <c r="A153" s="46"/>
      <c r="B153" s="211"/>
      <c r="C153" s="211"/>
      <c r="D153" s="33"/>
      <c r="E153" s="33"/>
      <c r="F153" s="33"/>
      <c r="G153" s="33"/>
      <c r="H153" s="33"/>
      <c r="I153" s="212"/>
      <c r="J153" s="212"/>
      <c r="K153" s="46"/>
      <c r="L153" s="46"/>
      <c r="M153" s="213"/>
      <c r="N153" s="200"/>
      <c r="O153" s="46"/>
      <c r="P153" s="46"/>
      <c r="Q153" s="46"/>
      <c r="R153" s="46"/>
      <c r="S153" s="33"/>
      <c r="T153" s="34"/>
      <c r="U153" s="214"/>
      <c r="V153" s="34"/>
    </row>
    <row r="154" spans="1:22" x14ac:dyDescent="0.35">
      <c r="A154" s="46"/>
      <c r="B154" s="211"/>
      <c r="C154" s="211"/>
      <c r="D154" s="33"/>
      <c r="E154" s="33"/>
      <c r="F154" s="33"/>
      <c r="G154" s="33"/>
      <c r="H154" s="33"/>
      <c r="I154" s="212"/>
      <c r="J154" s="212"/>
      <c r="K154" s="46"/>
      <c r="L154" s="46"/>
      <c r="M154" s="213"/>
      <c r="N154" s="200"/>
      <c r="O154" s="46"/>
      <c r="P154" s="46"/>
      <c r="Q154" s="46"/>
      <c r="R154" s="46"/>
      <c r="S154" s="33"/>
      <c r="T154" s="34"/>
      <c r="U154" s="214"/>
      <c r="V154" s="34"/>
    </row>
    <row r="155" spans="1:22" x14ac:dyDescent="0.35">
      <c r="A155" s="46"/>
      <c r="B155" s="211"/>
      <c r="C155" s="211"/>
      <c r="D155" s="33"/>
      <c r="E155" s="33"/>
      <c r="F155" s="33"/>
      <c r="G155" s="33"/>
      <c r="H155" s="33"/>
      <c r="I155" s="212"/>
      <c r="J155" s="212"/>
      <c r="K155" s="46"/>
      <c r="L155" s="46"/>
      <c r="M155" s="213"/>
      <c r="N155" s="200"/>
      <c r="O155" s="46"/>
      <c r="P155" s="46"/>
      <c r="Q155" s="46"/>
      <c r="R155" s="46"/>
      <c r="S155" s="33"/>
      <c r="T155" s="34"/>
      <c r="U155" s="214"/>
      <c r="V155" s="34"/>
    </row>
    <row r="156" spans="1:22" x14ac:dyDescent="0.35">
      <c r="A156" s="46"/>
      <c r="B156" s="211"/>
      <c r="C156" s="211"/>
      <c r="D156" s="33"/>
      <c r="E156" s="33"/>
      <c r="F156" s="33"/>
      <c r="G156" s="33"/>
      <c r="H156" s="33"/>
      <c r="I156" s="212"/>
      <c r="J156" s="212"/>
      <c r="K156" s="46"/>
      <c r="L156" s="46"/>
      <c r="M156" s="213"/>
      <c r="N156" s="200"/>
      <c r="O156" s="46"/>
      <c r="P156" s="46"/>
      <c r="Q156" s="46"/>
      <c r="R156" s="46"/>
      <c r="S156" s="33"/>
      <c r="T156" s="34"/>
      <c r="U156" s="214"/>
      <c r="V156" s="34"/>
    </row>
    <row r="157" spans="1:22" x14ac:dyDescent="0.35">
      <c r="A157" s="46"/>
      <c r="B157" s="211"/>
      <c r="C157" s="211"/>
      <c r="D157" s="33"/>
      <c r="E157" s="33"/>
      <c r="F157" s="33"/>
      <c r="G157" s="33"/>
      <c r="H157" s="33"/>
      <c r="I157" s="212"/>
      <c r="J157" s="212"/>
      <c r="K157" s="46"/>
      <c r="L157" s="46"/>
      <c r="M157" s="213"/>
      <c r="N157" s="200"/>
      <c r="O157" s="46"/>
      <c r="P157" s="46"/>
      <c r="Q157" s="46"/>
      <c r="R157" s="46"/>
      <c r="S157" s="33"/>
      <c r="T157" s="34"/>
      <c r="U157" s="214"/>
      <c r="V157" s="34"/>
    </row>
    <row r="158" spans="1:22" x14ac:dyDescent="0.35">
      <c r="A158" s="46"/>
      <c r="B158" s="211"/>
      <c r="C158" s="211"/>
      <c r="D158" s="33"/>
      <c r="E158" s="33"/>
      <c r="F158" s="33"/>
      <c r="G158" s="33"/>
      <c r="H158" s="33"/>
      <c r="I158" s="212"/>
      <c r="J158" s="212"/>
      <c r="K158" s="46"/>
      <c r="L158" s="46"/>
      <c r="M158" s="213"/>
      <c r="N158" s="200"/>
      <c r="O158" s="46"/>
      <c r="P158" s="46"/>
      <c r="Q158" s="46"/>
      <c r="R158" s="46"/>
      <c r="S158" s="33"/>
      <c r="T158" s="34"/>
      <c r="U158" s="214"/>
      <c r="V158" s="34"/>
    </row>
    <row r="159" spans="1:22" x14ac:dyDescent="0.35">
      <c r="A159" s="46"/>
      <c r="B159" s="211"/>
      <c r="C159" s="211"/>
      <c r="D159" s="33"/>
      <c r="E159" s="33"/>
      <c r="F159" s="33"/>
      <c r="G159" s="33"/>
      <c r="H159" s="33"/>
      <c r="I159" s="212"/>
      <c r="J159" s="212"/>
      <c r="K159" s="46"/>
      <c r="L159" s="46"/>
      <c r="M159" s="213"/>
      <c r="N159" s="200"/>
      <c r="O159" s="46"/>
      <c r="P159" s="46"/>
      <c r="Q159" s="46"/>
      <c r="R159" s="46"/>
      <c r="S159" s="33"/>
      <c r="T159" s="34"/>
      <c r="U159" s="214"/>
      <c r="V159" s="34"/>
    </row>
    <row r="160" spans="1:22" x14ac:dyDescent="0.35">
      <c r="A160" s="46"/>
      <c r="B160" s="211"/>
      <c r="C160" s="211"/>
      <c r="D160" s="33"/>
      <c r="E160" s="33"/>
      <c r="F160" s="33"/>
      <c r="G160" s="33"/>
      <c r="H160" s="33"/>
      <c r="I160" s="212"/>
      <c r="J160" s="212"/>
      <c r="K160" s="46"/>
      <c r="L160" s="46"/>
      <c r="M160" s="213"/>
      <c r="N160" s="200"/>
      <c r="O160" s="46"/>
      <c r="P160" s="46"/>
      <c r="Q160" s="46"/>
      <c r="R160" s="46"/>
      <c r="S160" s="33"/>
      <c r="T160" s="34"/>
      <c r="U160" s="214"/>
      <c r="V160" s="34"/>
    </row>
    <row r="161" spans="1:22" x14ac:dyDescent="0.35">
      <c r="A161" s="46"/>
      <c r="B161" s="211"/>
      <c r="C161" s="211"/>
      <c r="D161" s="33"/>
      <c r="E161" s="33"/>
      <c r="F161" s="33"/>
      <c r="G161" s="33"/>
      <c r="H161" s="33"/>
      <c r="I161" s="212"/>
      <c r="J161" s="212"/>
      <c r="K161" s="46"/>
      <c r="L161" s="46"/>
      <c r="M161" s="213"/>
      <c r="N161" s="200"/>
      <c r="O161" s="46"/>
      <c r="P161" s="46"/>
      <c r="Q161" s="46"/>
      <c r="R161" s="46"/>
      <c r="S161" s="33"/>
      <c r="T161" s="34"/>
      <c r="U161" s="214"/>
      <c r="V161" s="34"/>
    </row>
    <row r="162" spans="1:22" x14ac:dyDescent="0.35">
      <c r="A162" s="46"/>
      <c r="B162" s="211"/>
      <c r="C162" s="211"/>
      <c r="D162" s="33"/>
      <c r="E162" s="33"/>
      <c r="F162" s="33"/>
      <c r="G162" s="33"/>
      <c r="H162" s="33"/>
      <c r="I162" s="212"/>
      <c r="J162" s="212"/>
      <c r="K162" s="46"/>
      <c r="L162" s="46"/>
      <c r="M162" s="213"/>
      <c r="N162" s="200"/>
      <c r="O162" s="46"/>
      <c r="P162" s="46"/>
      <c r="Q162" s="46"/>
      <c r="R162" s="46"/>
      <c r="S162" s="33"/>
      <c r="T162" s="34"/>
      <c r="U162" s="214"/>
      <c r="V162" s="34"/>
    </row>
    <row r="163" spans="1:22" x14ac:dyDescent="0.35">
      <c r="A163" s="46"/>
      <c r="B163" s="211"/>
      <c r="C163" s="211"/>
      <c r="D163" s="33"/>
      <c r="E163" s="33"/>
      <c r="F163" s="33"/>
      <c r="G163" s="33"/>
      <c r="H163" s="33"/>
      <c r="I163" s="212"/>
      <c r="J163" s="212"/>
      <c r="K163" s="46"/>
      <c r="L163" s="46"/>
      <c r="M163" s="213"/>
      <c r="N163" s="200"/>
      <c r="O163" s="46"/>
      <c r="P163" s="46"/>
      <c r="Q163" s="46"/>
      <c r="R163" s="46"/>
      <c r="S163" s="33"/>
      <c r="T163" s="34"/>
      <c r="U163" s="214"/>
      <c r="V163" s="34"/>
    </row>
    <row r="164" spans="1:22" x14ac:dyDescent="0.35">
      <c r="A164" s="46"/>
      <c r="B164" s="211"/>
      <c r="C164" s="211"/>
      <c r="D164" s="33"/>
      <c r="E164" s="33"/>
      <c r="F164" s="33"/>
      <c r="G164" s="33"/>
      <c r="H164" s="33"/>
      <c r="I164" s="212"/>
      <c r="J164" s="212"/>
      <c r="K164" s="46"/>
      <c r="L164" s="46"/>
      <c r="M164" s="213"/>
      <c r="N164" s="200"/>
      <c r="O164" s="46"/>
      <c r="P164" s="46"/>
      <c r="Q164" s="46"/>
      <c r="R164" s="46"/>
      <c r="S164" s="33"/>
      <c r="T164" s="34"/>
      <c r="U164" s="214"/>
      <c r="V164" s="34"/>
    </row>
    <row r="165" spans="1:22" x14ac:dyDescent="0.35">
      <c r="A165" s="46"/>
      <c r="B165" s="211"/>
      <c r="C165" s="211"/>
      <c r="D165" s="33"/>
      <c r="E165" s="33"/>
      <c r="F165" s="33"/>
      <c r="G165" s="33"/>
      <c r="H165" s="33"/>
      <c r="I165" s="212"/>
      <c r="J165" s="212"/>
      <c r="K165" s="46"/>
      <c r="L165" s="46"/>
      <c r="M165" s="213"/>
      <c r="N165" s="200"/>
      <c r="O165" s="46"/>
      <c r="P165" s="46"/>
      <c r="Q165" s="46"/>
      <c r="R165" s="46"/>
      <c r="S165" s="33"/>
      <c r="T165" s="34"/>
      <c r="U165" s="214"/>
      <c r="V165" s="34"/>
    </row>
    <row r="166" spans="1:22" x14ac:dyDescent="0.35">
      <c r="A166" s="46"/>
      <c r="B166" s="211"/>
      <c r="C166" s="211"/>
      <c r="D166" s="33"/>
      <c r="E166" s="33"/>
      <c r="F166" s="33"/>
      <c r="G166" s="33"/>
      <c r="H166" s="33"/>
      <c r="I166" s="212"/>
      <c r="J166" s="212"/>
      <c r="K166" s="46"/>
      <c r="L166" s="46"/>
      <c r="M166" s="213"/>
      <c r="N166" s="200"/>
      <c r="O166" s="46"/>
      <c r="P166" s="46"/>
      <c r="Q166" s="46"/>
      <c r="R166" s="46"/>
      <c r="S166" s="33"/>
      <c r="T166" s="34"/>
      <c r="U166" s="214"/>
      <c r="V166" s="34"/>
    </row>
    <row r="167" spans="1:22" x14ac:dyDescent="0.35">
      <c r="A167" s="46"/>
      <c r="B167" s="211"/>
      <c r="C167" s="211"/>
      <c r="D167" s="33"/>
      <c r="E167" s="33"/>
      <c r="F167" s="33"/>
      <c r="G167" s="33"/>
      <c r="H167" s="33"/>
      <c r="I167" s="212"/>
      <c r="J167" s="212"/>
      <c r="K167" s="46"/>
      <c r="L167" s="46"/>
      <c r="M167" s="213"/>
      <c r="N167" s="200"/>
      <c r="O167" s="46"/>
      <c r="P167" s="46"/>
      <c r="Q167" s="46"/>
      <c r="R167" s="46"/>
      <c r="S167" s="33"/>
      <c r="T167" s="34"/>
      <c r="U167" s="214"/>
      <c r="V167" s="34"/>
    </row>
    <row r="168" spans="1:22" x14ac:dyDescent="0.35">
      <c r="A168" s="46"/>
      <c r="B168" s="211"/>
      <c r="C168" s="211"/>
      <c r="D168" s="33"/>
      <c r="E168" s="33"/>
      <c r="F168" s="33"/>
      <c r="G168" s="33"/>
      <c r="H168" s="33"/>
      <c r="I168" s="212"/>
      <c r="J168" s="212"/>
      <c r="K168" s="46"/>
      <c r="L168" s="46"/>
      <c r="M168" s="213"/>
      <c r="N168" s="200"/>
      <c r="O168" s="46"/>
      <c r="P168" s="46"/>
      <c r="Q168" s="46"/>
      <c r="R168" s="46"/>
      <c r="S168" s="33"/>
      <c r="T168" s="34"/>
      <c r="U168" s="214"/>
      <c r="V168" s="34"/>
    </row>
    <row r="169" spans="1:22" x14ac:dyDescent="0.35">
      <c r="A169" s="46"/>
      <c r="B169" s="211"/>
      <c r="C169" s="211"/>
      <c r="D169" s="33"/>
      <c r="E169" s="33"/>
      <c r="F169" s="33"/>
      <c r="G169" s="33"/>
      <c r="H169" s="33"/>
      <c r="I169" s="212"/>
      <c r="J169" s="212"/>
      <c r="K169" s="46"/>
      <c r="L169" s="46"/>
      <c r="M169" s="213"/>
      <c r="N169" s="200"/>
      <c r="O169" s="46"/>
      <c r="P169" s="46"/>
      <c r="Q169" s="46"/>
      <c r="R169" s="46"/>
      <c r="S169" s="33"/>
      <c r="T169" s="34"/>
      <c r="U169" s="214"/>
      <c r="V169" s="34"/>
    </row>
    <row r="170" spans="1:22" x14ac:dyDescent="0.35">
      <c r="A170" s="46"/>
      <c r="B170" s="211"/>
      <c r="C170" s="211"/>
      <c r="D170" s="33"/>
      <c r="E170" s="33"/>
      <c r="F170" s="33"/>
      <c r="G170" s="33"/>
      <c r="H170" s="33"/>
      <c r="I170" s="212"/>
      <c r="J170" s="212"/>
      <c r="K170" s="46"/>
      <c r="L170" s="46"/>
      <c r="M170" s="213"/>
      <c r="N170" s="200"/>
      <c r="O170" s="46"/>
      <c r="P170" s="46"/>
      <c r="Q170" s="46"/>
      <c r="R170" s="46"/>
      <c r="S170" s="33"/>
      <c r="T170" s="34"/>
      <c r="U170" s="214"/>
      <c r="V170" s="34"/>
    </row>
    <row r="171" spans="1:22" x14ac:dyDescent="0.35">
      <c r="A171" s="46"/>
      <c r="B171" s="211"/>
      <c r="C171" s="211"/>
      <c r="D171" s="33"/>
      <c r="E171" s="33"/>
      <c r="F171" s="33"/>
      <c r="G171" s="33"/>
      <c r="H171" s="33"/>
      <c r="I171" s="212"/>
      <c r="J171" s="212"/>
      <c r="K171" s="46"/>
      <c r="L171" s="46"/>
      <c r="M171" s="213"/>
      <c r="N171" s="200"/>
      <c r="O171" s="46"/>
      <c r="P171" s="46"/>
      <c r="Q171" s="46"/>
      <c r="R171" s="46"/>
      <c r="S171" s="33"/>
      <c r="T171" s="34"/>
      <c r="U171" s="214"/>
      <c r="V171" s="34"/>
    </row>
    <row r="172" spans="1:22" x14ac:dyDescent="0.35">
      <c r="A172" s="46"/>
      <c r="B172" s="211"/>
      <c r="C172" s="211"/>
      <c r="D172" s="33"/>
      <c r="E172" s="33"/>
      <c r="F172" s="33"/>
      <c r="G172" s="33"/>
      <c r="H172" s="33"/>
      <c r="I172" s="212"/>
      <c r="J172" s="212"/>
      <c r="K172" s="46"/>
      <c r="L172" s="46"/>
      <c r="M172" s="213"/>
      <c r="N172" s="200"/>
      <c r="O172" s="46"/>
      <c r="P172" s="46"/>
      <c r="Q172" s="46"/>
      <c r="R172" s="46"/>
      <c r="S172" s="33"/>
      <c r="T172" s="34"/>
      <c r="U172" s="214"/>
      <c r="V172" s="34"/>
    </row>
    <row r="173" spans="1:22" x14ac:dyDescent="0.35">
      <c r="A173" s="46"/>
      <c r="B173" s="211"/>
      <c r="C173" s="211"/>
      <c r="D173" s="33"/>
      <c r="E173" s="33"/>
      <c r="F173" s="33"/>
      <c r="G173" s="33"/>
      <c r="H173" s="33"/>
      <c r="I173" s="212"/>
      <c r="J173" s="212"/>
      <c r="K173" s="46"/>
      <c r="L173" s="46"/>
      <c r="M173" s="213"/>
      <c r="N173" s="200"/>
      <c r="O173" s="46"/>
      <c r="P173" s="46"/>
      <c r="Q173" s="46"/>
      <c r="R173" s="46"/>
      <c r="S173" s="33"/>
      <c r="T173" s="34"/>
      <c r="U173" s="214"/>
      <c r="V173" s="34"/>
    </row>
    <row r="174" spans="1:22" x14ac:dyDescent="0.35">
      <c r="A174" s="46"/>
      <c r="B174" s="211"/>
      <c r="C174" s="211"/>
      <c r="D174" s="33"/>
      <c r="E174" s="33"/>
      <c r="F174" s="33"/>
      <c r="G174" s="33"/>
      <c r="H174" s="33"/>
      <c r="I174" s="212"/>
      <c r="J174" s="212"/>
      <c r="K174" s="46"/>
      <c r="L174" s="46"/>
      <c r="M174" s="213"/>
      <c r="N174" s="200"/>
      <c r="O174" s="46"/>
      <c r="P174" s="46"/>
      <c r="Q174" s="46"/>
      <c r="R174" s="46"/>
      <c r="S174" s="33"/>
      <c r="T174" s="34"/>
      <c r="U174" s="214"/>
      <c r="V174" s="34"/>
    </row>
    <row r="175" spans="1:22" x14ac:dyDescent="0.35">
      <c r="A175" s="46"/>
      <c r="B175" s="211"/>
      <c r="C175" s="211"/>
      <c r="D175" s="33"/>
      <c r="E175" s="33"/>
      <c r="F175" s="33"/>
      <c r="G175" s="33"/>
      <c r="H175" s="33"/>
      <c r="I175" s="212"/>
      <c r="J175" s="212"/>
      <c r="K175" s="46"/>
      <c r="L175" s="46"/>
      <c r="M175" s="213"/>
      <c r="N175" s="200"/>
      <c r="O175" s="46"/>
      <c r="P175" s="46"/>
      <c r="Q175" s="46"/>
      <c r="R175" s="46"/>
      <c r="S175" s="33"/>
      <c r="T175" s="34"/>
      <c r="U175" s="214"/>
      <c r="V175" s="34"/>
    </row>
    <row r="176" spans="1:22" x14ac:dyDescent="0.35">
      <c r="A176" s="46"/>
      <c r="B176" s="211"/>
      <c r="C176" s="211"/>
      <c r="D176" s="33"/>
      <c r="E176" s="33"/>
      <c r="F176" s="33"/>
      <c r="G176" s="33"/>
      <c r="H176" s="33"/>
      <c r="I176" s="212"/>
      <c r="J176" s="212"/>
      <c r="K176" s="46"/>
      <c r="L176" s="46"/>
      <c r="M176" s="213"/>
      <c r="N176" s="200"/>
      <c r="O176" s="46"/>
      <c r="P176" s="46"/>
      <c r="Q176" s="46"/>
      <c r="R176" s="46"/>
      <c r="S176" s="33"/>
      <c r="T176" s="34"/>
      <c r="U176" s="214"/>
      <c r="V176" s="34"/>
    </row>
    <row r="177" spans="1:22" x14ac:dyDescent="0.35">
      <c r="A177" s="46"/>
      <c r="B177" s="211"/>
      <c r="C177" s="211"/>
      <c r="D177" s="33"/>
      <c r="E177" s="33"/>
      <c r="F177" s="33"/>
      <c r="G177" s="33"/>
      <c r="H177" s="33"/>
      <c r="I177" s="212"/>
      <c r="J177" s="212"/>
      <c r="K177" s="46"/>
      <c r="L177" s="46"/>
      <c r="M177" s="213"/>
      <c r="N177" s="200"/>
      <c r="O177" s="46"/>
      <c r="P177" s="46"/>
      <c r="Q177" s="46"/>
      <c r="R177" s="46"/>
      <c r="S177" s="33"/>
      <c r="T177" s="34"/>
      <c r="U177" s="214"/>
      <c r="V177" s="34"/>
    </row>
    <row r="178" spans="1:22" x14ac:dyDescent="0.35">
      <c r="A178" s="46"/>
      <c r="B178" s="211"/>
      <c r="C178" s="211"/>
      <c r="D178" s="33"/>
      <c r="E178" s="33"/>
      <c r="F178" s="33"/>
      <c r="G178" s="33"/>
      <c r="H178" s="33"/>
      <c r="I178" s="212"/>
      <c r="J178" s="212"/>
      <c r="K178" s="46"/>
      <c r="L178" s="46"/>
      <c r="M178" s="213"/>
      <c r="N178" s="200"/>
      <c r="O178" s="46"/>
      <c r="P178" s="46"/>
      <c r="Q178" s="46"/>
      <c r="R178" s="46"/>
      <c r="S178" s="33"/>
      <c r="T178" s="34"/>
      <c r="U178" s="214"/>
      <c r="V178" s="34"/>
    </row>
    <row r="179" spans="1:22" x14ac:dyDescent="0.35">
      <c r="A179" s="46"/>
      <c r="B179" s="211"/>
      <c r="C179" s="211"/>
      <c r="D179" s="33"/>
      <c r="E179" s="33"/>
      <c r="F179" s="33"/>
      <c r="G179" s="33"/>
      <c r="H179" s="33"/>
      <c r="I179" s="212"/>
      <c r="J179" s="212"/>
      <c r="K179" s="46"/>
      <c r="L179" s="46"/>
      <c r="M179" s="213"/>
      <c r="N179" s="200"/>
      <c r="O179" s="46"/>
      <c r="P179" s="46"/>
      <c r="Q179" s="46"/>
      <c r="R179" s="46"/>
      <c r="S179" s="33"/>
      <c r="T179" s="34"/>
      <c r="U179" s="214"/>
      <c r="V179" s="34"/>
    </row>
    <row r="180" spans="1:22" x14ac:dyDescent="0.35">
      <c r="A180" s="46"/>
      <c r="B180" s="211"/>
      <c r="C180" s="211"/>
      <c r="D180" s="33"/>
      <c r="E180" s="33"/>
      <c r="F180" s="33"/>
      <c r="G180" s="33"/>
      <c r="H180" s="33"/>
      <c r="I180" s="212"/>
      <c r="J180" s="212"/>
      <c r="K180" s="46"/>
      <c r="L180" s="46"/>
      <c r="M180" s="213"/>
      <c r="N180" s="200"/>
      <c r="O180" s="46"/>
      <c r="P180" s="46"/>
      <c r="Q180" s="46"/>
      <c r="R180" s="46"/>
      <c r="S180" s="33"/>
      <c r="T180" s="34"/>
      <c r="U180" s="214"/>
      <c r="V180" s="34"/>
    </row>
    <row r="181" spans="1:22" x14ac:dyDescent="0.35">
      <c r="A181" s="46"/>
      <c r="B181" s="211"/>
      <c r="C181" s="211"/>
      <c r="D181" s="33"/>
      <c r="E181" s="33"/>
      <c r="F181" s="33"/>
      <c r="G181" s="33"/>
      <c r="H181" s="33"/>
      <c r="I181" s="212"/>
      <c r="J181" s="212"/>
      <c r="K181" s="46"/>
      <c r="L181" s="46"/>
      <c r="M181" s="213"/>
      <c r="N181" s="200"/>
      <c r="O181" s="46"/>
      <c r="P181" s="46"/>
      <c r="Q181" s="46"/>
      <c r="R181" s="46"/>
      <c r="S181" s="33"/>
      <c r="T181" s="34"/>
      <c r="U181" s="214"/>
      <c r="V181" s="34"/>
    </row>
    <row r="182" spans="1:22" x14ac:dyDescent="0.35">
      <c r="A182" s="46"/>
      <c r="B182" s="211"/>
      <c r="C182" s="211"/>
      <c r="D182" s="33"/>
      <c r="E182" s="33"/>
      <c r="F182" s="33"/>
      <c r="G182" s="33"/>
      <c r="H182" s="33"/>
      <c r="I182" s="212"/>
      <c r="J182" s="212"/>
      <c r="K182" s="46"/>
      <c r="L182" s="46"/>
      <c r="M182" s="213"/>
      <c r="N182" s="200"/>
      <c r="O182" s="46"/>
      <c r="P182" s="46"/>
      <c r="Q182" s="46"/>
      <c r="R182" s="46"/>
      <c r="S182" s="33"/>
      <c r="T182" s="34"/>
      <c r="U182" s="214"/>
      <c r="V182" s="34"/>
    </row>
    <row r="183" spans="1:22" x14ac:dyDescent="0.35">
      <c r="A183" s="46"/>
      <c r="B183" s="211"/>
      <c r="C183" s="211"/>
      <c r="D183" s="33"/>
      <c r="E183" s="33"/>
      <c r="F183" s="33"/>
      <c r="G183" s="33"/>
      <c r="H183" s="33"/>
      <c r="I183" s="212"/>
      <c r="J183" s="212"/>
      <c r="K183" s="46"/>
      <c r="L183" s="46"/>
      <c r="M183" s="213"/>
      <c r="N183" s="200"/>
      <c r="O183" s="46"/>
      <c r="P183" s="46"/>
      <c r="Q183" s="46"/>
      <c r="R183" s="46"/>
      <c r="S183" s="33"/>
      <c r="T183" s="34"/>
      <c r="U183" s="214"/>
      <c r="V183" s="34"/>
    </row>
    <row r="184" spans="1:22" x14ac:dyDescent="0.35">
      <c r="A184" s="46"/>
      <c r="B184" s="211"/>
      <c r="C184" s="211"/>
      <c r="D184" s="33"/>
      <c r="E184" s="33"/>
      <c r="F184" s="33"/>
      <c r="G184" s="33"/>
      <c r="H184" s="33"/>
      <c r="I184" s="212"/>
      <c r="J184" s="212"/>
      <c r="K184" s="46"/>
      <c r="L184" s="46"/>
      <c r="M184" s="213"/>
      <c r="N184" s="200"/>
      <c r="O184" s="46"/>
      <c r="P184" s="46"/>
      <c r="Q184" s="46"/>
      <c r="R184" s="46"/>
      <c r="S184" s="33"/>
      <c r="T184" s="34"/>
      <c r="U184" s="214"/>
      <c r="V184" s="34"/>
    </row>
    <row r="185" spans="1:22" x14ac:dyDescent="0.35">
      <c r="A185" s="46"/>
      <c r="B185" s="211"/>
      <c r="C185" s="211"/>
      <c r="D185" s="33"/>
      <c r="E185" s="33"/>
      <c r="F185" s="33"/>
      <c r="G185" s="33"/>
      <c r="H185" s="33"/>
      <c r="I185" s="212"/>
      <c r="J185" s="212"/>
      <c r="K185" s="46"/>
      <c r="L185" s="46"/>
      <c r="M185" s="213"/>
      <c r="N185" s="200"/>
      <c r="O185" s="46"/>
      <c r="P185" s="46"/>
      <c r="Q185" s="46"/>
      <c r="R185" s="46"/>
      <c r="S185" s="33"/>
      <c r="T185" s="34"/>
      <c r="U185" s="214"/>
      <c r="V185" s="34"/>
    </row>
    <row r="186" spans="1:22" x14ac:dyDescent="0.35">
      <c r="A186" s="46"/>
      <c r="B186" s="211"/>
      <c r="C186" s="211"/>
      <c r="D186" s="33"/>
      <c r="E186" s="33"/>
      <c r="F186" s="33"/>
      <c r="G186" s="33"/>
      <c r="H186" s="33"/>
      <c r="I186" s="212"/>
      <c r="J186" s="212"/>
      <c r="K186" s="46"/>
      <c r="L186" s="46"/>
      <c r="M186" s="213"/>
      <c r="N186" s="200"/>
      <c r="O186" s="46"/>
      <c r="P186" s="46"/>
      <c r="Q186" s="46"/>
      <c r="R186" s="46"/>
      <c r="S186" s="33"/>
      <c r="T186" s="34"/>
      <c r="U186" s="214"/>
      <c r="V186" s="34"/>
    </row>
    <row r="187" spans="1:22" x14ac:dyDescent="0.35">
      <c r="A187" s="46"/>
      <c r="B187" s="211"/>
      <c r="C187" s="211"/>
      <c r="D187" s="33"/>
      <c r="E187" s="33"/>
      <c r="F187" s="33"/>
      <c r="G187" s="33"/>
      <c r="H187" s="33"/>
      <c r="I187" s="212"/>
      <c r="J187" s="212"/>
      <c r="K187" s="46"/>
      <c r="L187" s="46"/>
      <c r="M187" s="213"/>
      <c r="N187" s="200"/>
      <c r="O187" s="46"/>
      <c r="P187" s="46"/>
      <c r="Q187" s="46"/>
      <c r="R187" s="46"/>
      <c r="S187" s="33"/>
      <c r="T187" s="34"/>
      <c r="U187" s="214"/>
      <c r="V187" s="34"/>
    </row>
    <row r="188" spans="1:22" x14ac:dyDescent="0.35">
      <c r="A188" s="46"/>
      <c r="B188" s="211"/>
      <c r="C188" s="211"/>
      <c r="D188" s="33"/>
      <c r="E188" s="33"/>
      <c r="F188" s="33"/>
      <c r="G188" s="33"/>
      <c r="H188" s="33"/>
      <c r="I188" s="212"/>
      <c r="J188" s="212"/>
      <c r="K188" s="46"/>
      <c r="L188" s="46"/>
      <c r="M188" s="213"/>
      <c r="N188" s="200"/>
      <c r="O188" s="46"/>
      <c r="P188" s="46"/>
      <c r="Q188" s="46"/>
      <c r="R188" s="46"/>
      <c r="S188" s="33"/>
      <c r="T188" s="34"/>
      <c r="U188" s="214"/>
      <c r="V188" s="34"/>
    </row>
    <row r="189" spans="1:22" x14ac:dyDescent="0.35">
      <c r="A189" s="46"/>
      <c r="B189" s="211"/>
      <c r="C189" s="211"/>
      <c r="D189" s="33"/>
      <c r="E189" s="33"/>
      <c r="F189" s="33"/>
      <c r="G189" s="33"/>
      <c r="H189" s="33"/>
      <c r="I189" s="212"/>
      <c r="J189" s="212"/>
      <c r="K189" s="46"/>
      <c r="L189" s="46"/>
      <c r="M189" s="213"/>
      <c r="N189" s="200"/>
      <c r="O189" s="46"/>
      <c r="P189" s="46"/>
      <c r="Q189" s="46"/>
      <c r="R189" s="46"/>
      <c r="S189" s="33"/>
      <c r="T189" s="34"/>
      <c r="U189" s="214"/>
      <c r="V189" s="34"/>
    </row>
    <row r="190" spans="1:22" x14ac:dyDescent="0.35">
      <c r="A190" s="46"/>
      <c r="B190" s="211"/>
      <c r="C190" s="211"/>
      <c r="D190" s="33"/>
      <c r="E190" s="33"/>
      <c r="F190" s="33"/>
      <c r="G190" s="33"/>
      <c r="H190" s="33"/>
      <c r="I190" s="212"/>
      <c r="J190" s="212"/>
      <c r="K190" s="46"/>
      <c r="L190" s="46"/>
      <c r="M190" s="213"/>
      <c r="N190" s="200"/>
      <c r="O190" s="46"/>
      <c r="P190" s="46"/>
      <c r="Q190" s="46"/>
      <c r="R190" s="46"/>
      <c r="S190" s="33"/>
      <c r="T190" s="34"/>
      <c r="U190" s="214"/>
      <c r="V190" s="34"/>
    </row>
    <row r="191" spans="1:22" x14ac:dyDescent="0.35">
      <c r="A191" s="46"/>
      <c r="B191" s="211"/>
      <c r="C191" s="211"/>
      <c r="D191" s="33"/>
      <c r="E191" s="33"/>
      <c r="F191" s="33"/>
      <c r="G191" s="33"/>
      <c r="H191" s="33"/>
      <c r="I191" s="212"/>
      <c r="J191" s="212"/>
      <c r="K191" s="46"/>
      <c r="L191" s="46"/>
      <c r="M191" s="213"/>
      <c r="N191" s="200"/>
      <c r="O191" s="46"/>
      <c r="P191" s="46"/>
      <c r="Q191" s="46"/>
      <c r="R191" s="46"/>
      <c r="S191" s="33"/>
      <c r="T191" s="34"/>
      <c r="U191" s="214"/>
      <c r="V191" s="34"/>
    </row>
    <row r="192" spans="1:22" x14ac:dyDescent="0.35">
      <c r="A192" s="46"/>
      <c r="B192" s="211"/>
      <c r="C192" s="211"/>
      <c r="D192" s="33"/>
      <c r="E192" s="33"/>
      <c r="F192" s="33"/>
      <c r="G192" s="33"/>
      <c r="H192" s="33"/>
      <c r="I192" s="212"/>
      <c r="J192" s="212"/>
      <c r="K192" s="46"/>
      <c r="L192" s="46"/>
      <c r="M192" s="213"/>
      <c r="N192" s="200"/>
      <c r="O192" s="46"/>
      <c r="P192" s="46"/>
      <c r="Q192" s="46"/>
      <c r="R192" s="46"/>
      <c r="S192" s="33"/>
      <c r="T192" s="34"/>
      <c r="U192" s="214"/>
      <c r="V192" s="34"/>
    </row>
    <row r="193" spans="1:22" x14ac:dyDescent="0.35">
      <c r="A193" s="46"/>
      <c r="B193" s="211"/>
      <c r="C193" s="211"/>
      <c r="D193" s="33"/>
      <c r="E193" s="33"/>
      <c r="F193" s="33"/>
      <c r="G193" s="33"/>
      <c r="H193" s="33"/>
      <c r="I193" s="212"/>
      <c r="J193" s="212"/>
      <c r="K193" s="46"/>
      <c r="L193" s="46"/>
      <c r="M193" s="213"/>
      <c r="N193" s="200"/>
      <c r="O193" s="46"/>
      <c r="P193" s="46"/>
      <c r="Q193" s="46"/>
      <c r="R193" s="46"/>
      <c r="S193" s="33"/>
      <c r="T193" s="34"/>
      <c r="U193" s="214"/>
      <c r="V193" s="34"/>
    </row>
    <row r="194" spans="1:22" x14ac:dyDescent="0.35">
      <c r="A194" s="46"/>
      <c r="B194" s="211"/>
      <c r="C194" s="211"/>
      <c r="D194" s="33"/>
      <c r="E194" s="33"/>
      <c r="F194" s="33"/>
      <c r="G194" s="33"/>
      <c r="H194" s="33"/>
      <c r="I194" s="212"/>
      <c r="J194" s="212"/>
      <c r="K194" s="46"/>
      <c r="L194" s="46"/>
      <c r="M194" s="213"/>
      <c r="N194" s="200"/>
      <c r="O194" s="46"/>
      <c r="P194" s="46"/>
      <c r="Q194" s="46"/>
      <c r="R194" s="46"/>
      <c r="S194" s="33"/>
      <c r="T194" s="34"/>
      <c r="U194" s="214"/>
      <c r="V194" s="34"/>
    </row>
    <row r="195" spans="1:22" x14ac:dyDescent="0.35">
      <c r="A195" s="46"/>
      <c r="B195" s="211"/>
      <c r="C195" s="211"/>
      <c r="D195" s="33"/>
      <c r="E195" s="33"/>
      <c r="F195" s="33"/>
      <c r="G195" s="33"/>
      <c r="H195" s="33"/>
      <c r="I195" s="212"/>
      <c r="J195" s="212"/>
      <c r="K195" s="46"/>
      <c r="L195" s="46"/>
      <c r="M195" s="213"/>
      <c r="N195" s="200"/>
      <c r="O195" s="46"/>
      <c r="P195" s="46"/>
      <c r="Q195" s="46"/>
      <c r="R195" s="46"/>
      <c r="S195" s="33"/>
      <c r="T195" s="34"/>
      <c r="U195" s="214"/>
      <c r="V195" s="34"/>
    </row>
    <row r="196" spans="1:22" x14ac:dyDescent="0.35">
      <c r="A196" s="46"/>
      <c r="B196" s="211"/>
      <c r="C196" s="211"/>
      <c r="D196" s="33"/>
      <c r="E196" s="33"/>
      <c r="F196" s="33"/>
      <c r="G196" s="33"/>
      <c r="H196" s="33"/>
      <c r="I196" s="212"/>
      <c r="J196" s="212"/>
      <c r="K196" s="46"/>
      <c r="L196" s="46"/>
      <c r="M196" s="213"/>
      <c r="N196" s="200"/>
      <c r="O196" s="46"/>
      <c r="P196" s="46"/>
      <c r="Q196" s="46"/>
      <c r="R196" s="46"/>
      <c r="S196" s="33"/>
      <c r="T196" s="34"/>
      <c r="U196" s="214"/>
      <c r="V196" s="34"/>
    </row>
    <row r="197" spans="1:22" x14ac:dyDescent="0.35">
      <c r="A197" s="46"/>
      <c r="B197" s="211"/>
      <c r="C197" s="211"/>
      <c r="D197" s="33"/>
      <c r="E197" s="33"/>
      <c r="F197" s="33"/>
      <c r="G197" s="33"/>
      <c r="H197" s="33"/>
      <c r="I197" s="212"/>
      <c r="J197" s="212"/>
      <c r="K197" s="46"/>
      <c r="L197" s="46"/>
      <c r="M197" s="213"/>
      <c r="N197" s="200"/>
      <c r="O197" s="46"/>
      <c r="P197" s="46"/>
      <c r="Q197" s="46"/>
      <c r="R197" s="46"/>
      <c r="S197" s="33"/>
      <c r="T197" s="34"/>
      <c r="U197" s="214"/>
      <c r="V197" s="34"/>
    </row>
    <row r="198" spans="1:22" x14ac:dyDescent="0.35">
      <c r="A198" s="46"/>
      <c r="B198" s="211"/>
      <c r="C198" s="211"/>
      <c r="D198" s="33"/>
      <c r="E198" s="33"/>
      <c r="F198" s="33"/>
      <c r="G198" s="33"/>
      <c r="H198" s="33"/>
      <c r="I198" s="212"/>
      <c r="J198" s="212"/>
      <c r="K198" s="46"/>
      <c r="L198" s="46"/>
      <c r="M198" s="213"/>
      <c r="N198" s="200"/>
      <c r="O198" s="46"/>
      <c r="P198" s="46"/>
      <c r="Q198" s="46"/>
      <c r="R198" s="46"/>
      <c r="S198" s="33"/>
      <c r="T198" s="34"/>
      <c r="U198" s="214"/>
      <c r="V198" s="34"/>
    </row>
    <row r="199" spans="1:22" x14ac:dyDescent="0.35">
      <c r="A199" s="46"/>
      <c r="B199" s="211"/>
      <c r="C199" s="211"/>
      <c r="D199" s="33"/>
      <c r="E199" s="33"/>
      <c r="F199" s="33"/>
      <c r="G199" s="33"/>
      <c r="H199" s="33"/>
      <c r="I199" s="212"/>
      <c r="J199" s="212"/>
      <c r="K199" s="46"/>
      <c r="L199" s="46"/>
      <c r="M199" s="213"/>
      <c r="N199" s="200"/>
      <c r="O199" s="46"/>
      <c r="P199" s="46"/>
      <c r="Q199" s="46"/>
      <c r="R199" s="46"/>
      <c r="S199" s="33"/>
      <c r="T199" s="34"/>
      <c r="U199" s="214"/>
      <c r="V199" s="34"/>
    </row>
    <row r="200" spans="1:22" x14ac:dyDescent="0.35">
      <c r="A200" s="46"/>
      <c r="B200" s="211"/>
      <c r="C200" s="211"/>
      <c r="D200" s="33"/>
      <c r="E200" s="33"/>
      <c r="F200" s="33"/>
      <c r="G200" s="33"/>
      <c r="H200" s="33"/>
      <c r="I200" s="212"/>
      <c r="J200" s="212"/>
      <c r="K200" s="46"/>
      <c r="L200" s="46"/>
      <c r="M200" s="213"/>
      <c r="N200" s="200"/>
      <c r="O200" s="46"/>
      <c r="P200" s="46"/>
      <c r="Q200" s="46"/>
      <c r="R200" s="46"/>
      <c r="S200" s="33"/>
      <c r="T200" s="34"/>
      <c r="U200" s="214"/>
      <c r="V200" s="34"/>
    </row>
    <row r="201" spans="1:22" x14ac:dyDescent="0.35">
      <c r="A201" s="46"/>
      <c r="B201" s="211"/>
      <c r="C201" s="211"/>
      <c r="D201" s="33"/>
      <c r="E201" s="33"/>
      <c r="F201" s="33"/>
      <c r="G201" s="33"/>
      <c r="H201" s="33"/>
      <c r="I201" s="212"/>
      <c r="J201" s="212"/>
      <c r="K201" s="46"/>
      <c r="L201" s="46"/>
      <c r="M201" s="213"/>
      <c r="N201" s="200"/>
      <c r="O201" s="46"/>
      <c r="P201" s="46"/>
      <c r="Q201" s="46"/>
      <c r="R201" s="46"/>
      <c r="S201" s="33"/>
      <c r="T201" s="34"/>
      <c r="U201" s="214"/>
      <c r="V201" s="34"/>
    </row>
    <row r="202" spans="1:22" x14ac:dyDescent="0.35">
      <c r="A202" s="46"/>
      <c r="B202" s="211"/>
      <c r="C202" s="211"/>
      <c r="D202" s="33"/>
      <c r="E202" s="33"/>
      <c r="F202" s="33"/>
      <c r="G202" s="33"/>
      <c r="H202" s="33"/>
      <c r="I202" s="212"/>
      <c r="J202" s="212"/>
      <c r="K202" s="46"/>
      <c r="L202" s="46"/>
      <c r="M202" s="213"/>
      <c r="N202" s="200"/>
      <c r="O202" s="46"/>
      <c r="P202" s="46"/>
      <c r="Q202" s="46"/>
      <c r="R202" s="46"/>
      <c r="S202" s="33"/>
      <c r="T202" s="34"/>
      <c r="U202" s="214"/>
      <c r="V202" s="34"/>
    </row>
    <row r="203" spans="1:22" x14ac:dyDescent="0.35">
      <c r="A203" s="46"/>
      <c r="B203" s="211"/>
      <c r="C203" s="211"/>
      <c r="D203" s="33"/>
      <c r="E203" s="33"/>
      <c r="F203" s="33"/>
      <c r="G203" s="33"/>
      <c r="H203" s="33"/>
      <c r="I203" s="212"/>
      <c r="J203" s="212"/>
      <c r="K203" s="46"/>
      <c r="L203" s="46"/>
      <c r="M203" s="213"/>
      <c r="N203" s="200"/>
      <c r="O203" s="46"/>
      <c r="P203" s="46"/>
      <c r="Q203" s="46"/>
      <c r="R203" s="46"/>
      <c r="S203" s="33"/>
      <c r="T203" s="34"/>
      <c r="U203" s="214"/>
      <c r="V203" s="34"/>
    </row>
    <row r="204" spans="1:22" x14ac:dyDescent="0.35">
      <c r="A204" s="46"/>
      <c r="B204" s="211"/>
      <c r="C204" s="211"/>
      <c r="D204" s="33"/>
      <c r="E204" s="33"/>
      <c r="F204" s="33"/>
      <c r="G204" s="33"/>
      <c r="H204" s="33"/>
      <c r="I204" s="212"/>
      <c r="J204" s="212"/>
      <c r="K204" s="46"/>
      <c r="L204" s="46"/>
      <c r="M204" s="213"/>
      <c r="N204" s="200"/>
      <c r="O204" s="46"/>
      <c r="P204" s="46"/>
      <c r="Q204" s="46"/>
      <c r="R204" s="46"/>
      <c r="S204" s="33"/>
      <c r="T204" s="34"/>
      <c r="U204" s="214"/>
      <c r="V204" s="34"/>
    </row>
    <row r="205" spans="1:22" x14ac:dyDescent="0.35">
      <c r="A205" s="46"/>
      <c r="B205" s="211"/>
      <c r="C205" s="211"/>
      <c r="D205" s="33"/>
      <c r="E205" s="33"/>
      <c r="F205" s="33"/>
      <c r="G205" s="33"/>
      <c r="H205" s="33"/>
      <c r="I205" s="212"/>
      <c r="J205" s="212"/>
      <c r="K205" s="46"/>
      <c r="L205" s="46"/>
      <c r="M205" s="213"/>
      <c r="N205" s="200"/>
      <c r="O205" s="46"/>
      <c r="P205" s="46"/>
      <c r="Q205" s="46"/>
      <c r="R205" s="46"/>
      <c r="S205" s="33"/>
      <c r="T205" s="34"/>
      <c r="U205" s="214"/>
      <c r="V205" s="34"/>
    </row>
    <row r="206" spans="1:22" x14ac:dyDescent="0.35">
      <c r="A206" s="46"/>
      <c r="B206" s="211"/>
      <c r="C206" s="211"/>
      <c r="D206" s="33"/>
      <c r="E206" s="33"/>
      <c r="F206" s="33"/>
      <c r="G206" s="33"/>
      <c r="H206" s="33"/>
      <c r="I206" s="212"/>
      <c r="J206" s="212"/>
      <c r="K206" s="46"/>
      <c r="L206" s="46"/>
      <c r="M206" s="213"/>
      <c r="N206" s="200"/>
      <c r="O206" s="46"/>
      <c r="P206" s="46"/>
      <c r="Q206" s="46"/>
      <c r="R206" s="46"/>
      <c r="S206" s="33"/>
      <c r="T206" s="34"/>
      <c r="U206" s="214"/>
      <c r="V206" s="34"/>
    </row>
    <row r="207" spans="1:22" x14ac:dyDescent="0.35">
      <c r="A207" s="46"/>
      <c r="B207" s="211"/>
      <c r="C207" s="211"/>
      <c r="D207" s="33"/>
      <c r="E207" s="33"/>
      <c r="F207" s="33"/>
      <c r="G207" s="33"/>
      <c r="H207" s="33"/>
      <c r="I207" s="212"/>
      <c r="J207" s="212"/>
      <c r="K207" s="46"/>
      <c r="L207" s="46"/>
      <c r="M207" s="213"/>
      <c r="N207" s="200"/>
      <c r="O207" s="46"/>
      <c r="P207" s="46"/>
      <c r="Q207" s="46"/>
      <c r="R207" s="46"/>
      <c r="S207" s="33"/>
      <c r="T207" s="34"/>
      <c r="U207" s="214"/>
      <c r="V207" s="34"/>
    </row>
    <row r="208" spans="1:22" x14ac:dyDescent="0.35">
      <c r="A208" s="46"/>
      <c r="B208" s="211"/>
      <c r="C208" s="211"/>
      <c r="D208" s="33"/>
      <c r="E208" s="33"/>
      <c r="F208" s="33"/>
      <c r="G208" s="33"/>
      <c r="H208" s="33"/>
      <c r="I208" s="212"/>
      <c r="J208" s="212"/>
      <c r="K208" s="46"/>
      <c r="L208" s="46"/>
      <c r="M208" s="213"/>
      <c r="N208" s="200"/>
      <c r="O208" s="46"/>
      <c r="P208" s="46"/>
      <c r="Q208" s="46"/>
      <c r="R208" s="46"/>
      <c r="S208" s="33"/>
      <c r="T208" s="34"/>
      <c r="U208" s="214"/>
      <c r="V208" s="34"/>
    </row>
    <row r="209" spans="1:22" x14ac:dyDescent="0.35">
      <c r="A209" s="46"/>
      <c r="B209" s="211"/>
      <c r="C209" s="211"/>
      <c r="D209" s="33"/>
      <c r="E209" s="33"/>
      <c r="F209" s="33"/>
      <c r="G209" s="33"/>
      <c r="H209" s="33"/>
      <c r="I209" s="212"/>
      <c r="J209" s="212"/>
      <c r="K209" s="46"/>
      <c r="L209" s="46"/>
      <c r="M209" s="213"/>
      <c r="N209" s="200"/>
      <c r="O209" s="46"/>
      <c r="P209" s="46"/>
      <c r="Q209" s="46"/>
      <c r="R209" s="46"/>
      <c r="S209" s="33"/>
      <c r="T209" s="34"/>
      <c r="U209" s="214"/>
      <c r="V209" s="34"/>
    </row>
    <row r="210" spans="1:22" x14ac:dyDescent="0.35">
      <c r="A210" s="46"/>
      <c r="B210" s="211"/>
      <c r="C210" s="211"/>
      <c r="D210" s="33"/>
      <c r="E210" s="33"/>
      <c r="F210" s="33"/>
      <c r="G210" s="33"/>
      <c r="H210" s="33"/>
      <c r="I210" s="212"/>
      <c r="J210" s="212"/>
      <c r="K210" s="46"/>
      <c r="L210" s="46"/>
      <c r="M210" s="213"/>
      <c r="N210" s="200"/>
      <c r="O210" s="46"/>
      <c r="P210" s="46"/>
      <c r="Q210" s="46"/>
      <c r="R210" s="46"/>
      <c r="S210" s="33"/>
      <c r="T210" s="34"/>
      <c r="U210" s="214"/>
      <c r="V210" s="34"/>
    </row>
    <row r="211" spans="1:22" x14ac:dyDescent="0.35">
      <c r="A211" s="46"/>
      <c r="B211" s="211"/>
      <c r="C211" s="211"/>
      <c r="D211" s="33"/>
      <c r="E211" s="33"/>
      <c r="F211" s="33"/>
      <c r="G211" s="33"/>
      <c r="H211" s="33"/>
      <c r="I211" s="212"/>
      <c r="J211" s="212"/>
      <c r="K211" s="46"/>
      <c r="L211" s="46"/>
      <c r="M211" s="213"/>
      <c r="N211" s="200"/>
      <c r="O211" s="46"/>
      <c r="P211" s="46"/>
      <c r="Q211" s="46"/>
      <c r="R211" s="46"/>
      <c r="S211" s="33"/>
      <c r="T211" s="34"/>
      <c r="U211" s="214"/>
      <c r="V211" s="34"/>
    </row>
    <row r="212" spans="1:22" x14ac:dyDescent="0.35">
      <c r="A212" s="46"/>
      <c r="B212" s="211"/>
      <c r="C212" s="211"/>
      <c r="D212" s="33"/>
      <c r="E212" s="33"/>
      <c r="F212" s="33"/>
      <c r="G212" s="33"/>
      <c r="H212" s="33"/>
      <c r="I212" s="212"/>
      <c r="J212" s="212"/>
      <c r="K212" s="46"/>
      <c r="L212" s="46"/>
      <c r="M212" s="213"/>
      <c r="N212" s="200"/>
      <c r="O212" s="46"/>
      <c r="P212" s="46"/>
      <c r="Q212" s="46"/>
      <c r="R212" s="46"/>
      <c r="S212" s="33"/>
      <c r="T212" s="34"/>
      <c r="U212" s="214"/>
      <c r="V212" s="34"/>
    </row>
    <row r="213" spans="1:22" x14ac:dyDescent="0.35">
      <c r="A213" s="46"/>
      <c r="B213" s="211"/>
      <c r="C213" s="211"/>
      <c r="D213" s="33"/>
      <c r="E213" s="33"/>
      <c r="F213" s="33"/>
      <c r="G213" s="33"/>
      <c r="H213" s="33"/>
      <c r="I213" s="212"/>
      <c r="J213" s="212"/>
      <c r="K213" s="46"/>
      <c r="L213" s="46"/>
      <c r="M213" s="213"/>
      <c r="N213" s="200"/>
      <c r="O213" s="46"/>
      <c r="P213" s="46"/>
      <c r="Q213" s="46"/>
      <c r="R213" s="46"/>
      <c r="S213" s="33"/>
      <c r="T213" s="34"/>
      <c r="U213" s="214"/>
      <c r="V213" s="34"/>
    </row>
    <row r="214" spans="1:22" x14ac:dyDescent="0.35">
      <c r="A214" s="46"/>
      <c r="B214" s="211"/>
      <c r="C214" s="211"/>
      <c r="D214" s="33"/>
      <c r="E214" s="33"/>
      <c r="F214" s="33"/>
      <c r="G214" s="33"/>
      <c r="H214" s="33"/>
      <c r="I214" s="212"/>
      <c r="J214" s="212"/>
      <c r="K214" s="46"/>
      <c r="L214" s="46"/>
      <c r="M214" s="213"/>
      <c r="N214" s="200"/>
      <c r="O214" s="46"/>
      <c r="P214" s="46"/>
      <c r="Q214" s="46"/>
      <c r="R214" s="46"/>
      <c r="S214" s="33"/>
      <c r="T214" s="34"/>
      <c r="U214" s="214"/>
      <c r="V214" s="34"/>
    </row>
    <row r="215" spans="1:22" x14ac:dyDescent="0.35">
      <c r="A215" s="46"/>
      <c r="B215" s="211"/>
      <c r="C215" s="211"/>
      <c r="D215" s="33"/>
      <c r="E215" s="33"/>
      <c r="F215" s="33"/>
      <c r="G215" s="33"/>
      <c r="H215" s="33"/>
      <c r="I215" s="212"/>
      <c r="J215" s="212"/>
      <c r="K215" s="46"/>
      <c r="L215" s="46"/>
      <c r="M215" s="213"/>
      <c r="N215" s="200"/>
      <c r="O215" s="46"/>
      <c r="P215" s="46"/>
      <c r="Q215" s="46"/>
      <c r="R215" s="46"/>
      <c r="S215" s="33"/>
      <c r="T215" s="34"/>
      <c r="U215" s="214"/>
      <c r="V215" s="34"/>
    </row>
    <row r="216" spans="1:22" x14ac:dyDescent="0.35">
      <c r="A216" s="46"/>
      <c r="B216" s="211"/>
      <c r="C216" s="211"/>
      <c r="D216" s="33"/>
      <c r="E216" s="33"/>
      <c r="F216" s="33"/>
      <c r="G216" s="33"/>
      <c r="H216" s="33"/>
      <c r="I216" s="212"/>
      <c r="J216" s="212"/>
      <c r="K216" s="46"/>
      <c r="L216" s="46"/>
      <c r="M216" s="213"/>
      <c r="N216" s="200"/>
      <c r="O216" s="46"/>
      <c r="P216" s="46"/>
      <c r="Q216" s="46"/>
      <c r="R216" s="46"/>
      <c r="S216" s="33"/>
      <c r="T216" s="34"/>
      <c r="U216" s="214"/>
      <c r="V216" s="34"/>
    </row>
    <row r="217" spans="1:22" x14ac:dyDescent="0.35">
      <c r="A217" s="46"/>
      <c r="B217" s="211"/>
      <c r="C217" s="211"/>
      <c r="D217" s="33"/>
      <c r="E217" s="33"/>
      <c r="F217" s="33"/>
      <c r="G217" s="33"/>
      <c r="H217" s="33"/>
      <c r="I217" s="212"/>
      <c r="J217" s="212"/>
      <c r="K217" s="46"/>
      <c r="L217" s="46"/>
      <c r="M217" s="213"/>
      <c r="N217" s="200"/>
      <c r="O217" s="46"/>
      <c r="P217" s="46"/>
      <c r="Q217" s="46"/>
      <c r="R217" s="46"/>
      <c r="S217" s="33"/>
      <c r="T217" s="34"/>
      <c r="U217" s="214"/>
      <c r="V217" s="34"/>
    </row>
    <row r="218" spans="1:22" x14ac:dyDescent="0.35">
      <c r="A218" s="46"/>
      <c r="B218" s="211"/>
      <c r="C218" s="211"/>
      <c r="D218" s="33"/>
      <c r="E218" s="33"/>
      <c r="F218" s="33"/>
      <c r="G218" s="33"/>
      <c r="H218" s="33"/>
      <c r="I218" s="212"/>
      <c r="J218" s="212"/>
      <c r="K218" s="46"/>
      <c r="L218" s="46"/>
      <c r="M218" s="213"/>
      <c r="N218" s="200"/>
      <c r="O218" s="46"/>
      <c r="P218" s="46"/>
      <c r="Q218" s="46"/>
      <c r="R218" s="46"/>
      <c r="S218" s="33"/>
      <c r="T218" s="34"/>
      <c r="U218" s="214"/>
      <c r="V218" s="34"/>
    </row>
    <row r="219" spans="1:22" x14ac:dyDescent="0.35">
      <c r="A219" s="46"/>
      <c r="B219" s="211"/>
      <c r="C219" s="211"/>
      <c r="D219" s="33"/>
      <c r="E219" s="33"/>
      <c r="F219" s="33"/>
      <c r="G219" s="33"/>
      <c r="H219" s="33"/>
      <c r="I219" s="212"/>
      <c r="J219" s="212"/>
      <c r="K219" s="46"/>
      <c r="L219" s="46"/>
      <c r="M219" s="213"/>
      <c r="N219" s="200"/>
      <c r="O219" s="46"/>
      <c r="P219" s="46"/>
      <c r="Q219" s="46"/>
      <c r="R219" s="46"/>
      <c r="S219" s="33"/>
      <c r="T219" s="34"/>
      <c r="U219" s="214"/>
      <c r="V219" s="34"/>
    </row>
    <row r="220" spans="1:22" x14ac:dyDescent="0.35">
      <c r="A220" s="46"/>
      <c r="B220" s="211"/>
      <c r="C220" s="211"/>
      <c r="D220" s="33"/>
      <c r="E220" s="33"/>
      <c r="F220" s="33"/>
      <c r="G220" s="33"/>
      <c r="H220" s="33"/>
      <c r="I220" s="212"/>
      <c r="J220" s="212"/>
      <c r="K220" s="46"/>
      <c r="L220" s="46"/>
      <c r="M220" s="213"/>
      <c r="N220" s="200"/>
      <c r="O220" s="46"/>
      <c r="P220" s="46"/>
      <c r="Q220" s="46"/>
      <c r="R220" s="46"/>
      <c r="S220" s="33"/>
      <c r="T220" s="34"/>
      <c r="U220" s="214"/>
      <c r="V220" s="34"/>
    </row>
    <row r="221" spans="1:22" x14ac:dyDescent="0.35">
      <c r="A221" s="46"/>
      <c r="B221" s="211"/>
      <c r="C221" s="211"/>
      <c r="D221" s="33"/>
      <c r="E221" s="33"/>
      <c r="F221" s="33"/>
      <c r="G221" s="33"/>
      <c r="H221" s="33"/>
      <c r="I221" s="212"/>
      <c r="J221" s="212"/>
      <c r="K221" s="46"/>
      <c r="L221" s="46"/>
      <c r="M221" s="213"/>
      <c r="N221" s="200"/>
      <c r="O221" s="46"/>
      <c r="P221" s="46"/>
      <c r="Q221" s="46"/>
      <c r="R221" s="46"/>
      <c r="S221" s="33"/>
      <c r="T221" s="34"/>
      <c r="U221" s="214"/>
      <c r="V221" s="34"/>
    </row>
    <row r="222" spans="1:22" x14ac:dyDescent="0.35">
      <c r="A222" s="46"/>
      <c r="B222" s="211"/>
      <c r="C222" s="211"/>
      <c r="D222" s="33"/>
      <c r="E222" s="33"/>
      <c r="F222" s="33"/>
      <c r="G222" s="33"/>
      <c r="H222" s="33"/>
      <c r="I222" s="212"/>
      <c r="J222" s="212"/>
      <c r="K222" s="46"/>
      <c r="L222" s="46"/>
      <c r="M222" s="213"/>
      <c r="N222" s="200"/>
      <c r="O222" s="46"/>
      <c r="P222" s="46"/>
      <c r="Q222" s="46"/>
      <c r="R222" s="46"/>
      <c r="S222" s="33"/>
      <c r="T222" s="34"/>
      <c r="U222" s="214"/>
      <c r="V222" s="34"/>
    </row>
    <row r="223" spans="1:22" x14ac:dyDescent="0.35">
      <c r="A223" s="46"/>
      <c r="B223" s="211"/>
      <c r="C223" s="211"/>
      <c r="D223" s="33"/>
      <c r="E223" s="33"/>
      <c r="F223" s="33"/>
      <c r="G223" s="33"/>
      <c r="H223" s="33"/>
      <c r="I223" s="212"/>
      <c r="J223" s="212"/>
      <c r="K223" s="46"/>
      <c r="L223" s="46"/>
      <c r="M223" s="213"/>
      <c r="N223" s="200"/>
      <c r="O223" s="46"/>
      <c r="P223" s="46"/>
      <c r="Q223" s="46"/>
      <c r="R223" s="46"/>
      <c r="S223" s="33"/>
      <c r="T223" s="34"/>
      <c r="U223" s="214"/>
      <c r="V223" s="34"/>
    </row>
    <row r="224" spans="1:22" x14ac:dyDescent="0.35">
      <c r="A224" s="46"/>
      <c r="B224" s="211"/>
      <c r="C224" s="211"/>
      <c r="D224" s="33"/>
      <c r="E224" s="33"/>
      <c r="F224" s="33"/>
      <c r="G224" s="33"/>
      <c r="H224" s="33"/>
      <c r="I224" s="212"/>
      <c r="J224" s="212"/>
      <c r="K224" s="46"/>
      <c r="L224" s="46"/>
      <c r="M224" s="213"/>
      <c r="N224" s="200"/>
      <c r="O224" s="46"/>
      <c r="P224" s="46"/>
      <c r="Q224" s="46"/>
      <c r="R224" s="46"/>
      <c r="S224" s="33"/>
      <c r="T224" s="34"/>
      <c r="U224" s="214"/>
      <c r="V224" s="34"/>
    </row>
    <row r="225" spans="1:22" x14ac:dyDescent="0.35">
      <c r="A225" s="46"/>
      <c r="B225" s="211"/>
      <c r="C225" s="211"/>
      <c r="D225" s="33"/>
      <c r="E225" s="33"/>
      <c r="F225" s="33"/>
      <c r="G225" s="33"/>
      <c r="H225" s="33"/>
      <c r="I225" s="212"/>
      <c r="J225" s="212"/>
      <c r="K225" s="46"/>
      <c r="L225" s="46"/>
      <c r="M225" s="213"/>
      <c r="N225" s="200"/>
      <c r="O225" s="46"/>
      <c r="P225" s="46"/>
      <c r="Q225" s="46"/>
      <c r="R225" s="46"/>
      <c r="S225" s="33"/>
      <c r="T225" s="34"/>
      <c r="U225" s="214"/>
      <c r="V225" s="34"/>
    </row>
    <row r="226" spans="1:22" x14ac:dyDescent="0.35">
      <c r="A226" s="46"/>
      <c r="B226" s="211"/>
      <c r="C226" s="211"/>
      <c r="D226" s="33"/>
      <c r="E226" s="33"/>
      <c r="F226" s="33"/>
      <c r="G226" s="33"/>
      <c r="H226" s="33"/>
      <c r="I226" s="212"/>
      <c r="J226" s="212"/>
      <c r="K226" s="46"/>
      <c r="L226" s="46"/>
      <c r="M226" s="213"/>
      <c r="N226" s="200"/>
      <c r="O226" s="46"/>
      <c r="P226" s="46"/>
      <c r="Q226" s="46"/>
      <c r="R226" s="46"/>
      <c r="S226" s="33"/>
      <c r="T226" s="34"/>
      <c r="U226" s="214"/>
      <c r="V226" s="34"/>
    </row>
    <row r="227" spans="1:22" x14ac:dyDescent="0.35">
      <c r="A227" s="46"/>
      <c r="B227" s="211"/>
      <c r="C227" s="211"/>
      <c r="D227" s="33"/>
      <c r="E227" s="33"/>
      <c r="F227" s="33"/>
      <c r="G227" s="33"/>
      <c r="H227" s="33"/>
      <c r="I227" s="212"/>
      <c r="J227" s="212"/>
      <c r="K227" s="46"/>
      <c r="L227" s="46"/>
      <c r="M227" s="213"/>
      <c r="N227" s="200"/>
      <c r="O227" s="46"/>
      <c r="P227" s="46"/>
      <c r="Q227" s="46"/>
      <c r="R227" s="46"/>
      <c r="S227" s="33"/>
      <c r="T227" s="34"/>
      <c r="U227" s="214"/>
      <c r="V227" s="34"/>
    </row>
    <row r="228" spans="1:22" x14ac:dyDescent="0.35">
      <c r="A228" s="46"/>
      <c r="B228" s="211"/>
      <c r="C228" s="211"/>
      <c r="D228" s="33"/>
      <c r="E228" s="33"/>
      <c r="F228" s="33"/>
      <c r="G228" s="33"/>
      <c r="H228" s="33"/>
      <c r="I228" s="212"/>
      <c r="J228" s="212"/>
      <c r="K228" s="46"/>
      <c r="L228" s="46"/>
      <c r="M228" s="213"/>
      <c r="N228" s="200"/>
      <c r="O228" s="46"/>
      <c r="P228" s="46"/>
      <c r="Q228" s="46"/>
      <c r="R228" s="46"/>
      <c r="S228" s="33"/>
      <c r="T228" s="34"/>
      <c r="U228" s="214"/>
      <c r="V228" s="34"/>
    </row>
    <row r="229" spans="1:22" x14ac:dyDescent="0.35">
      <c r="A229" s="46"/>
      <c r="B229" s="211"/>
      <c r="C229" s="211"/>
      <c r="D229" s="33"/>
      <c r="E229" s="33"/>
      <c r="F229" s="33"/>
      <c r="G229" s="33"/>
      <c r="H229" s="33"/>
      <c r="I229" s="212"/>
      <c r="J229" s="212"/>
      <c r="K229" s="46"/>
      <c r="L229" s="46"/>
      <c r="M229" s="213"/>
      <c r="N229" s="200"/>
      <c r="O229" s="46"/>
      <c r="P229" s="46"/>
      <c r="Q229" s="46"/>
      <c r="R229" s="46"/>
      <c r="S229" s="33"/>
      <c r="T229" s="34"/>
      <c r="U229" s="214"/>
      <c r="V229" s="34"/>
    </row>
    <row r="230" spans="1:22" x14ac:dyDescent="0.35">
      <c r="A230" s="46"/>
      <c r="B230" s="211"/>
      <c r="C230" s="211"/>
      <c r="D230" s="33"/>
      <c r="E230" s="33"/>
      <c r="F230" s="33"/>
      <c r="G230" s="33"/>
      <c r="H230" s="33"/>
      <c r="I230" s="212"/>
      <c r="J230" s="212"/>
      <c r="K230" s="46"/>
      <c r="L230" s="46"/>
      <c r="M230" s="213"/>
      <c r="N230" s="200"/>
      <c r="O230" s="46"/>
      <c r="P230" s="46"/>
      <c r="Q230" s="46"/>
      <c r="R230" s="46"/>
      <c r="S230" s="33"/>
      <c r="T230" s="34"/>
      <c r="U230" s="214"/>
      <c r="V230" s="34"/>
    </row>
    <row r="231" spans="1:22" x14ac:dyDescent="0.35">
      <c r="A231" s="46"/>
      <c r="B231" s="211"/>
      <c r="C231" s="211"/>
      <c r="D231" s="33"/>
      <c r="E231" s="33"/>
      <c r="F231" s="33"/>
      <c r="G231" s="33"/>
      <c r="H231" s="33"/>
      <c r="I231" s="212"/>
      <c r="J231" s="212"/>
      <c r="K231" s="46"/>
      <c r="L231" s="46"/>
      <c r="M231" s="213"/>
      <c r="N231" s="200"/>
      <c r="O231" s="46"/>
      <c r="P231" s="46"/>
      <c r="Q231" s="46"/>
      <c r="R231" s="46"/>
      <c r="S231" s="33"/>
      <c r="T231" s="34"/>
      <c r="U231" s="214"/>
      <c r="V231" s="34"/>
    </row>
    <row r="232" spans="1:22" x14ac:dyDescent="0.35">
      <c r="A232" s="46"/>
      <c r="B232" s="211"/>
      <c r="C232" s="211"/>
      <c r="D232" s="33"/>
      <c r="E232" s="33"/>
      <c r="F232" s="33"/>
      <c r="G232" s="33"/>
      <c r="H232" s="33"/>
      <c r="I232" s="212"/>
      <c r="J232" s="212"/>
      <c r="K232" s="46"/>
      <c r="L232" s="46"/>
      <c r="M232" s="213"/>
      <c r="N232" s="200"/>
      <c r="O232" s="46"/>
      <c r="P232" s="46"/>
      <c r="Q232" s="46"/>
      <c r="R232" s="46"/>
      <c r="S232" s="33"/>
      <c r="T232" s="34"/>
      <c r="U232" s="214"/>
      <c r="V232" s="34"/>
    </row>
    <row r="233" spans="1:22" x14ac:dyDescent="0.35">
      <c r="A233" s="46"/>
      <c r="B233" s="211"/>
      <c r="C233" s="211"/>
      <c r="D233" s="33"/>
      <c r="E233" s="33"/>
      <c r="F233" s="33"/>
      <c r="G233" s="33"/>
      <c r="H233" s="33"/>
      <c r="I233" s="212"/>
      <c r="J233" s="212"/>
      <c r="K233" s="46"/>
      <c r="L233" s="46"/>
      <c r="M233" s="213"/>
      <c r="N233" s="200"/>
      <c r="O233" s="46"/>
      <c r="P233" s="46"/>
      <c r="Q233" s="46"/>
      <c r="R233" s="46"/>
      <c r="S233" s="33"/>
      <c r="T233" s="34"/>
      <c r="U233" s="214"/>
      <c r="V233" s="34"/>
    </row>
    <row r="234" spans="1:22" x14ac:dyDescent="0.35">
      <c r="A234" s="46"/>
      <c r="B234" s="211"/>
      <c r="C234" s="211"/>
      <c r="D234" s="33"/>
      <c r="E234" s="33"/>
      <c r="F234" s="33"/>
      <c r="G234" s="33"/>
      <c r="H234" s="33"/>
      <c r="I234" s="212"/>
      <c r="J234" s="212"/>
      <c r="K234" s="46"/>
      <c r="L234" s="46"/>
      <c r="M234" s="213"/>
      <c r="N234" s="200"/>
      <c r="O234" s="46"/>
      <c r="P234" s="46"/>
      <c r="Q234" s="46"/>
      <c r="R234" s="46"/>
      <c r="S234" s="33"/>
      <c r="T234" s="34"/>
      <c r="U234" s="214"/>
      <c r="V234" s="34"/>
    </row>
    <row r="235" spans="1:22" x14ac:dyDescent="0.35">
      <c r="A235" s="46"/>
      <c r="B235" s="211"/>
      <c r="C235" s="211"/>
      <c r="D235" s="33"/>
      <c r="E235" s="33"/>
      <c r="F235" s="33"/>
      <c r="G235" s="33"/>
      <c r="H235" s="33"/>
      <c r="I235" s="212"/>
      <c r="J235" s="212"/>
      <c r="K235" s="46"/>
      <c r="L235" s="46"/>
      <c r="M235" s="213"/>
      <c r="N235" s="200"/>
      <c r="O235" s="46"/>
      <c r="P235" s="46"/>
      <c r="Q235" s="46"/>
      <c r="R235" s="46"/>
      <c r="S235" s="33"/>
      <c r="T235" s="34"/>
      <c r="U235" s="214"/>
      <c r="V235" s="34"/>
    </row>
    <row r="236" spans="1:22" x14ac:dyDescent="0.35">
      <c r="A236" s="46"/>
      <c r="B236" s="211"/>
      <c r="C236" s="211"/>
      <c r="D236" s="33"/>
      <c r="E236" s="33"/>
      <c r="F236" s="33"/>
      <c r="G236" s="33"/>
      <c r="H236" s="33"/>
      <c r="I236" s="212"/>
      <c r="J236" s="212"/>
      <c r="K236" s="46"/>
      <c r="L236" s="46"/>
      <c r="M236" s="213"/>
      <c r="N236" s="200"/>
      <c r="O236" s="46"/>
      <c r="P236" s="46"/>
      <c r="Q236" s="46"/>
      <c r="R236" s="46"/>
      <c r="S236" s="33"/>
      <c r="T236" s="34"/>
      <c r="U236" s="214"/>
      <c r="V236" s="34"/>
    </row>
    <row r="237" spans="1:22" x14ac:dyDescent="0.35">
      <c r="A237" s="46"/>
      <c r="B237" s="211"/>
      <c r="C237" s="211"/>
      <c r="D237" s="33"/>
      <c r="E237" s="33"/>
      <c r="F237" s="33"/>
      <c r="G237" s="33"/>
      <c r="H237" s="33"/>
      <c r="I237" s="212"/>
      <c r="J237" s="212"/>
      <c r="K237" s="46"/>
      <c r="L237" s="46"/>
      <c r="M237" s="213"/>
      <c r="N237" s="200"/>
      <c r="O237" s="46"/>
      <c r="P237" s="46"/>
      <c r="Q237" s="46"/>
      <c r="R237" s="46"/>
      <c r="S237" s="33"/>
      <c r="T237" s="34"/>
      <c r="U237" s="214"/>
      <c r="V237" s="34"/>
    </row>
    <row r="238" spans="1:22" x14ac:dyDescent="0.35">
      <c r="A238" s="46"/>
      <c r="B238" s="211"/>
      <c r="C238" s="211"/>
      <c r="D238" s="33"/>
      <c r="E238" s="33"/>
      <c r="F238" s="33"/>
      <c r="G238" s="33"/>
      <c r="H238" s="33"/>
      <c r="I238" s="212"/>
      <c r="J238" s="212"/>
      <c r="K238" s="46"/>
      <c r="L238" s="46"/>
      <c r="M238" s="213"/>
      <c r="N238" s="200"/>
      <c r="O238" s="46"/>
      <c r="P238" s="46"/>
      <c r="Q238" s="46"/>
      <c r="R238" s="46"/>
      <c r="S238" s="33"/>
      <c r="T238" s="34"/>
      <c r="U238" s="214"/>
      <c r="V238" s="34"/>
    </row>
    <row r="239" spans="1:22" x14ac:dyDescent="0.35">
      <c r="A239" s="46"/>
      <c r="B239" s="211"/>
      <c r="C239" s="211"/>
      <c r="D239" s="33"/>
      <c r="E239" s="33"/>
      <c r="F239" s="33"/>
      <c r="G239" s="33"/>
      <c r="H239" s="33"/>
      <c r="I239" s="212"/>
      <c r="J239" s="212"/>
      <c r="K239" s="46"/>
      <c r="L239" s="46"/>
      <c r="M239" s="213"/>
      <c r="N239" s="200"/>
      <c r="O239" s="46"/>
      <c r="P239" s="46"/>
      <c r="Q239" s="46"/>
      <c r="R239" s="46"/>
      <c r="S239" s="33"/>
      <c r="T239" s="34"/>
      <c r="U239" s="214"/>
      <c r="V239" s="34"/>
    </row>
    <row r="240" spans="1:22" x14ac:dyDescent="0.35">
      <c r="A240" s="46"/>
      <c r="B240" s="211"/>
      <c r="C240" s="211"/>
      <c r="D240" s="33"/>
      <c r="E240" s="33"/>
      <c r="F240" s="33"/>
      <c r="G240" s="33"/>
      <c r="H240" s="33"/>
      <c r="I240" s="212"/>
      <c r="J240" s="212"/>
      <c r="K240" s="46"/>
      <c r="L240" s="46"/>
      <c r="M240" s="213"/>
      <c r="N240" s="200"/>
      <c r="O240" s="46"/>
      <c r="P240" s="46"/>
      <c r="Q240" s="46"/>
      <c r="R240" s="46"/>
      <c r="S240" s="33"/>
      <c r="T240" s="34"/>
      <c r="U240" s="214"/>
      <c r="V240" s="34"/>
    </row>
    <row r="241" spans="1:22" x14ac:dyDescent="0.35">
      <c r="A241" s="46"/>
      <c r="B241" s="211"/>
      <c r="C241" s="211"/>
      <c r="D241" s="33"/>
      <c r="E241" s="33"/>
      <c r="F241" s="33"/>
      <c r="G241" s="33"/>
      <c r="H241" s="33"/>
      <c r="I241" s="212"/>
      <c r="J241" s="212"/>
      <c r="K241" s="46"/>
      <c r="L241" s="46"/>
      <c r="M241" s="213"/>
      <c r="N241" s="200"/>
      <c r="O241" s="46"/>
      <c r="P241" s="46"/>
      <c r="Q241" s="46"/>
      <c r="R241" s="46"/>
      <c r="S241" s="33"/>
      <c r="T241" s="34"/>
      <c r="U241" s="214"/>
      <c r="V241" s="34"/>
    </row>
    <row r="242" spans="1:22" x14ac:dyDescent="0.35">
      <c r="A242" s="46"/>
      <c r="B242" s="211"/>
      <c r="C242" s="211"/>
      <c r="D242" s="33"/>
      <c r="E242" s="33"/>
      <c r="F242" s="33"/>
      <c r="G242" s="33"/>
      <c r="H242" s="33"/>
      <c r="I242" s="212"/>
      <c r="J242" s="212"/>
      <c r="K242" s="46"/>
      <c r="L242" s="46"/>
      <c r="M242" s="213"/>
      <c r="N242" s="200"/>
      <c r="O242" s="46"/>
      <c r="P242" s="46"/>
      <c r="Q242" s="46"/>
      <c r="R242" s="46"/>
      <c r="S242" s="33"/>
      <c r="T242" s="34"/>
      <c r="U242" s="214"/>
      <c r="V242" s="34"/>
    </row>
    <row r="243" spans="1:22" x14ac:dyDescent="0.35">
      <c r="A243" s="46"/>
      <c r="B243" s="211"/>
      <c r="C243" s="211"/>
      <c r="D243" s="33"/>
      <c r="E243" s="33"/>
      <c r="F243" s="33"/>
      <c r="G243" s="33"/>
      <c r="H243" s="33"/>
      <c r="I243" s="212"/>
      <c r="J243" s="212"/>
      <c r="K243" s="46"/>
      <c r="L243" s="46"/>
      <c r="M243" s="213"/>
      <c r="N243" s="200"/>
      <c r="O243" s="46"/>
      <c r="P243" s="46"/>
      <c r="Q243" s="46"/>
      <c r="R243" s="46"/>
      <c r="S243" s="33"/>
      <c r="T243" s="34"/>
      <c r="U243" s="214"/>
      <c r="V243" s="34"/>
    </row>
    <row r="244" spans="1:22" x14ac:dyDescent="0.35">
      <c r="A244" s="46"/>
      <c r="B244" s="211"/>
      <c r="C244" s="211"/>
      <c r="D244" s="33"/>
      <c r="E244" s="33"/>
      <c r="F244" s="33"/>
      <c r="G244" s="33"/>
      <c r="H244" s="33"/>
      <c r="I244" s="212"/>
      <c r="J244" s="212"/>
      <c r="K244" s="46"/>
      <c r="L244" s="46"/>
      <c r="M244" s="213"/>
      <c r="N244" s="200"/>
      <c r="O244" s="46"/>
      <c r="P244" s="46"/>
      <c r="Q244" s="46"/>
      <c r="R244" s="46"/>
      <c r="S244" s="33"/>
      <c r="T244" s="34"/>
      <c r="U244" s="214"/>
      <c r="V244" s="34"/>
    </row>
    <row r="245" spans="1:22" x14ac:dyDescent="0.35">
      <c r="A245" s="46"/>
      <c r="B245" s="211"/>
      <c r="C245" s="211"/>
      <c r="D245" s="33"/>
      <c r="E245" s="33"/>
      <c r="F245" s="33"/>
      <c r="G245" s="33"/>
      <c r="H245" s="33"/>
      <c r="I245" s="212"/>
      <c r="J245" s="212"/>
      <c r="K245" s="46"/>
      <c r="L245" s="46"/>
      <c r="M245" s="213"/>
      <c r="N245" s="200"/>
      <c r="O245" s="46"/>
      <c r="P245" s="46"/>
      <c r="Q245" s="46"/>
      <c r="R245" s="46"/>
      <c r="S245" s="33"/>
      <c r="T245" s="34"/>
      <c r="U245" s="214"/>
      <c r="V245" s="34"/>
    </row>
    <row r="246" spans="1:22" x14ac:dyDescent="0.35">
      <c r="A246" s="46"/>
      <c r="B246" s="211"/>
      <c r="C246" s="211"/>
      <c r="D246" s="33"/>
      <c r="E246" s="33"/>
      <c r="F246" s="33"/>
      <c r="G246" s="33"/>
      <c r="H246" s="33"/>
      <c r="I246" s="212"/>
      <c r="J246" s="212"/>
      <c r="K246" s="46"/>
      <c r="L246" s="46"/>
      <c r="M246" s="213"/>
      <c r="N246" s="200"/>
      <c r="O246" s="46"/>
      <c r="P246" s="46"/>
      <c r="Q246" s="46"/>
      <c r="R246" s="46"/>
      <c r="S246" s="33"/>
      <c r="T246" s="34"/>
      <c r="U246" s="214"/>
      <c r="V246" s="34"/>
    </row>
    <row r="247" spans="1:22" x14ac:dyDescent="0.35">
      <c r="A247" s="46"/>
      <c r="B247" s="211"/>
      <c r="C247" s="211"/>
      <c r="D247" s="33"/>
      <c r="E247" s="33"/>
      <c r="F247" s="33"/>
      <c r="G247" s="33"/>
      <c r="H247" s="33"/>
      <c r="I247" s="212"/>
      <c r="J247" s="212"/>
      <c r="K247" s="46"/>
      <c r="L247" s="46"/>
      <c r="M247" s="213"/>
      <c r="N247" s="200"/>
      <c r="O247" s="46"/>
      <c r="P247" s="46"/>
      <c r="Q247" s="46"/>
      <c r="R247" s="46"/>
      <c r="S247" s="33"/>
      <c r="T247" s="34"/>
      <c r="U247" s="214"/>
      <c r="V247" s="34"/>
    </row>
    <row r="248" spans="1:22" x14ac:dyDescent="0.35">
      <c r="A248" s="46"/>
      <c r="B248" s="211"/>
      <c r="C248" s="211"/>
      <c r="D248" s="33"/>
      <c r="E248" s="33"/>
      <c r="F248" s="33"/>
      <c r="G248" s="33"/>
      <c r="H248" s="33"/>
      <c r="I248" s="212"/>
      <c r="J248" s="212"/>
      <c r="K248" s="46"/>
      <c r="L248" s="46"/>
      <c r="M248" s="213"/>
      <c r="N248" s="200"/>
      <c r="O248" s="46"/>
      <c r="P248" s="46"/>
      <c r="Q248" s="46"/>
      <c r="R248" s="46"/>
      <c r="S248" s="33"/>
      <c r="T248" s="34"/>
      <c r="U248" s="214"/>
      <c r="V248" s="34"/>
    </row>
    <row r="249" spans="1:22" x14ac:dyDescent="0.35">
      <c r="A249" s="46"/>
      <c r="B249" s="211"/>
      <c r="C249" s="211"/>
      <c r="D249" s="33"/>
      <c r="E249" s="33"/>
      <c r="F249" s="33"/>
      <c r="G249" s="33"/>
      <c r="H249" s="33"/>
      <c r="I249" s="212"/>
      <c r="J249" s="212"/>
      <c r="K249" s="46"/>
      <c r="L249" s="46"/>
      <c r="M249" s="213"/>
      <c r="N249" s="200"/>
      <c r="O249" s="46"/>
      <c r="P249" s="46"/>
      <c r="Q249" s="46"/>
      <c r="R249" s="46"/>
      <c r="S249" s="33"/>
      <c r="T249" s="34"/>
      <c r="U249" s="214"/>
      <c r="V249" s="34"/>
    </row>
    <row r="250" spans="1:22" x14ac:dyDescent="0.35">
      <c r="A250" s="46"/>
      <c r="B250" s="211"/>
      <c r="C250" s="211"/>
      <c r="D250" s="33"/>
      <c r="E250" s="33"/>
      <c r="F250" s="33"/>
      <c r="G250" s="33"/>
      <c r="H250" s="33"/>
      <c r="I250" s="212"/>
      <c r="J250" s="212"/>
      <c r="K250" s="46"/>
      <c r="L250" s="46"/>
      <c r="M250" s="213"/>
      <c r="N250" s="200"/>
      <c r="O250" s="46"/>
      <c r="P250" s="46"/>
      <c r="Q250" s="46"/>
      <c r="R250" s="46"/>
      <c r="S250" s="33"/>
      <c r="T250" s="34"/>
      <c r="U250" s="214"/>
      <c r="V250" s="34"/>
    </row>
    <row r="251" spans="1:22" x14ac:dyDescent="0.35">
      <c r="A251" s="46"/>
      <c r="B251" s="211"/>
      <c r="C251" s="211"/>
      <c r="D251" s="33"/>
      <c r="E251" s="33"/>
      <c r="F251" s="33"/>
      <c r="G251" s="33"/>
      <c r="H251" s="33"/>
      <c r="I251" s="212"/>
      <c r="J251" s="212"/>
      <c r="K251" s="46"/>
      <c r="L251" s="46"/>
      <c r="M251" s="213"/>
      <c r="N251" s="200"/>
      <c r="O251" s="46"/>
      <c r="P251" s="46"/>
      <c r="Q251" s="46"/>
      <c r="R251" s="46"/>
      <c r="S251" s="33"/>
      <c r="T251" s="34"/>
      <c r="U251" s="214"/>
      <c r="V251" s="34"/>
    </row>
    <row r="252" spans="1:22" x14ac:dyDescent="0.35">
      <c r="A252" s="46"/>
      <c r="B252" s="211"/>
      <c r="C252" s="211"/>
      <c r="D252" s="33"/>
      <c r="E252" s="33"/>
      <c r="F252" s="33"/>
      <c r="G252" s="33"/>
      <c r="H252" s="33"/>
      <c r="I252" s="212"/>
      <c r="J252" s="212"/>
      <c r="K252" s="46"/>
      <c r="L252" s="46"/>
      <c r="M252" s="213"/>
      <c r="N252" s="200"/>
      <c r="O252" s="46"/>
      <c r="P252" s="46"/>
      <c r="Q252" s="46"/>
      <c r="R252" s="46"/>
      <c r="S252" s="33"/>
      <c r="T252" s="34"/>
      <c r="U252" s="214"/>
      <c r="V252" s="34"/>
    </row>
    <row r="253" spans="1:22" x14ac:dyDescent="0.35">
      <c r="A253" s="46"/>
      <c r="B253" s="211"/>
      <c r="C253" s="211"/>
      <c r="D253" s="33"/>
      <c r="E253" s="33"/>
      <c r="F253" s="33"/>
      <c r="G253" s="33"/>
      <c r="H253" s="33"/>
      <c r="I253" s="212"/>
      <c r="J253" s="212"/>
      <c r="K253" s="46"/>
      <c r="L253" s="46"/>
      <c r="M253" s="213"/>
      <c r="N253" s="200"/>
      <c r="O253" s="46"/>
      <c r="P253" s="46"/>
      <c r="Q253" s="46"/>
      <c r="R253" s="46"/>
      <c r="S253" s="33"/>
      <c r="T253" s="34"/>
      <c r="U253" s="214"/>
      <c r="V253" s="34"/>
    </row>
    <row r="254" spans="1:22" x14ac:dyDescent="0.35">
      <c r="A254" s="46"/>
      <c r="B254" s="211"/>
      <c r="C254" s="211"/>
      <c r="D254" s="33"/>
      <c r="E254" s="33"/>
      <c r="F254" s="33"/>
      <c r="G254" s="33"/>
      <c r="H254" s="33"/>
      <c r="I254" s="212"/>
      <c r="J254" s="212"/>
      <c r="K254" s="46"/>
      <c r="L254" s="46"/>
      <c r="M254" s="213"/>
      <c r="N254" s="200"/>
      <c r="O254" s="46"/>
      <c r="P254" s="46"/>
      <c r="Q254" s="46"/>
      <c r="R254" s="46"/>
      <c r="S254" s="33"/>
      <c r="T254" s="34"/>
      <c r="U254" s="214"/>
      <c r="V254" s="34"/>
    </row>
    <row r="255" spans="1:22" x14ac:dyDescent="0.35">
      <c r="A255" s="46"/>
      <c r="B255" s="211"/>
      <c r="C255" s="211"/>
      <c r="D255" s="33"/>
      <c r="E255" s="33"/>
      <c r="F255" s="33"/>
      <c r="G255" s="33"/>
      <c r="H255" s="33"/>
      <c r="I255" s="212"/>
      <c r="J255" s="212"/>
      <c r="K255" s="46"/>
      <c r="L255" s="46"/>
      <c r="M255" s="213"/>
      <c r="N255" s="200"/>
      <c r="O255" s="46"/>
      <c r="P255" s="46"/>
      <c r="Q255" s="46"/>
      <c r="R255" s="46"/>
      <c r="S255" s="33"/>
      <c r="T255" s="34"/>
      <c r="U255" s="214"/>
      <c r="V255" s="34"/>
    </row>
    <row r="256" spans="1:22" x14ac:dyDescent="0.35">
      <c r="A256" s="46"/>
      <c r="B256" s="211"/>
      <c r="C256" s="211"/>
      <c r="D256" s="33"/>
      <c r="E256" s="33"/>
      <c r="F256" s="33"/>
      <c r="G256" s="33"/>
      <c r="H256" s="33"/>
      <c r="I256" s="212"/>
      <c r="J256" s="212"/>
      <c r="K256" s="46"/>
      <c r="L256" s="46"/>
      <c r="M256" s="213"/>
      <c r="N256" s="200"/>
      <c r="O256" s="46"/>
      <c r="P256" s="46"/>
      <c r="Q256" s="46"/>
      <c r="R256" s="46"/>
      <c r="S256" s="33"/>
      <c r="T256" s="34"/>
      <c r="U256" s="214"/>
      <c r="V256" s="34"/>
    </row>
    <row r="257" spans="1:22" x14ac:dyDescent="0.35">
      <c r="A257" s="46"/>
      <c r="B257" s="211"/>
      <c r="C257" s="211"/>
      <c r="D257" s="33"/>
      <c r="E257" s="33"/>
      <c r="F257" s="33"/>
      <c r="G257" s="33"/>
      <c r="H257" s="33"/>
      <c r="I257" s="212"/>
      <c r="J257" s="212"/>
      <c r="K257" s="46"/>
      <c r="L257" s="46"/>
      <c r="M257" s="213"/>
      <c r="N257" s="200"/>
      <c r="O257" s="46"/>
      <c r="P257" s="46"/>
      <c r="Q257" s="46"/>
      <c r="R257" s="46"/>
      <c r="S257" s="33"/>
      <c r="T257" s="34"/>
      <c r="U257" s="214"/>
      <c r="V257" s="34"/>
    </row>
    <row r="258" spans="1:22" x14ac:dyDescent="0.35">
      <c r="A258" s="46"/>
      <c r="B258" s="211"/>
      <c r="C258" s="211"/>
      <c r="D258" s="33"/>
      <c r="E258" s="33"/>
      <c r="F258" s="33"/>
      <c r="G258" s="33"/>
      <c r="H258" s="33"/>
      <c r="I258" s="212"/>
      <c r="J258" s="212"/>
      <c r="K258" s="46"/>
      <c r="L258" s="46"/>
      <c r="M258" s="213"/>
      <c r="N258" s="200"/>
      <c r="O258" s="46"/>
      <c r="P258" s="46"/>
      <c r="Q258" s="46"/>
      <c r="R258" s="46"/>
      <c r="S258" s="33"/>
      <c r="T258" s="34"/>
      <c r="U258" s="214"/>
      <c r="V258" s="34"/>
    </row>
    <row r="259" spans="1:22" x14ac:dyDescent="0.35">
      <c r="A259" s="46"/>
      <c r="B259" s="211"/>
      <c r="C259" s="211"/>
      <c r="D259" s="33"/>
      <c r="E259" s="33"/>
      <c r="F259" s="33"/>
      <c r="G259" s="33"/>
      <c r="H259" s="33"/>
      <c r="I259" s="212"/>
      <c r="J259" s="212"/>
      <c r="K259" s="46"/>
      <c r="L259" s="46"/>
      <c r="M259" s="213"/>
      <c r="N259" s="200"/>
      <c r="O259" s="46"/>
      <c r="P259" s="46"/>
      <c r="Q259" s="46"/>
      <c r="R259" s="46"/>
      <c r="S259" s="33"/>
      <c r="T259" s="34"/>
      <c r="U259" s="214"/>
      <c r="V259" s="34"/>
    </row>
    <row r="260" spans="1:22" x14ac:dyDescent="0.35">
      <c r="A260" s="46"/>
      <c r="B260" s="211"/>
      <c r="C260" s="211"/>
      <c r="D260" s="33"/>
      <c r="E260" s="33"/>
      <c r="F260" s="33"/>
      <c r="G260" s="33"/>
      <c r="H260" s="33"/>
      <c r="I260" s="212"/>
      <c r="J260" s="212"/>
      <c r="K260" s="46"/>
      <c r="L260" s="46"/>
      <c r="M260" s="213"/>
      <c r="N260" s="200"/>
      <c r="O260" s="46"/>
      <c r="P260" s="46"/>
      <c r="Q260" s="46"/>
      <c r="R260" s="46"/>
      <c r="S260" s="33"/>
      <c r="T260" s="34"/>
      <c r="U260" s="214"/>
      <c r="V260" s="34"/>
    </row>
    <row r="261" spans="1:22" x14ac:dyDescent="0.35">
      <c r="A261" s="46"/>
      <c r="B261" s="211"/>
      <c r="C261" s="211"/>
      <c r="D261" s="33"/>
      <c r="E261" s="33"/>
      <c r="F261" s="33"/>
      <c r="G261" s="33"/>
      <c r="H261" s="33"/>
      <c r="I261" s="212"/>
      <c r="J261" s="212"/>
      <c r="K261" s="46"/>
      <c r="L261" s="46"/>
      <c r="M261" s="213"/>
      <c r="N261" s="200"/>
      <c r="O261" s="46"/>
      <c r="P261" s="46"/>
      <c r="Q261" s="46"/>
      <c r="R261" s="46"/>
      <c r="S261" s="33"/>
      <c r="T261" s="34"/>
      <c r="U261" s="214"/>
      <c r="V261" s="34"/>
    </row>
    <row r="262" spans="1:22" x14ac:dyDescent="0.35">
      <c r="A262" s="46"/>
      <c r="B262" s="211"/>
      <c r="C262" s="211"/>
      <c r="D262" s="33"/>
      <c r="E262" s="33"/>
      <c r="F262" s="33"/>
      <c r="G262" s="33"/>
      <c r="H262" s="33"/>
      <c r="I262" s="212"/>
      <c r="J262" s="212"/>
      <c r="K262" s="46"/>
      <c r="L262" s="46"/>
      <c r="M262" s="213"/>
      <c r="N262" s="200"/>
      <c r="O262" s="46"/>
      <c r="P262" s="46"/>
      <c r="Q262" s="46"/>
      <c r="R262" s="46"/>
      <c r="S262" s="33"/>
      <c r="T262" s="34"/>
      <c r="U262" s="214"/>
      <c r="V262" s="34"/>
    </row>
    <row r="263" spans="1:22" x14ac:dyDescent="0.35">
      <c r="A263" s="46"/>
      <c r="B263" s="211"/>
      <c r="C263" s="211"/>
      <c r="D263" s="33"/>
      <c r="E263" s="33"/>
      <c r="F263" s="33"/>
      <c r="G263" s="33"/>
      <c r="H263" s="33"/>
      <c r="I263" s="212"/>
      <c r="J263" s="212"/>
      <c r="K263" s="46"/>
      <c r="L263" s="46"/>
      <c r="M263" s="213"/>
      <c r="N263" s="200"/>
      <c r="O263" s="46"/>
      <c r="P263" s="46"/>
      <c r="Q263" s="46"/>
      <c r="R263" s="46"/>
      <c r="S263" s="33"/>
      <c r="T263" s="34"/>
      <c r="U263" s="214"/>
      <c r="V263" s="34"/>
    </row>
    <row r="264" spans="1:22" x14ac:dyDescent="0.35">
      <c r="A264" s="46"/>
      <c r="B264" s="211"/>
      <c r="C264" s="211"/>
      <c r="D264" s="33"/>
      <c r="E264" s="33"/>
      <c r="F264" s="33"/>
      <c r="G264" s="33"/>
      <c r="H264" s="33"/>
      <c r="I264" s="212"/>
      <c r="J264" s="212"/>
      <c r="K264" s="46"/>
      <c r="L264" s="46"/>
      <c r="M264" s="213"/>
      <c r="N264" s="200"/>
      <c r="O264" s="46"/>
      <c r="P264" s="46"/>
      <c r="Q264" s="46"/>
      <c r="R264" s="46"/>
      <c r="S264" s="33"/>
      <c r="T264" s="34"/>
      <c r="U264" s="214"/>
      <c r="V264" s="34"/>
    </row>
    <row r="265" spans="1:22" x14ac:dyDescent="0.35">
      <c r="A265" s="46"/>
      <c r="B265" s="211"/>
      <c r="C265" s="211"/>
      <c r="D265" s="33"/>
      <c r="E265" s="33"/>
      <c r="F265" s="33"/>
      <c r="G265" s="33"/>
      <c r="H265" s="33"/>
      <c r="I265" s="212"/>
      <c r="J265" s="212"/>
      <c r="K265" s="46"/>
      <c r="L265" s="46"/>
      <c r="M265" s="213"/>
      <c r="N265" s="200"/>
      <c r="O265" s="46"/>
      <c r="P265" s="46"/>
      <c r="Q265" s="46"/>
      <c r="R265" s="46"/>
      <c r="S265" s="33"/>
      <c r="T265" s="34"/>
      <c r="U265" s="214"/>
      <c r="V265" s="34"/>
    </row>
    <row r="266" spans="1:22" x14ac:dyDescent="0.35">
      <c r="A266" s="46"/>
      <c r="B266" s="211"/>
      <c r="C266" s="211"/>
      <c r="D266" s="33"/>
      <c r="E266" s="33"/>
      <c r="F266" s="33"/>
      <c r="G266" s="33"/>
      <c r="H266" s="33"/>
      <c r="I266" s="212"/>
      <c r="J266" s="212"/>
      <c r="K266" s="46"/>
      <c r="L266" s="46"/>
      <c r="M266" s="213"/>
      <c r="N266" s="200"/>
      <c r="O266" s="46"/>
      <c r="P266" s="46"/>
      <c r="Q266" s="46"/>
      <c r="R266" s="46"/>
      <c r="S266" s="33"/>
      <c r="T266" s="34"/>
      <c r="U266" s="214"/>
      <c r="V266" s="34"/>
    </row>
    <row r="267" spans="1:22" x14ac:dyDescent="0.35">
      <c r="A267" s="46"/>
      <c r="B267" s="211"/>
      <c r="C267" s="211"/>
      <c r="D267" s="33"/>
      <c r="E267" s="33"/>
      <c r="F267" s="33"/>
      <c r="G267" s="33"/>
      <c r="H267" s="33"/>
      <c r="I267" s="212"/>
      <c r="J267" s="212"/>
      <c r="K267" s="46"/>
      <c r="L267" s="46"/>
      <c r="M267" s="213"/>
      <c r="N267" s="200"/>
      <c r="O267" s="46"/>
      <c r="P267" s="46"/>
      <c r="Q267" s="46"/>
      <c r="R267" s="46"/>
      <c r="S267" s="33"/>
      <c r="T267" s="34"/>
      <c r="U267" s="214"/>
      <c r="V267" s="34"/>
    </row>
    <row r="268" spans="1:22" x14ac:dyDescent="0.35">
      <c r="A268" s="46"/>
      <c r="B268" s="211"/>
      <c r="C268" s="211"/>
      <c r="D268" s="33"/>
      <c r="E268" s="33"/>
      <c r="F268" s="33"/>
      <c r="G268" s="33"/>
      <c r="H268" s="33"/>
      <c r="I268" s="212"/>
      <c r="J268" s="212"/>
      <c r="K268" s="46"/>
      <c r="L268" s="46"/>
      <c r="M268" s="213"/>
      <c r="N268" s="200"/>
      <c r="O268" s="46"/>
      <c r="P268" s="46"/>
      <c r="Q268" s="46"/>
      <c r="R268" s="46"/>
      <c r="S268" s="33"/>
      <c r="T268" s="34"/>
      <c r="U268" s="214"/>
      <c r="V268" s="34"/>
    </row>
    <row r="269" spans="1:22" x14ac:dyDescent="0.35">
      <c r="A269" s="46"/>
      <c r="B269" s="211"/>
      <c r="C269" s="211"/>
      <c r="D269" s="33"/>
      <c r="E269" s="33"/>
      <c r="F269" s="33"/>
      <c r="G269" s="33"/>
      <c r="H269" s="33"/>
      <c r="I269" s="212"/>
      <c r="J269" s="212"/>
      <c r="K269" s="46"/>
      <c r="L269" s="46"/>
      <c r="M269" s="213"/>
      <c r="N269" s="200"/>
      <c r="O269" s="46"/>
      <c r="P269" s="46"/>
      <c r="Q269" s="46"/>
      <c r="R269" s="46"/>
      <c r="S269" s="33"/>
      <c r="T269" s="34"/>
      <c r="U269" s="214"/>
      <c r="V269" s="34"/>
    </row>
    <row r="270" spans="1:22" x14ac:dyDescent="0.35">
      <c r="A270" s="46"/>
      <c r="B270" s="211"/>
      <c r="C270" s="211"/>
      <c r="D270" s="33"/>
      <c r="E270" s="33"/>
      <c r="F270" s="33"/>
      <c r="G270" s="33"/>
      <c r="H270" s="33"/>
      <c r="I270" s="212"/>
      <c r="J270" s="212"/>
      <c r="K270" s="46"/>
      <c r="L270" s="46"/>
      <c r="M270" s="213"/>
      <c r="N270" s="200"/>
      <c r="O270" s="46"/>
      <c r="P270" s="46"/>
      <c r="Q270" s="46"/>
      <c r="R270" s="46"/>
      <c r="S270" s="33"/>
      <c r="T270" s="34"/>
      <c r="U270" s="214"/>
      <c r="V270" s="34"/>
    </row>
    <row r="271" spans="1:22" x14ac:dyDescent="0.35">
      <c r="A271" s="46"/>
      <c r="B271" s="211"/>
      <c r="C271" s="211"/>
      <c r="D271" s="33"/>
      <c r="E271" s="33"/>
      <c r="F271" s="33"/>
      <c r="G271" s="33"/>
      <c r="H271" s="33"/>
      <c r="I271" s="212"/>
      <c r="J271" s="212"/>
      <c r="K271" s="46"/>
      <c r="L271" s="46"/>
      <c r="M271" s="213"/>
      <c r="N271" s="200"/>
      <c r="O271" s="46"/>
      <c r="P271" s="46"/>
      <c r="Q271" s="46"/>
      <c r="R271" s="46"/>
      <c r="S271" s="33"/>
      <c r="T271" s="34"/>
      <c r="U271" s="214"/>
      <c r="V271" s="34"/>
    </row>
    <row r="272" spans="1:22" x14ac:dyDescent="0.35">
      <c r="A272" s="46"/>
      <c r="B272" s="211"/>
      <c r="C272" s="211"/>
      <c r="D272" s="33"/>
      <c r="E272" s="33"/>
      <c r="F272" s="33"/>
      <c r="G272" s="33"/>
      <c r="H272" s="33"/>
      <c r="I272" s="212"/>
      <c r="J272" s="212"/>
      <c r="K272" s="46"/>
      <c r="L272" s="46"/>
      <c r="M272" s="213"/>
      <c r="N272" s="200"/>
      <c r="O272" s="46"/>
      <c r="P272" s="46"/>
      <c r="Q272" s="46"/>
      <c r="R272" s="46"/>
      <c r="S272" s="33"/>
      <c r="T272" s="34"/>
      <c r="U272" s="214"/>
      <c r="V272" s="34"/>
    </row>
    <row r="273" spans="1:22" x14ac:dyDescent="0.35">
      <c r="A273" s="46"/>
      <c r="B273" s="211"/>
      <c r="C273" s="211"/>
      <c r="D273" s="33"/>
      <c r="E273" s="33"/>
      <c r="F273" s="33"/>
      <c r="G273" s="33"/>
      <c r="H273" s="33"/>
      <c r="I273" s="212"/>
      <c r="J273" s="212"/>
      <c r="K273" s="46"/>
      <c r="L273" s="46"/>
      <c r="M273" s="213"/>
      <c r="N273" s="200"/>
      <c r="O273" s="46"/>
      <c r="P273" s="46"/>
      <c r="Q273" s="46"/>
      <c r="R273" s="46"/>
      <c r="S273" s="33"/>
      <c r="T273" s="34"/>
      <c r="U273" s="214"/>
      <c r="V273" s="34"/>
    </row>
    <row r="274" spans="1:22" x14ac:dyDescent="0.35">
      <c r="A274" s="46"/>
      <c r="B274" s="211"/>
      <c r="C274" s="211"/>
      <c r="D274" s="33"/>
      <c r="E274" s="33"/>
      <c r="F274" s="33"/>
      <c r="G274" s="33"/>
      <c r="H274" s="33"/>
      <c r="I274" s="212"/>
      <c r="J274" s="212"/>
      <c r="K274" s="46"/>
      <c r="L274" s="46"/>
      <c r="M274" s="213"/>
      <c r="N274" s="200"/>
      <c r="O274" s="46"/>
      <c r="P274" s="46"/>
      <c r="Q274" s="46"/>
      <c r="R274" s="46"/>
      <c r="S274" s="33"/>
      <c r="T274" s="34"/>
      <c r="U274" s="214"/>
      <c r="V274" s="34"/>
    </row>
    <row r="275" spans="1:22" x14ac:dyDescent="0.35">
      <c r="A275" s="46"/>
      <c r="B275" s="211"/>
      <c r="C275" s="211"/>
      <c r="D275" s="33"/>
      <c r="E275" s="33"/>
      <c r="F275" s="33"/>
      <c r="G275" s="33"/>
      <c r="H275" s="33"/>
      <c r="I275" s="212"/>
      <c r="J275" s="212"/>
      <c r="K275" s="46"/>
      <c r="L275" s="46"/>
      <c r="M275" s="213"/>
      <c r="N275" s="200"/>
      <c r="O275" s="46"/>
      <c r="P275" s="46"/>
      <c r="Q275" s="46"/>
      <c r="R275" s="46"/>
      <c r="S275" s="33"/>
      <c r="T275" s="34"/>
      <c r="U275" s="214"/>
      <c r="V275" s="34"/>
    </row>
    <row r="276" spans="1:22" x14ac:dyDescent="0.35">
      <c r="A276" s="46"/>
      <c r="B276" s="211"/>
      <c r="C276" s="211"/>
      <c r="D276" s="33"/>
      <c r="E276" s="33"/>
      <c r="F276" s="33"/>
      <c r="G276" s="33"/>
      <c r="H276" s="33"/>
      <c r="I276" s="212"/>
      <c r="J276" s="212"/>
      <c r="K276" s="46"/>
      <c r="L276" s="46"/>
      <c r="M276" s="213"/>
      <c r="N276" s="200"/>
      <c r="O276" s="46"/>
      <c r="P276" s="46"/>
      <c r="Q276" s="46"/>
      <c r="R276" s="46"/>
      <c r="S276" s="33"/>
      <c r="T276" s="34"/>
      <c r="U276" s="214"/>
      <c r="V276" s="34"/>
    </row>
    <row r="277" spans="1:22" x14ac:dyDescent="0.35">
      <c r="A277" s="46"/>
      <c r="B277" s="211"/>
      <c r="C277" s="211"/>
      <c r="D277" s="33"/>
      <c r="E277" s="33"/>
      <c r="F277" s="33"/>
      <c r="G277" s="33"/>
      <c r="H277" s="33"/>
      <c r="I277" s="212"/>
      <c r="J277" s="212"/>
      <c r="K277" s="46"/>
      <c r="L277" s="46"/>
      <c r="M277" s="213"/>
      <c r="N277" s="200"/>
      <c r="O277" s="46"/>
      <c r="P277" s="46"/>
      <c r="Q277" s="46"/>
      <c r="R277" s="46"/>
      <c r="S277" s="33"/>
      <c r="T277" s="34"/>
      <c r="U277" s="214"/>
      <c r="V277" s="34"/>
    </row>
    <row r="278" spans="1:22" x14ac:dyDescent="0.35">
      <c r="A278" s="46"/>
      <c r="B278" s="211"/>
      <c r="C278" s="211"/>
      <c r="D278" s="33"/>
      <c r="E278" s="33"/>
      <c r="F278" s="33"/>
      <c r="G278" s="33"/>
      <c r="H278" s="33"/>
      <c r="I278" s="212"/>
      <c r="J278" s="212"/>
      <c r="K278" s="46"/>
      <c r="L278" s="46"/>
      <c r="M278" s="213"/>
      <c r="N278" s="200"/>
      <c r="O278" s="46"/>
      <c r="P278" s="46"/>
      <c r="Q278" s="46"/>
      <c r="R278" s="46"/>
      <c r="S278" s="33"/>
      <c r="T278" s="34"/>
      <c r="U278" s="214"/>
      <c r="V278" s="34"/>
    </row>
    <row r="279" spans="1:22" x14ac:dyDescent="0.35">
      <c r="A279" s="46"/>
      <c r="B279" s="211"/>
      <c r="C279" s="211"/>
      <c r="D279" s="33"/>
      <c r="E279" s="33"/>
      <c r="F279" s="33"/>
      <c r="G279" s="33"/>
      <c r="H279" s="33"/>
      <c r="I279" s="212"/>
      <c r="J279" s="212"/>
      <c r="K279" s="46"/>
      <c r="L279" s="46"/>
      <c r="M279" s="213"/>
      <c r="N279" s="200"/>
      <c r="O279" s="46"/>
      <c r="P279" s="46"/>
      <c r="Q279" s="46"/>
      <c r="R279" s="46"/>
      <c r="S279" s="33"/>
      <c r="T279" s="34"/>
      <c r="U279" s="214"/>
      <c r="V279" s="34"/>
    </row>
    <row r="280" spans="1:22" x14ac:dyDescent="0.35">
      <c r="A280" s="46"/>
      <c r="B280" s="211"/>
      <c r="C280" s="211"/>
      <c r="D280" s="33"/>
      <c r="E280" s="33"/>
      <c r="F280" s="33"/>
      <c r="G280" s="33"/>
      <c r="H280" s="33"/>
      <c r="I280" s="212"/>
      <c r="J280" s="212"/>
      <c r="K280" s="46"/>
      <c r="L280" s="46"/>
      <c r="M280" s="213"/>
      <c r="N280" s="200"/>
      <c r="O280" s="46"/>
      <c r="P280" s="46"/>
      <c r="Q280" s="46"/>
      <c r="R280" s="46"/>
      <c r="S280" s="33"/>
      <c r="T280" s="34"/>
      <c r="U280" s="214"/>
      <c r="V280" s="34"/>
    </row>
    <row r="281" spans="1:22" x14ac:dyDescent="0.35">
      <c r="A281" s="46"/>
      <c r="B281" s="211"/>
      <c r="C281" s="211"/>
      <c r="D281" s="33"/>
      <c r="E281" s="33"/>
      <c r="F281" s="33"/>
      <c r="G281" s="33"/>
      <c r="H281" s="33"/>
      <c r="I281" s="212"/>
      <c r="J281" s="212"/>
      <c r="K281" s="46"/>
      <c r="L281" s="46"/>
      <c r="M281" s="213"/>
      <c r="N281" s="200"/>
      <c r="O281" s="46"/>
      <c r="P281" s="46"/>
      <c r="Q281" s="46"/>
      <c r="R281" s="46"/>
      <c r="S281" s="33"/>
      <c r="T281" s="34"/>
      <c r="U281" s="214"/>
      <c r="V281" s="34"/>
    </row>
    <row r="282" spans="1:22" x14ac:dyDescent="0.35">
      <c r="A282" s="46"/>
      <c r="B282" s="211"/>
      <c r="C282" s="211"/>
      <c r="D282" s="33"/>
      <c r="E282" s="33"/>
      <c r="F282" s="33"/>
      <c r="G282" s="33"/>
      <c r="H282" s="33"/>
      <c r="I282" s="212"/>
      <c r="J282" s="212"/>
      <c r="K282" s="46"/>
      <c r="L282" s="46"/>
      <c r="M282" s="213"/>
      <c r="N282" s="200"/>
      <c r="O282" s="46"/>
      <c r="P282" s="46"/>
      <c r="Q282" s="46"/>
      <c r="R282" s="46"/>
      <c r="S282" s="33"/>
      <c r="T282" s="34"/>
      <c r="U282" s="214"/>
      <c r="V282" s="34"/>
    </row>
    <row r="283" spans="1:22" x14ac:dyDescent="0.35">
      <c r="A283" s="46"/>
      <c r="B283" s="211"/>
      <c r="C283" s="211"/>
      <c r="D283" s="33"/>
      <c r="E283" s="33"/>
      <c r="F283" s="33"/>
      <c r="G283" s="33"/>
      <c r="H283" s="33"/>
      <c r="I283" s="212"/>
      <c r="J283" s="212"/>
      <c r="K283" s="46"/>
      <c r="L283" s="46"/>
      <c r="M283" s="213"/>
      <c r="N283" s="200"/>
      <c r="O283" s="46"/>
      <c r="P283" s="46"/>
      <c r="Q283" s="46"/>
      <c r="R283" s="46"/>
      <c r="S283" s="33"/>
      <c r="T283" s="34"/>
      <c r="U283" s="214"/>
      <c r="V283" s="34"/>
    </row>
    <row r="284" spans="1:22" x14ac:dyDescent="0.35">
      <c r="A284" s="46"/>
      <c r="B284" s="211"/>
      <c r="C284" s="211"/>
      <c r="D284" s="33"/>
      <c r="E284" s="33"/>
      <c r="F284" s="33"/>
      <c r="G284" s="33"/>
      <c r="H284" s="33"/>
      <c r="I284" s="212"/>
      <c r="J284" s="212"/>
      <c r="K284" s="46"/>
      <c r="L284" s="46"/>
      <c r="M284" s="213"/>
      <c r="N284" s="200"/>
      <c r="O284" s="46"/>
      <c r="P284" s="46"/>
      <c r="Q284" s="46"/>
      <c r="R284" s="46"/>
      <c r="S284" s="33"/>
      <c r="T284" s="34"/>
      <c r="U284" s="214"/>
      <c r="V284" s="34"/>
    </row>
    <row r="285" spans="1:22" x14ac:dyDescent="0.35">
      <c r="A285" s="46"/>
      <c r="B285" s="211"/>
      <c r="C285" s="211"/>
      <c r="D285" s="33"/>
      <c r="E285" s="33"/>
      <c r="F285" s="33"/>
      <c r="G285" s="33"/>
      <c r="H285" s="33"/>
      <c r="I285" s="212"/>
      <c r="J285" s="212"/>
      <c r="K285" s="46"/>
      <c r="L285" s="46"/>
      <c r="M285" s="213"/>
      <c r="N285" s="200"/>
      <c r="O285" s="46"/>
      <c r="P285" s="46"/>
      <c r="Q285" s="46"/>
      <c r="R285" s="46"/>
      <c r="S285" s="33"/>
      <c r="T285" s="34"/>
      <c r="U285" s="214"/>
      <c r="V285" s="34"/>
    </row>
    <row r="286" spans="1:22" x14ac:dyDescent="0.35">
      <c r="A286" s="46"/>
      <c r="B286" s="211"/>
      <c r="C286" s="211"/>
      <c r="D286" s="33"/>
      <c r="E286" s="33"/>
      <c r="F286" s="33"/>
      <c r="G286" s="33"/>
      <c r="H286" s="33"/>
      <c r="I286" s="212"/>
      <c r="J286" s="212"/>
      <c r="K286" s="46"/>
      <c r="L286" s="46"/>
      <c r="M286" s="213"/>
      <c r="N286" s="200"/>
      <c r="O286" s="46"/>
      <c r="P286" s="46"/>
      <c r="Q286" s="46"/>
      <c r="R286" s="46"/>
      <c r="S286" s="33"/>
      <c r="T286" s="34"/>
      <c r="U286" s="214"/>
      <c r="V286" s="34"/>
    </row>
    <row r="287" spans="1:22" x14ac:dyDescent="0.35">
      <c r="A287" s="46"/>
      <c r="B287" s="211"/>
      <c r="C287" s="211"/>
      <c r="D287" s="33"/>
      <c r="E287" s="33"/>
      <c r="F287" s="33"/>
      <c r="G287" s="33"/>
      <c r="H287" s="33"/>
      <c r="I287" s="212"/>
      <c r="J287" s="212"/>
      <c r="K287" s="46"/>
      <c r="L287" s="46"/>
      <c r="M287" s="213"/>
      <c r="N287" s="200"/>
      <c r="O287" s="46"/>
      <c r="P287" s="46"/>
      <c r="Q287" s="46"/>
      <c r="R287" s="46"/>
      <c r="S287" s="33"/>
      <c r="T287" s="34"/>
      <c r="U287" s="214"/>
      <c r="V287" s="34"/>
    </row>
    <row r="288" spans="1:22" x14ac:dyDescent="0.35">
      <c r="A288" s="46"/>
      <c r="B288" s="211"/>
      <c r="C288" s="211"/>
      <c r="D288" s="33"/>
      <c r="E288" s="33"/>
      <c r="F288" s="33"/>
      <c r="G288" s="33"/>
      <c r="H288" s="33"/>
      <c r="I288" s="212"/>
      <c r="J288" s="212"/>
      <c r="K288" s="46"/>
      <c r="L288" s="46"/>
      <c r="M288" s="213"/>
      <c r="N288" s="200"/>
      <c r="O288" s="46"/>
      <c r="P288" s="46"/>
      <c r="Q288" s="46"/>
      <c r="R288" s="46"/>
      <c r="S288" s="33"/>
      <c r="T288" s="34"/>
      <c r="U288" s="214"/>
      <c r="V288" s="34"/>
    </row>
    <row r="289" spans="1:22" x14ac:dyDescent="0.35">
      <c r="A289" s="46"/>
      <c r="B289" s="211"/>
      <c r="C289" s="211"/>
      <c r="D289" s="33"/>
      <c r="E289" s="33"/>
      <c r="F289" s="33"/>
      <c r="G289" s="33"/>
      <c r="H289" s="33"/>
      <c r="I289" s="212"/>
      <c r="J289" s="212"/>
      <c r="K289" s="46"/>
      <c r="L289" s="46"/>
      <c r="M289" s="213"/>
      <c r="N289" s="200"/>
      <c r="O289" s="46"/>
      <c r="P289" s="46"/>
      <c r="Q289" s="46"/>
      <c r="R289" s="46"/>
      <c r="S289" s="33"/>
      <c r="T289" s="34"/>
      <c r="U289" s="214"/>
      <c r="V289" s="34"/>
    </row>
    <row r="290" spans="1:22" x14ac:dyDescent="0.35">
      <c r="A290" s="46"/>
      <c r="B290" s="211"/>
      <c r="C290" s="211"/>
      <c r="D290" s="33"/>
      <c r="E290" s="33"/>
      <c r="F290" s="33"/>
      <c r="G290" s="33"/>
      <c r="H290" s="33"/>
      <c r="I290" s="212"/>
      <c r="J290" s="212"/>
      <c r="K290" s="46"/>
      <c r="L290" s="46"/>
      <c r="M290" s="213"/>
      <c r="N290" s="200"/>
      <c r="O290" s="46"/>
      <c r="P290" s="46"/>
      <c r="Q290" s="46"/>
      <c r="R290" s="46"/>
      <c r="S290" s="33"/>
      <c r="T290" s="34"/>
      <c r="U290" s="214"/>
      <c r="V290" s="34"/>
    </row>
    <row r="291" spans="1:22" x14ac:dyDescent="0.35">
      <c r="A291" s="46"/>
      <c r="B291" s="211"/>
      <c r="C291" s="211"/>
      <c r="D291" s="33"/>
      <c r="E291" s="33"/>
      <c r="F291" s="33"/>
      <c r="G291" s="33"/>
      <c r="H291" s="33"/>
      <c r="I291" s="212"/>
      <c r="J291" s="212"/>
      <c r="K291" s="46"/>
      <c r="L291" s="46"/>
      <c r="M291" s="213"/>
      <c r="N291" s="200"/>
      <c r="O291" s="46"/>
      <c r="P291" s="46"/>
      <c r="Q291" s="46"/>
      <c r="R291" s="46"/>
      <c r="S291" s="33"/>
      <c r="T291" s="34"/>
      <c r="U291" s="214"/>
      <c r="V291" s="34"/>
    </row>
    <row r="292" spans="1:22" x14ac:dyDescent="0.35">
      <c r="A292" s="46"/>
      <c r="B292" s="211"/>
      <c r="C292" s="211"/>
      <c r="D292" s="33"/>
      <c r="E292" s="33"/>
      <c r="F292" s="33"/>
      <c r="G292" s="33"/>
      <c r="H292" s="33"/>
      <c r="I292" s="212"/>
      <c r="J292" s="212"/>
      <c r="K292" s="46"/>
      <c r="L292" s="46"/>
      <c r="M292" s="213"/>
      <c r="N292" s="200"/>
      <c r="O292" s="46"/>
      <c r="P292" s="46"/>
      <c r="Q292" s="46"/>
      <c r="R292" s="46"/>
      <c r="S292" s="33"/>
      <c r="T292" s="34"/>
      <c r="U292" s="214"/>
      <c r="V292" s="34"/>
    </row>
    <row r="293" spans="1:22" x14ac:dyDescent="0.35">
      <c r="A293" s="46"/>
      <c r="B293" s="211"/>
      <c r="C293" s="211"/>
      <c r="D293" s="33"/>
      <c r="E293" s="33"/>
      <c r="F293" s="33"/>
      <c r="G293" s="33"/>
      <c r="H293" s="33"/>
      <c r="I293" s="212"/>
      <c r="J293" s="212"/>
      <c r="K293" s="46"/>
      <c r="L293" s="46"/>
      <c r="M293" s="213"/>
      <c r="N293" s="200"/>
      <c r="O293" s="46"/>
      <c r="P293" s="46"/>
      <c r="Q293" s="46"/>
      <c r="R293" s="46"/>
      <c r="S293" s="33"/>
      <c r="T293" s="34"/>
      <c r="U293" s="214"/>
      <c r="V293" s="34"/>
    </row>
    <row r="294" spans="1:22" x14ac:dyDescent="0.35">
      <c r="A294" s="46"/>
      <c r="B294" s="211"/>
      <c r="C294" s="211"/>
      <c r="D294" s="33"/>
      <c r="E294" s="33"/>
      <c r="F294" s="33"/>
      <c r="G294" s="33"/>
      <c r="H294" s="33"/>
      <c r="I294" s="212"/>
      <c r="J294" s="212"/>
      <c r="K294" s="46"/>
      <c r="L294" s="46"/>
      <c r="M294" s="213"/>
      <c r="N294" s="200"/>
      <c r="O294" s="46"/>
      <c r="P294" s="46"/>
      <c r="Q294" s="46"/>
      <c r="R294" s="46"/>
      <c r="S294" s="33"/>
      <c r="T294" s="34"/>
      <c r="U294" s="214"/>
      <c r="V294" s="34"/>
    </row>
    <row r="295" spans="1:22" x14ac:dyDescent="0.35">
      <c r="A295" s="46"/>
      <c r="B295" s="211"/>
      <c r="C295" s="211"/>
      <c r="D295" s="33"/>
      <c r="E295" s="33"/>
      <c r="F295" s="33"/>
      <c r="G295" s="33"/>
      <c r="H295" s="33"/>
      <c r="I295" s="212"/>
      <c r="J295" s="212"/>
      <c r="K295" s="46"/>
      <c r="L295" s="46"/>
      <c r="M295" s="213"/>
      <c r="N295" s="200"/>
      <c r="O295" s="46"/>
      <c r="P295" s="46"/>
      <c r="Q295" s="46"/>
      <c r="R295" s="46"/>
      <c r="S295" s="33"/>
      <c r="T295" s="34"/>
      <c r="U295" s="214"/>
      <c r="V295" s="34"/>
    </row>
    <row r="296" spans="1:22" x14ac:dyDescent="0.35">
      <c r="A296" s="46"/>
      <c r="B296" s="211"/>
      <c r="C296" s="211"/>
      <c r="D296" s="33"/>
      <c r="E296" s="33"/>
      <c r="F296" s="33"/>
      <c r="G296" s="33"/>
      <c r="H296" s="33"/>
      <c r="I296" s="212"/>
      <c r="J296" s="212"/>
      <c r="K296" s="46"/>
      <c r="L296" s="46"/>
      <c r="M296" s="213"/>
      <c r="N296" s="200"/>
      <c r="O296" s="46"/>
      <c r="P296" s="46"/>
      <c r="Q296" s="46"/>
      <c r="R296" s="46"/>
      <c r="S296" s="33"/>
      <c r="T296" s="34"/>
      <c r="U296" s="214"/>
      <c r="V296" s="34"/>
    </row>
    <row r="297" spans="1:22" x14ac:dyDescent="0.35">
      <c r="A297" s="46"/>
      <c r="B297" s="211"/>
      <c r="C297" s="211"/>
      <c r="D297" s="33"/>
      <c r="E297" s="33"/>
      <c r="F297" s="33"/>
      <c r="G297" s="33"/>
      <c r="H297" s="33"/>
      <c r="I297" s="212"/>
      <c r="J297" s="212"/>
      <c r="K297" s="46"/>
      <c r="L297" s="46"/>
      <c r="M297" s="213"/>
      <c r="N297" s="200"/>
      <c r="O297" s="46"/>
      <c r="P297" s="46"/>
      <c r="Q297" s="46"/>
      <c r="R297" s="46"/>
      <c r="S297" s="33"/>
      <c r="T297" s="34"/>
      <c r="U297" s="214"/>
      <c r="V297" s="34"/>
    </row>
    <row r="298" spans="1:22" x14ac:dyDescent="0.35">
      <c r="A298" s="46"/>
      <c r="B298" s="211"/>
      <c r="C298" s="211"/>
      <c r="D298" s="33"/>
      <c r="E298" s="33"/>
      <c r="F298" s="33"/>
      <c r="G298" s="33"/>
      <c r="H298" s="33"/>
      <c r="I298" s="212"/>
      <c r="J298" s="212"/>
      <c r="K298" s="46"/>
      <c r="L298" s="46"/>
      <c r="M298" s="213"/>
      <c r="N298" s="200"/>
      <c r="O298" s="46"/>
      <c r="P298" s="46"/>
      <c r="Q298" s="46"/>
      <c r="R298" s="46"/>
      <c r="S298" s="33"/>
      <c r="T298" s="34"/>
      <c r="U298" s="214"/>
      <c r="V298" s="34"/>
    </row>
    <row r="299" spans="1:22" x14ac:dyDescent="0.35">
      <c r="A299" s="46"/>
      <c r="B299" s="211"/>
      <c r="C299" s="211"/>
      <c r="D299" s="33"/>
      <c r="E299" s="33"/>
      <c r="F299" s="33"/>
      <c r="G299" s="33"/>
      <c r="H299" s="33"/>
      <c r="I299" s="212"/>
      <c r="J299" s="212"/>
      <c r="K299" s="46"/>
      <c r="L299" s="46"/>
      <c r="M299" s="213"/>
      <c r="N299" s="200"/>
      <c r="O299" s="46"/>
      <c r="P299" s="46"/>
      <c r="Q299" s="46"/>
      <c r="R299" s="46"/>
      <c r="S299" s="33"/>
      <c r="T299" s="34"/>
      <c r="U299" s="214"/>
      <c r="V299" s="34"/>
    </row>
    <row r="300" spans="1:22" x14ac:dyDescent="0.35">
      <c r="A300" s="46"/>
      <c r="B300" s="211"/>
      <c r="C300" s="211"/>
      <c r="D300" s="33"/>
      <c r="E300" s="33"/>
      <c r="F300" s="33"/>
      <c r="G300" s="33"/>
      <c r="H300" s="33"/>
      <c r="I300" s="212"/>
      <c r="J300" s="212"/>
      <c r="K300" s="46"/>
      <c r="L300" s="46"/>
      <c r="M300" s="213"/>
      <c r="N300" s="200"/>
      <c r="O300" s="46"/>
      <c r="P300" s="46"/>
      <c r="Q300" s="46"/>
      <c r="R300" s="46"/>
      <c r="S300" s="33"/>
      <c r="T300" s="34"/>
      <c r="U300" s="214"/>
      <c r="V300" s="34"/>
    </row>
    <row r="301" spans="1:22" x14ac:dyDescent="0.35">
      <c r="A301" s="46"/>
      <c r="B301" s="211"/>
      <c r="C301" s="211"/>
      <c r="D301" s="33"/>
      <c r="E301" s="33"/>
      <c r="F301" s="33"/>
      <c r="G301" s="33"/>
      <c r="H301" s="33"/>
      <c r="I301" s="212"/>
      <c r="J301" s="212"/>
      <c r="K301" s="46"/>
      <c r="L301" s="46"/>
      <c r="M301" s="213"/>
      <c r="N301" s="200"/>
      <c r="O301" s="46"/>
      <c r="P301" s="46"/>
      <c r="Q301" s="46"/>
      <c r="R301" s="46"/>
      <c r="S301" s="33"/>
      <c r="T301" s="34"/>
      <c r="U301" s="214"/>
      <c r="V301" s="34"/>
    </row>
    <row r="302" spans="1:22" x14ac:dyDescent="0.35">
      <c r="A302" s="46"/>
      <c r="B302" s="211"/>
      <c r="C302" s="211"/>
      <c r="D302" s="33"/>
      <c r="E302" s="33"/>
      <c r="F302" s="33"/>
      <c r="G302" s="33"/>
      <c r="H302" s="33"/>
      <c r="I302" s="212"/>
      <c r="J302" s="212"/>
      <c r="K302" s="46"/>
      <c r="L302" s="46"/>
      <c r="M302" s="213"/>
      <c r="N302" s="200"/>
      <c r="O302" s="46"/>
      <c r="P302" s="46"/>
      <c r="Q302" s="46"/>
      <c r="R302" s="46"/>
      <c r="S302" s="33"/>
      <c r="T302" s="34"/>
      <c r="U302" s="214"/>
      <c r="V302" s="34"/>
    </row>
    <row r="303" spans="1:22" x14ac:dyDescent="0.35">
      <c r="A303" s="46"/>
      <c r="B303" s="211"/>
      <c r="C303" s="211"/>
      <c r="D303" s="33"/>
      <c r="E303" s="33"/>
      <c r="F303" s="33"/>
      <c r="G303" s="33"/>
      <c r="H303" s="33"/>
      <c r="I303" s="212"/>
      <c r="J303" s="212"/>
      <c r="K303" s="46"/>
      <c r="L303" s="46"/>
      <c r="M303" s="213"/>
      <c r="N303" s="200"/>
      <c r="O303" s="46"/>
      <c r="P303" s="46"/>
      <c r="Q303" s="46"/>
      <c r="R303" s="46"/>
      <c r="S303" s="33"/>
      <c r="T303" s="34"/>
      <c r="U303" s="214"/>
      <c r="V303" s="34"/>
    </row>
    <row r="304" spans="1:22" x14ac:dyDescent="0.35">
      <c r="A304" s="46"/>
      <c r="B304" s="211"/>
      <c r="C304" s="211"/>
      <c r="D304" s="33"/>
      <c r="E304" s="33"/>
      <c r="F304" s="33"/>
      <c r="G304" s="33"/>
      <c r="H304" s="33"/>
      <c r="I304" s="212"/>
      <c r="J304" s="212"/>
      <c r="K304" s="46"/>
      <c r="L304" s="46"/>
      <c r="M304" s="213"/>
      <c r="N304" s="200"/>
      <c r="O304" s="46"/>
      <c r="P304" s="46"/>
      <c r="Q304" s="46"/>
      <c r="R304" s="46"/>
      <c r="S304" s="33"/>
      <c r="T304" s="34"/>
      <c r="U304" s="214"/>
      <c r="V304" s="34"/>
    </row>
    <row r="305" spans="1:22" x14ac:dyDescent="0.35">
      <c r="A305" s="46"/>
      <c r="B305" s="211"/>
      <c r="C305" s="211"/>
      <c r="D305" s="33"/>
      <c r="E305" s="33"/>
      <c r="F305" s="33"/>
      <c r="G305" s="33"/>
      <c r="H305" s="33"/>
      <c r="I305" s="212"/>
      <c r="J305" s="212"/>
      <c r="K305" s="46"/>
      <c r="L305" s="46"/>
      <c r="M305" s="213"/>
      <c r="N305" s="200"/>
      <c r="O305" s="46"/>
      <c r="P305" s="46"/>
      <c r="Q305" s="46"/>
      <c r="R305" s="46"/>
      <c r="S305" s="33"/>
      <c r="T305" s="34"/>
      <c r="U305" s="214"/>
      <c r="V305" s="34"/>
    </row>
    <row r="306" spans="1:22" x14ac:dyDescent="0.35">
      <c r="A306" s="46"/>
      <c r="B306" s="211"/>
      <c r="C306" s="211"/>
      <c r="D306" s="33"/>
      <c r="E306" s="33"/>
      <c r="F306" s="33"/>
      <c r="G306" s="33"/>
      <c r="H306" s="33"/>
      <c r="I306" s="212"/>
      <c r="J306" s="212"/>
      <c r="K306" s="46"/>
      <c r="L306" s="46"/>
      <c r="M306" s="213"/>
      <c r="N306" s="200"/>
      <c r="O306" s="46"/>
      <c r="P306" s="46"/>
      <c r="Q306" s="46"/>
      <c r="R306" s="46"/>
      <c r="S306" s="33"/>
      <c r="T306" s="34"/>
      <c r="U306" s="214"/>
      <c r="V306" s="34"/>
    </row>
    <row r="307" spans="1:22" x14ac:dyDescent="0.35">
      <c r="A307" s="46"/>
      <c r="B307" s="211"/>
      <c r="C307" s="211"/>
      <c r="D307" s="33"/>
      <c r="E307" s="33"/>
      <c r="F307" s="33"/>
      <c r="G307" s="33"/>
      <c r="H307" s="33"/>
      <c r="I307" s="212"/>
      <c r="J307" s="212"/>
      <c r="K307" s="46"/>
      <c r="L307" s="46"/>
      <c r="M307" s="213"/>
      <c r="N307" s="200"/>
      <c r="O307" s="46"/>
      <c r="P307" s="46"/>
      <c r="Q307" s="46"/>
      <c r="R307" s="46"/>
      <c r="S307" s="33"/>
      <c r="T307" s="34"/>
      <c r="U307" s="214"/>
      <c r="V307" s="34"/>
    </row>
    <row r="308" spans="1:22" x14ac:dyDescent="0.35">
      <c r="A308" s="46"/>
      <c r="B308" s="211"/>
      <c r="C308" s="211"/>
      <c r="D308" s="33"/>
      <c r="E308" s="33"/>
      <c r="F308" s="33"/>
      <c r="G308" s="33"/>
      <c r="H308" s="33"/>
      <c r="I308" s="212"/>
      <c r="J308" s="212"/>
      <c r="K308" s="46"/>
      <c r="L308" s="46"/>
      <c r="M308" s="213"/>
      <c r="N308" s="200"/>
      <c r="O308" s="46"/>
      <c r="P308" s="46"/>
      <c r="Q308" s="46"/>
      <c r="R308" s="46"/>
      <c r="S308" s="33"/>
      <c r="T308" s="34"/>
      <c r="U308" s="214"/>
      <c r="V308" s="34"/>
    </row>
    <row r="309" spans="1:22" x14ac:dyDescent="0.35">
      <c r="A309" s="46"/>
      <c r="B309" s="211"/>
      <c r="C309" s="211"/>
      <c r="D309" s="33"/>
      <c r="E309" s="33"/>
      <c r="F309" s="33"/>
      <c r="G309" s="33"/>
      <c r="H309" s="33"/>
      <c r="I309" s="212"/>
      <c r="J309" s="212"/>
      <c r="K309" s="46"/>
      <c r="L309" s="46"/>
      <c r="M309" s="213"/>
      <c r="N309" s="200"/>
      <c r="O309" s="46"/>
      <c r="P309" s="46"/>
      <c r="Q309" s="46"/>
      <c r="R309" s="46"/>
      <c r="S309" s="33"/>
      <c r="T309" s="34"/>
      <c r="U309" s="214"/>
      <c r="V309" s="34"/>
    </row>
    <row r="310" spans="1:22" x14ac:dyDescent="0.35">
      <c r="A310" s="46"/>
      <c r="B310" s="211"/>
      <c r="C310" s="211"/>
      <c r="D310" s="33"/>
      <c r="E310" s="33"/>
      <c r="F310" s="33"/>
      <c r="G310" s="33"/>
      <c r="H310" s="33"/>
      <c r="I310" s="212"/>
      <c r="J310" s="212"/>
      <c r="K310" s="46"/>
      <c r="L310" s="46"/>
      <c r="M310" s="213"/>
      <c r="N310" s="200"/>
      <c r="O310" s="46"/>
      <c r="P310" s="46"/>
      <c r="Q310" s="46"/>
      <c r="R310" s="46"/>
      <c r="S310" s="33"/>
      <c r="T310" s="34"/>
      <c r="U310" s="214"/>
      <c r="V310" s="34"/>
    </row>
    <row r="311" spans="1:22" x14ac:dyDescent="0.35">
      <c r="A311" s="46"/>
      <c r="B311" s="211"/>
      <c r="C311" s="211"/>
      <c r="D311" s="33"/>
      <c r="E311" s="33"/>
      <c r="F311" s="33"/>
      <c r="G311" s="33"/>
      <c r="H311" s="33"/>
      <c r="I311" s="212"/>
      <c r="J311" s="212"/>
      <c r="K311" s="46"/>
      <c r="L311" s="46"/>
      <c r="M311" s="213"/>
      <c r="N311" s="200"/>
      <c r="O311" s="46"/>
      <c r="P311" s="46"/>
      <c r="Q311" s="46"/>
      <c r="R311" s="46"/>
      <c r="S311" s="33"/>
      <c r="T311" s="34"/>
      <c r="U311" s="214"/>
      <c r="V311" s="34"/>
    </row>
    <row r="312" spans="1:22" x14ac:dyDescent="0.35">
      <c r="A312" s="46"/>
      <c r="B312" s="211"/>
      <c r="C312" s="211"/>
      <c r="D312" s="33"/>
      <c r="E312" s="33"/>
      <c r="F312" s="33"/>
      <c r="G312" s="33"/>
      <c r="H312" s="33"/>
      <c r="I312" s="212"/>
      <c r="J312" s="212"/>
      <c r="K312" s="46"/>
      <c r="L312" s="46"/>
      <c r="M312" s="213"/>
      <c r="N312" s="200"/>
      <c r="O312" s="46"/>
      <c r="P312" s="46"/>
      <c r="Q312" s="46"/>
      <c r="R312" s="46"/>
      <c r="S312" s="33"/>
      <c r="T312" s="34"/>
      <c r="U312" s="214"/>
      <c r="V312" s="34"/>
    </row>
    <row r="313" spans="1:22" x14ac:dyDescent="0.35">
      <c r="A313" s="46"/>
      <c r="B313" s="211"/>
      <c r="C313" s="211"/>
      <c r="D313" s="33"/>
      <c r="E313" s="33"/>
      <c r="F313" s="33"/>
      <c r="G313" s="33"/>
      <c r="H313" s="33"/>
      <c r="I313" s="212"/>
      <c r="J313" s="212"/>
      <c r="K313" s="46"/>
      <c r="L313" s="46"/>
      <c r="M313" s="213"/>
      <c r="N313" s="200"/>
      <c r="O313" s="46"/>
      <c r="P313" s="46"/>
      <c r="Q313" s="46"/>
      <c r="R313" s="46"/>
      <c r="S313" s="33"/>
      <c r="T313" s="34"/>
      <c r="U313" s="214"/>
      <c r="V313" s="34"/>
    </row>
    <row r="314" spans="1:22" x14ac:dyDescent="0.35">
      <c r="A314" s="46"/>
      <c r="B314" s="211"/>
      <c r="C314" s="211"/>
      <c r="D314" s="33"/>
      <c r="E314" s="33"/>
      <c r="F314" s="33"/>
      <c r="G314" s="33"/>
      <c r="H314" s="33"/>
      <c r="I314" s="212"/>
      <c r="J314" s="212"/>
      <c r="K314" s="46"/>
      <c r="L314" s="46"/>
      <c r="M314" s="213"/>
      <c r="N314" s="200"/>
      <c r="O314" s="46"/>
      <c r="P314" s="46"/>
      <c r="Q314" s="46"/>
      <c r="R314" s="46"/>
      <c r="S314" s="33"/>
      <c r="T314" s="34"/>
      <c r="U314" s="214"/>
      <c r="V314" s="34"/>
    </row>
    <row r="315" spans="1:22" x14ac:dyDescent="0.35">
      <c r="A315" s="46"/>
      <c r="B315" s="211"/>
      <c r="C315" s="211"/>
      <c r="D315" s="33"/>
      <c r="E315" s="33"/>
      <c r="F315" s="33"/>
      <c r="G315" s="33"/>
      <c r="H315" s="33"/>
      <c r="I315" s="212"/>
      <c r="J315" s="212"/>
      <c r="K315" s="46"/>
      <c r="L315" s="46"/>
      <c r="M315" s="213"/>
      <c r="N315" s="200"/>
      <c r="O315" s="46"/>
      <c r="P315" s="46"/>
      <c r="Q315" s="46"/>
      <c r="R315" s="46"/>
      <c r="S315" s="33"/>
      <c r="T315" s="34"/>
      <c r="U315" s="214"/>
      <c r="V315" s="34"/>
    </row>
    <row r="316" spans="1:22" x14ac:dyDescent="0.35">
      <c r="A316" s="46"/>
      <c r="B316" s="211"/>
      <c r="C316" s="211"/>
      <c r="D316" s="33"/>
      <c r="E316" s="33"/>
      <c r="F316" s="33"/>
      <c r="G316" s="33"/>
      <c r="H316" s="33"/>
      <c r="I316" s="212"/>
      <c r="J316" s="212"/>
      <c r="K316" s="46"/>
      <c r="L316" s="46"/>
      <c r="M316" s="213"/>
      <c r="N316" s="200"/>
      <c r="O316" s="46"/>
      <c r="P316" s="46"/>
      <c r="Q316" s="46"/>
      <c r="R316" s="46"/>
      <c r="S316" s="33"/>
      <c r="T316" s="34"/>
      <c r="U316" s="214"/>
      <c r="V316" s="34"/>
    </row>
    <row r="317" spans="1:22" x14ac:dyDescent="0.35">
      <c r="A317" s="46"/>
      <c r="B317" s="211"/>
      <c r="C317" s="211"/>
      <c r="D317" s="33"/>
      <c r="E317" s="33"/>
      <c r="F317" s="33"/>
      <c r="G317" s="33"/>
      <c r="H317" s="33"/>
      <c r="I317" s="212"/>
      <c r="J317" s="212"/>
      <c r="K317" s="46"/>
      <c r="L317" s="46"/>
      <c r="M317" s="213"/>
      <c r="N317" s="200"/>
      <c r="O317" s="46"/>
      <c r="P317" s="46"/>
      <c r="Q317" s="46"/>
      <c r="R317" s="46"/>
      <c r="S317" s="33"/>
      <c r="T317" s="34"/>
      <c r="U317" s="214"/>
      <c r="V317" s="34"/>
    </row>
    <row r="318" spans="1:22" x14ac:dyDescent="0.35">
      <c r="A318" s="46"/>
      <c r="B318" s="211"/>
      <c r="C318" s="211"/>
      <c r="D318" s="33"/>
      <c r="E318" s="33"/>
      <c r="F318" s="33"/>
      <c r="G318" s="33"/>
      <c r="H318" s="33"/>
      <c r="I318" s="212"/>
      <c r="J318" s="212"/>
      <c r="K318" s="46"/>
      <c r="L318" s="46"/>
      <c r="M318" s="213"/>
      <c r="N318" s="200"/>
      <c r="O318" s="46"/>
      <c r="P318" s="46"/>
      <c r="Q318" s="46"/>
      <c r="R318" s="46"/>
      <c r="S318" s="33"/>
      <c r="T318" s="34"/>
      <c r="U318" s="214"/>
      <c r="V318" s="34"/>
    </row>
    <row r="319" spans="1:22" x14ac:dyDescent="0.35">
      <c r="A319" s="46"/>
      <c r="B319" s="211"/>
      <c r="C319" s="211"/>
      <c r="D319" s="33"/>
      <c r="E319" s="33"/>
      <c r="F319" s="33"/>
      <c r="G319" s="33"/>
      <c r="H319" s="33"/>
      <c r="I319" s="212"/>
      <c r="J319" s="212"/>
      <c r="K319" s="46"/>
      <c r="L319" s="46"/>
      <c r="M319" s="213"/>
      <c r="N319" s="200"/>
      <c r="O319" s="46"/>
      <c r="P319" s="46"/>
      <c r="Q319" s="46"/>
      <c r="R319" s="46"/>
      <c r="S319" s="33"/>
      <c r="T319" s="34"/>
      <c r="U319" s="214"/>
      <c r="V319" s="34"/>
    </row>
    <row r="320" spans="1:22" x14ac:dyDescent="0.35">
      <c r="A320" s="46"/>
      <c r="B320" s="211"/>
      <c r="C320" s="211"/>
      <c r="D320" s="33"/>
      <c r="E320" s="33"/>
      <c r="F320" s="33"/>
      <c r="G320" s="33"/>
      <c r="H320" s="33"/>
      <c r="I320" s="212"/>
      <c r="J320" s="212"/>
      <c r="K320" s="46"/>
      <c r="L320" s="46"/>
      <c r="M320" s="213"/>
      <c r="N320" s="200"/>
      <c r="O320" s="46"/>
      <c r="P320" s="46"/>
      <c r="Q320" s="46"/>
      <c r="R320" s="46"/>
      <c r="S320" s="33"/>
      <c r="T320" s="34"/>
      <c r="U320" s="214"/>
      <c r="V320" s="34"/>
    </row>
    <row r="321" spans="1:22" x14ac:dyDescent="0.35">
      <c r="A321" s="46"/>
      <c r="B321" s="211"/>
      <c r="C321" s="211"/>
      <c r="D321" s="33"/>
      <c r="E321" s="33"/>
      <c r="F321" s="33"/>
      <c r="G321" s="33"/>
      <c r="H321" s="33"/>
      <c r="I321" s="212"/>
      <c r="J321" s="212"/>
      <c r="K321" s="46"/>
      <c r="L321" s="46"/>
      <c r="M321" s="213"/>
      <c r="N321" s="200"/>
      <c r="O321" s="46"/>
      <c r="P321" s="46"/>
      <c r="Q321" s="46"/>
      <c r="R321" s="46"/>
      <c r="S321" s="33"/>
      <c r="T321" s="34"/>
      <c r="U321" s="214"/>
      <c r="V321" s="34"/>
    </row>
    <row r="322" spans="1:22" x14ac:dyDescent="0.35">
      <c r="A322" s="46"/>
      <c r="B322" s="211"/>
      <c r="C322" s="211"/>
      <c r="D322" s="33"/>
      <c r="E322" s="33"/>
      <c r="F322" s="33"/>
      <c r="G322" s="33"/>
      <c r="H322" s="33"/>
      <c r="I322" s="212"/>
      <c r="J322" s="212"/>
      <c r="K322" s="46"/>
      <c r="L322" s="46"/>
      <c r="M322" s="213"/>
      <c r="N322" s="200"/>
      <c r="O322" s="46"/>
      <c r="P322" s="46"/>
      <c r="Q322" s="46"/>
      <c r="R322" s="46"/>
      <c r="S322" s="33"/>
      <c r="T322" s="34"/>
      <c r="U322" s="214"/>
      <c r="V322" s="34"/>
    </row>
    <row r="323" spans="1:22" x14ac:dyDescent="0.35">
      <c r="A323" s="46"/>
      <c r="B323" s="211"/>
      <c r="C323" s="211"/>
      <c r="D323" s="33"/>
      <c r="E323" s="33"/>
      <c r="F323" s="33"/>
      <c r="G323" s="33"/>
      <c r="H323" s="33"/>
      <c r="I323" s="212"/>
      <c r="J323" s="212"/>
      <c r="K323" s="46"/>
      <c r="L323" s="46"/>
      <c r="M323" s="213"/>
      <c r="N323" s="200"/>
      <c r="O323" s="46"/>
      <c r="P323" s="46"/>
      <c r="Q323" s="46"/>
      <c r="R323" s="46"/>
      <c r="S323" s="33"/>
      <c r="T323" s="34"/>
      <c r="U323" s="214"/>
      <c r="V323" s="34"/>
    </row>
    <row r="324" spans="1:22" x14ac:dyDescent="0.35">
      <c r="A324" s="46"/>
      <c r="B324" s="211"/>
      <c r="C324" s="211"/>
      <c r="D324" s="33"/>
      <c r="E324" s="33"/>
      <c r="F324" s="33"/>
      <c r="G324" s="33"/>
      <c r="H324" s="33"/>
      <c r="I324" s="212"/>
      <c r="J324" s="212"/>
      <c r="K324" s="46"/>
      <c r="L324" s="46"/>
      <c r="M324" s="213"/>
      <c r="N324" s="200"/>
      <c r="O324" s="46"/>
      <c r="P324" s="46"/>
      <c r="Q324" s="46"/>
      <c r="R324" s="46"/>
      <c r="S324" s="33"/>
      <c r="T324" s="34"/>
      <c r="U324" s="214"/>
      <c r="V324" s="34"/>
    </row>
    <row r="325" spans="1:22" x14ac:dyDescent="0.35">
      <c r="A325" s="46"/>
      <c r="B325" s="211"/>
      <c r="C325" s="211"/>
      <c r="D325" s="33"/>
      <c r="E325" s="33"/>
      <c r="F325" s="33"/>
      <c r="G325" s="33"/>
      <c r="H325" s="33"/>
      <c r="I325" s="212"/>
      <c r="J325" s="212"/>
      <c r="K325" s="46"/>
      <c r="L325" s="46"/>
      <c r="M325" s="213"/>
      <c r="N325" s="200"/>
      <c r="O325" s="46"/>
      <c r="P325" s="46"/>
      <c r="Q325" s="46"/>
      <c r="R325" s="46"/>
      <c r="S325" s="33"/>
      <c r="T325" s="34"/>
      <c r="U325" s="214"/>
      <c r="V325" s="34"/>
    </row>
    <row r="326" spans="1:22" x14ac:dyDescent="0.35">
      <c r="A326" s="46"/>
      <c r="B326" s="211"/>
      <c r="C326" s="211"/>
      <c r="D326" s="33"/>
      <c r="E326" s="33"/>
      <c r="F326" s="33"/>
      <c r="G326" s="33"/>
      <c r="H326" s="33"/>
      <c r="I326" s="212"/>
      <c r="J326" s="212"/>
      <c r="K326" s="46"/>
      <c r="L326" s="46"/>
      <c r="M326" s="213"/>
      <c r="N326" s="200"/>
      <c r="O326" s="46"/>
      <c r="P326" s="46"/>
      <c r="Q326" s="46"/>
      <c r="R326" s="46"/>
      <c r="S326" s="33"/>
      <c r="T326" s="34"/>
      <c r="U326" s="214"/>
      <c r="V326" s="34"/>
    </row>
    <row r="327" spans="1:22" x14ac:dyDescent="0.35">
      <c r="A327" s="46"/>
      <c r="B327" s="211"/>
      <c r="C327" s="211"/>
      <c r="D327" s="33"/>
      <c r="E327" s="33"/>
      <c r="F327" s="33"/>
      <c r="G327" s="33"/>
      <c r="H327" s="33"/>
      <c r="I327" s="212"/>
      <c r="J327" s="212"/>
      <c r="K327" s="46"/>
      <c r="L327" s="46"/>
      <c r="M327" s="213"/>
      <c r="N327" s="200"/>
      <c r="O327" s="46"/>
      <c r="P327" s="46"/>
      <c r="Q327" s="46"/>
      <c r="R327" s="46"/>
      <c r="S327" s="33"/>
      <c r="T327" s="34"/>
      <c r="U327" s="214"/>
      <c r="V327" s="34"/>
    </row>
    <row r="328" spans="1:22" x14ac:dyDescent="0.35">
      <c r="A328" s="46"/>
      <c r="B328" s="211"/>
      <c r="C328" s="211"/>
      <c r="D328" s="33"/>
      <c r="E328" s="33"/>
      <c r="F328" s="33"/>
      <c r="G328" s="33"/>
      <c r="H328" s="33"/>
      <c r="I328" s="212"/>
      <c r="J328" s="212"/>
      <c r="K328" s="46"/>
      <c r="L328" s="46"/>
      <c r="M328" s="213"/>
      <c r="N328" s="200"/>
      <c r="O328" s="46"/>
      <c r="P328" s="46"/>
      <c r="Q328" s="46"/>
      <c r="R328" s="46"/>
      <c r="S328" s="33"/>
      <c r="T328" s="34"/>
      <c r="U328" s="214"/>
      <c r="V328" s="34"/>
    </row>
    <row r="329" spans="1:22" x14ac:dyDescent="0.35">
      <c r="A329" s="46"/>
      <c r="B329" s="211"/>
      <c r="C329" s="211"/>
      <c r="D329" s="33"/>
      <c r="E329" s="33"/>
      <c r="F329" s="33"/>
      <c r="G329" s="33"/>
      <c r="H329" s="33"/>
      <c r="I329" s="212"/>
      <c r="J329" s="212"/>
      <c r="K329" s="46"/>
      <c r="L329" s="46"/>
      <c r="M329" s="213"/>
      <c r="N329" s="200"/>
      <c r="O329" s="46"/>
      <c r="P329" s="46"/>
      <c r="Q329" s="46"/>
      <c r="R329" s="46"/>
      <c r="S329" s="33"/>
      <c r="T329" s="34"/>
      <c r="U329" s="214"/>
      <c r="V329" s="34"/>
    </row>
    <row r="330" spans="1:22" x14ac:dyDescent="0.35">
      <c r="A330" s="46"/>
      <c r="B330" s="211"/>
      <c r="C330" s="211"/>
      <c r="D330" s="33"/>
      <c r="E330" s="33"/>
      <c r="F330" s="33"/>
      <c r="G330" s="33"/>
      <c r="H330" s="33"/>
      <c r="I330" s="212"/>
      <c r="J330" s="212"/>
      <c r="K330" s="46"/>
      <c r="L330" s="46"/>
      <c r="M330" s="213"/>
      <c r="N330" s="200"/>
      <c r="O330" s="46"/>
      <c r="P330" s="46"/>
      <c r="Q330" s="46"/>
      <c r="R330" s="46"/>
      <c r="S330" s="33"/>
      <c r="T330" s="34"/>
      <c r="U330" s="214"/>
      <c r="V330" s="34"/>
    </row>
    <row r="331" spans="1:22" x14ac:dyDescent="0.35">
      <c r="A331" s="46"/>
      <c r="B331" s="211"/>
      <c r="C331" s="211"/>
      <c r="D331" s="33"/>
      <c r="E331" s="33"/>
      <c r="F331" s="33"/>
      <c r="G331" s="33"/>
      <c r="H331" s="33"/>
      <c r="I331" s="212"/>
      <c r="J331" s="212"/>
      <c r="K331" s="46"/>
      <c r="L331" s="46"/>
      <c r="M331" s="213"/>
      <c r="N331" s="200"/>
      <c r="O331" s="46"/>
      <c r="P331" s="46"/>
      <c r="Q331" s="46"/>
      <c r="R331" s="46"/>
      <c r="S331" s="33"/>
      <c r="T331" s="34"/>
      <c r="U331" s="214"/>
      <c r="V331" s="34"/>
    </row>
    <row r="332" spans="1:22" x14ac:dyDescent="0.35">
      <c r="A332" s="46"/>
      <c r="B332" s="211"/>
      <c r="C332" s="211"/>
      <c r="D332" s="33"/>
      <c r="E332" s="33"/>
      <c r="F332" s="33"/>
      <c r="G332" s="33"/>
      <c r="H332" s="33"/>
      <c r="I332" s="212"/>
      <c r="J332" s="212"/>
      <c r="K332" s="46"/>
      <c r="L332" s="46"/>
      <c r="M332" s="213"/>
      <c r="N332" s="200"/>
      <c r="O332" s="46"/>
      <c r="P332" s="46"/>
      <c r="Q332" s="46"/>
      <c r="R332" s="46"/>
      <c r="S332" s="33"/>
      <c r="T332" s="34"/>
      <c r="U332" s="214"/>
      <c r="V332" s="34"/>
    </row>
    <row r="333" spans="1:22" x14ac:dyDescent="0.35">
      <c r="A333" s="46"/>
      <c r="B333" s="211"/>
      <c r="C333" s="211"/>
      <c r="D333" s="33"/>
      <c r="E333" s="33"/>
      <c r="F333" s="33"/>
      <c r="G333" s="33"/>
      <c r="H333" s="33"/>
      <c r="I333" s="212"/>
      <c r="J333" s="212"/>
      <c r="K333" s="46"/>
      <c r="L333" s="46"/>
      <c r="M333" s="213"/>
      <c r="N333" s="200"/>
      <c r="O333" s="46"/>
      <c r="P333" s="46"/>
      <c r="Q333" s="46"/>
      <c r="R333" s="46"/>
      <c r="S333" s="33"/>
      <c r="T333" s="34"/>
      <c r="U333" s="214"/>
      <c r="V333" s="34"/>
    </row>
    <row r="334" spans="1:22" x14ac:dyDescent="0.35">
      <c r="A334" s="46"/>
      <c r="B334" s="211"/>
      <c r="C334" s="211"/>
      <c r="D334" s="33"/>
      <c r="E334" s="33"/>
      <c r="F334" s="33"/>
      <c r="G334" s="33"/>
      <c r="H334" s="33"/>
      <c r="I334" s="212"/>
      <c r="J334" s="212"/>
      <c r="K334" s="46"/>
      <c r="L334" s="46"/>
      <c r="M334" s="213"/>
      <c r="N334" s="200"/>
      <c r="O334" s="46"/>
      <c r="P334" s="46"/>
      <c r="Q334" s="46"/>
      <c r="R334" s="46"/>
      <c r="S334" s="33"/>
      <c r="T334" s="34"/>
      <c r="U334" s="214"/>
      <c r="V334" s="34"/>
    </row>
    <row r="335" spans="1:22" x14ac:dyDescent="0.35">
      <c r="A335" s="46"/>
      <c r="B335" s="211"/>
      <c r="C335" s="211"/>
      <c r="D335" s="33"/>
      <c r="E335" s="33"/>
      <c r="F335" s="33"/>
      <c r="G335" s="33"/>
      <c r="H335" s="33"/>
      <c r="I335" s="212"/>
      <c r="J335" s="212"/>
      <c r="K335" s="46"/>
      <c r="L335" s="46"/>
      <c r="M335" s="213"/>
      <c r="N335" s="200"/>
      <c r="O335" s="46"/>
      <c r="P335" s="46"/>
      <c r="Q335" s="46"/>
      <c r="R335" s="46"/>
      <c r="S335" s="33"/>
      <c r="T335" s="34"/>
      <c r="U335" s="214"/>
      <c r="V335" s="34"/>
    </row>
    <row r="336" spans="1:22" x14ac:dyDescent="0.35">
      <c r="A336" s="46"/>
      <c r="B336" s="211"/>
      <c r="C336" s="211"/>
      <c r="D336" s="33"/>
      <c r="E336" s="33"/>
      <c r="F336" s="33"/>
      <c r="G336" s="33"/>
      <c r="H336" s="33"/>
      <c r="I336" s="212"/>
      <c r="J336" s="212"/>
      <c r="K336" s="46"/>
      <c r="L336" s="46"/>
      <c r="M336" s="213"/>
      <c r="N336" s="200"/>
      <c r="O336" s="46"/>
      <c r="P336" s="46"/>
      <c r="Q336" s="46"/>
      <c r="R336" s="46"/>
      <c r="S336" s="33"/>
      <c r="T336" s="34"/>
      <c r="U336" s="214"/>
      <c r="V336" s="34"/>
    </row>
    <row r="337" spans="1:22" x14ac:dyDescent="0.35">
      <c r="A337" s="46"/>
      <c r="B337" s="211"/>
      <c r="C337" s="211"/>
      <c r="D337" s="33"/>
      <c r="E337" s="33"/>
      <c r="F337" s="33"/>
      <c r="G337" s="33"/>
      <c r="H337" s="33"/>
      <c r="I337" s="212"/>
      <c r="J337" s="212"/>
      <c r="K337" s="46"/>
      <c r="L337" s="46"/>
      <c r="M337" s="213"/>
      <c r="N337" s="200"/>
      <c r="O337" s="46"/>
      <c r="P337" s="46"/>
      <c r="Q337" s="46"/>
      <c r="R337" s="46"/>
      <c r="S337" s="33"/>
      <c r="T337" s="34"/>
      <c r="U337" s="214"/>
      <c r="V337" s="34"/>
    </row>
    <row r="338" spans="1:22" x14ac:dyDescent="0.35">
      <c r="A338" s="46"/>
      <c r="B338" s="211"/>
      <c r="C338" s="211"/>
      <c r="D338" s="33"/>
      <c r="E338" s="33"/>
      <c r="F338" s="33"/>
      <c r="G338" s="33"/>
      <c r="H338" s="33"/>
      <c r="I338" s="212"/>
      <c r="J338" s="212"/>
      <c r="K338" s="46"/>
      <c r="L338" s="46"/>
      <c r="M338" s="213"/>
      <c r="N338" s="200"/>
      <c r="O338" s="46"/>
      <c r="P338" s="46"/>
      <c r="Q338" s="46"/>
      <c r="R338" s="46"/>
      <c r="S338" s="33"/>
      <c r="T338" s="34"/>
      <c r="U338" s="214"/>
      <c r="V338" s="34"/>
    </row>
    <row r="339" spans="1:22" x14ac:dyDescent="0.35">
      <c r="A339" s="46"/>
      <c r="B339" s="211"/>
      <c r="C339" s="211"/>
      <c r="D339" s="33"/>
      <c r="E339" s="33"/>
      <c r="F339" s="33"/>
      <c r="G339" s="33"/>
      <c r="H339" s="33"/>
      <c r="I339" s="212"/>
      <c r="J339" s="212"/>
      <c r="K339" s="46"/>
      <c r="L339" s="46"/>
      <c r="M339" s="213"/>
      <c r="N339" s="200"/>
      <c r="O339" s="46"/>
      <c r="P339" s="46"/>
      <c r="Q339" s="46"/>
      <c r="R339" s="46"/>
      <c r="S339" s="33"/>
      <c r="T339" s="34"/>
      <c r="U339" s="214"/>
      <c r="V339" s="34"/>
    </row>
    <row r="340" spans="1:22" x14ac:dyDescent="0.35">
      <c r="A340" s="46"/>
      <c r="B340" s="211"/>
      <c r="C340" s="211"/>
      <c r="D340" s="33"/>
      <c r="E340" s="33"/>
      <c r="F340" s="33"/>
      <c r="G340" s="33"/>
      <c r="H340" s="33"/>
      <c r="I340" s="212"/>
      <c r="J340" s="212"/>
      <c r="K340" s="46"/>
      <c r="L340" s="46"/>
      <c r="M340" s="213"/>
      <c r="N340" s="200"/>
      <c r="O340" s="46"/>
      <c r="P340" s="46"/>
      <c r="Q340" s="46"/>
      <c r="R340" s="46"/>
      <c r="S340" s="33"/>
      <c r="T340" s="34"/>
      <c r="U340" s="214"/>
      <c r="V340" s="34"/>
    </row>
    <row r="341" spans="1:22" x14ac:dyDescent="0.35">
      <c r="A341" s="46"/>
      <c r="B341" s="211"/>
      <c r="C341" s="211"/>
      <c r="D341" s="33"/>
      <c r="E341" s="33"/>
      <c r="F341" s="33"/>
      <c r="G341" s="33"/>
      <c r="H341" s="33"/>
      <c r="I341" s="212"/>
      <c r="J341" s="212"/>
      <c r="K341" s="46"/>
      <c r="L341" s="46"/>
      <c r="M341" s="213"/>
      <c r="N341" s="200"/>
      <c r="O341" s="46"/>
      <c r="P341" s="46"/>
      <c r="Q341" s="46"/>
      <c r="R341" s="46"/>
      <c r="S341" s="33"/>
      <c r="T341" s="34"/>
      <c r="U341" s="214"/>
      <c r="V341" s="34"/>
    </row>
    <row r="342" spans="1:22" x14ac:dyDescent="0.35">
      <c r="A342" s="46"/>
      <c r="B342" s="211"/>
      <c r="C342" s="211"/>
      <c r="D342" s="33"/>
      <c r="E342" s="33"/>
      <c r="F342" s="33"/>
      <c r="G342" s="33"/>
      <c r="H342" s="33"/>
      <c r="I342" s="212"/>
      <c r="J342" s="212"/>
      <c r="K342" s="46"/>
      <c r="L342" s="46"/>
      <c r="M342" s="213"/>
      <c r="N342" s="200"/>
      <c r="O342" s="46"/>
      <c r="P342" s="46"/>
      <c r="Q342" s="46"/>
      <c r="R342" s="46"/>
      <c r="S342" s="33"/>
      <c r="T342" s="34"/>
      <c r="U342" s="214"/>
      <c r="V342" s="34"/>
    </row>
    <row r="343" spans="1:22" x14ac:dyDescent="0.35">
      <c r="A343" s="46"/>
      <c r="B343" s="211"/>
      <c r="C343" s="211"/>
      <c r="D343" s="33"/>
      <c r="E343" s="33"/>
      <c r="F343" s="33"/>
      <c r="G343" s="33"/>
      <c r="H343" s="33"/>
      <c r="I343" s="212"/>
      <c r="J343" s="212"/>
      <c r="K343" s="46"/>
      <c r="L343" s="46"/>
      <c r="M343" s="213"/>
      <c r="N343" s="200"/>
      <c r="O343" s="46"/>
      <c r="P343" s="46"/>
      <c r="Q343" s="46"/>
      <c r="R343" s="46"/>
      <c r="S343" s="33"/>
      <c r="T343" s="34"/>
      <c r="U343" s="214"/>
      <c r="V343" s="34"/>
    </row>
    <row r="344" spans="1:22" x14ac:dyDescent="0.35">
      <c r="A344" s="46"/>
      <c r="B344" s="211"/>
      <c r="C344" s="211"/>
      <c r="D344" s="33"/>
      <c r="E344" s="33"/>
      <c r="F344" s="33"/>
      <c r="G344" s="33"/>
      <c r="H344" s="33"/>
      <c r="I344" s="212"/>
      <c r="J344" s="212"/>
      <c r="K344" s="46"/>
      <c r="L344" s="46"/>
      <c r="M344" s="213"/>
      <c r="N344" s="200"/>
      <c r="O344" s="46"/>
      <c r="P344" s="46"/>
      <c r="Q344" s="46"/>
      <c r="R344" s="46"/>
      <c r="S344" s="33"/>
      <c r="T344" s="34"/>
      <c r="U344" s="214"/>
      <c r="V344" s="34"/>
    </row>
    <row r="345" spans="1:22" x14ac:dyDescent="0.35">
      <c r="A345" s="46"/>
      <c r="B345" s="211"/>
      <c r="C345" s="211"/>
      <c r="D345" s="33"/>
      <c r="E345" s="33"/>
      <c r="F345" s="33"/>
      <c r="G345" s="33"/>
      <c r="H345" s="33"/>
      <c r="I345" s="212"/>
      <c r="J345" s="212"/>
      <c r="K345" s="46"/>
      <c r="L345" s="46"/>
      <c r="M345" s="213"/>
      <c r="N345" s="200"/>
      <c r="O345" s="46"/>
      <c r="P345" s="46"/>
      <c r="Q345" s="46"/>
      <c r="R345" s="46"/>
      <c r="S345" s="33"/>
      <c r="T345" s="34"/>
      <c r="U345" s="214"/>
      <c r="V345" s="34"/>
    </row>
    <row r="346" spans="1:22" x14ac:dyDescent="0.35">
      <c r="A346" s="46"/>
      <c r="B346" s="211"/>
      <c r="C346" s="211"/>
      <c r="D346" s="33"/>
      <c r="E346" s="33"/>
      <c r="F346" s="33"/>
      <c r="G346" s="33"/>
      <c r="H346" s="33"/>
      <c r="I346" s="212"/>
      <c r="J346" s="212"/>
      <c r="K346" s="46"/>
      <c r="L346" s="46"/>
      <c r="M346" s="213"/>
      <c r="N346" s="200"/>
      <c r="O346" s="46"/>
      <c r="P346" s="46"/>
      <c r="Q346" s="46"/>
      <c r="R346" s="46"/>
      <c r="S346" s="33"/>
      <c r="T346" s="34"/>
      <c r="U346" s="214"/>
      <c r="V346" s="34"/>
    </row>
    <row r="347" spans="1:22" x14ac:dyDescent="0.35">
      <c r="A347" s="46"/>
      <c r="B347" s="211"/>
      <c r="C347" s="211"/>
      <c r="D347" s="33"/>
      <c r="E347" s="33"/>
      <c r="F347" s="33"/>
      <c r="G347" s="33"/>
      <c r="H347" s="33"/>
      <c r="I347" s="212"/>
      <c r="J347" s="212"/>
      <c r="K347" s="46"/>
      <c r="L347" s="46"/>
      <c r="M347" s="213"/>
      <c r="N347" s="200"/>
      <c r="O347" s="46"/>
      <c r="P347" s="46"/>
      <c r="Q347" s="46"/>
      <c r="R347" s="46"/>
      <c r="S347" s="33"/>
      <c r="T347" s="34"/>
      <c r="U347" s="214"/>
      <c r="V347" s="34"/>
    </row>
    <row r="348" spans="1:22" x14ac:dyDescent="0.35">
      <c r="A348" s="46"/>
      <c r="B348" s="211"/>
      <c r="C348" s="211"/>
      <c r="D348" s="33"/>
      <c r="E348" s="33"/>
      <c r="F348" s="33"/>
      <c r="G348" s="33"/>
      <c r="H348" s="33"/>
      <c r="I348" s="212"/>
      <c r="J348" s="212"/>
      <c r="K348" s="46"/>
      <c r="L348" s="46"/>
      <c r="M348" s="213"/>
      <c r="N348" s="200"/>
      <c r="O348" s="46"/>
      <c r="P348" s="46"/>
      <c r="Q348" s="46"/>
      <c r="R348" s="46"/>
      <c r="S348" s="33"/>
      <c r="T348" s="34"/>
      <c r="U348" s="214"/>
      <c r="V348" s="34"/>
    </row>
    <row r="349" spans="1:22" x14ac:dyDescent="0.35">
      <c r="A349" s="46"/>
      <c r="B349" s="211"/>
      <c r="C349" s="211"/>
      <c r="D349" s="33"/>
      <c r="E349" s="33"/>
      <c r="F349" s="33"/>
      <c r="G349" s="33"/>
      <c r="H349" s="33"/>
      <c r="I349" s="212"/>
      <c r="J349" s="212"/>
      <c r="K349" s="46"/>
      <c r="L349" s="46"/>
      <c r="M349" s="213"/>
      <c r="N349" s="200"/>
      <c r="O349" s="46"/>
      <c r="P349" s="46"/>
      <c r="Q349" s="46"/>
      <c r="R349" s="46"/>
      <c r="S349" s="33"/>
      <c r="T349" s="34"/>
      <c r="U349" s="214"/>
      <c r="V349" s="34"/>
    </row>
    <row r="350" spans="1:22" x14ac:dyDescent="0.35">
      <c r="A350" s="46"/>
      <c r="B350" s="211"/>
      <c r="C350" s="211"/>
      <c r="D350" s="33"/>
      <c r="E350" s="33"/>
      <c r="F350" s="33"/>
      <c r="G350" s="33"/>
      <c r="H350" s="33"/>
      <c r="I350" s="212"/>
      <c r="J350" s="212"/>
      <c r="K350" s="46"/>
      <c r="L350" s="46"/>
      <c r="M350" s="213"/>
      <c r="N350" s="200"/>
      <c r="O350" s="46"/>
      <c r="P350" s="46"/>
      <c r="Q350" s="46"/>
      <c r="R350" s="46"/>
      <c r="S350" s="33"/>
      <c r="T350" s="34"/>
      <c r="U350" s="214"/>
      <c r="V350" s="34"/>
    </row>
    <row r="351" spans="1:22" x14ac:dyDescent="0.35">
      <c r="A351" s="46"/>
      <c r="B351" s="211"/>
      <c r="C351" s="211"/>
      <c r="D351" s="33"/>
      <c r="E351" s="33"/>
      <c r="F351" s="33"/>
      <c r="G351" s="33"/>
      <c r="H351" s="33"/>
      <c r="I351" s="212"/>
      <c r="J351" s="212"/>
      <c r="K351" s="46"/>
      <c r="L351" s="46"/>
      <c r="M351" s="213"/>
      <c r="N351" s="200"/>
      <c r="O351" s="46"/>
      <c r="P351" s="46"/>
      <c r="Q351" s="46"/>
      <c r="R351" s="46"/>
      <c r="S351" s="33"/>
      <c r="T351" s="34"/>
      <c r="U351" s="214"/>
      <c r="V351" s="34"/>
    </row>
    <row r="352" spans="1:22" x14ac:dyDescent="0.35">
      <c r="A352" s="46"/>
      <c r="B352" s="211"/>
      <c r="C352" s="211"/>
      <c r="D352" s="33"/>
      <c r="E352" s="33"/>
      <c r="F352" s="33"/>
      <c r="G352" s="33"/>
      <c r="H352" s="33"/>
      <c r="I352" s="212"/>
      <c r="J352" s="212"/>
      <c r="K352" s="46"/>
      <c r="L352" s="46"/>
      <c r="M352" s="213"/>
      <c r="N352" s="200"/>
      <c r="O352" s="46"/>
      <c r="P352" s="46"/>
      <c r="Q352" s="46"/>
      <c r="R352" s="46"/>
      <c r="S352" s="33"/>
      <c r="T352" s="34"/>
      <c r="U352" s="214"/>
      <c r="V352" s="34"/>
    </row>
    <row r="353" spans="1:22" x14ac:dyDescent="0.35">
      <c r="A353" s="46"/>
      <c r="B353" s="211"/>
      <c r="C353" s="211"/>
      <c r="D353" s="33"/>
      <c r="E353" s="33"/>
      <c r="F353" s="33"/>
      <c r="G353" s="33"/>
      <c r="H353" s="33"/>
      <c r="I353" s="212"/>
      <c r="J353" s="212"/>
      <c r="K353" s="46"/>
      <c r="L353" s="46"/>
      <c r="M353" s="213"/>
      <c r="N353" s="200"/>
      <c r="O353" s="46"/>
      <c r="P353" s="46"/>
      <c r="Q353" s="46"/>
      <c r="R353" s="46"/>
      <c r="S353" s="33"/>
      <c r="T353" s="34"/>
      <c r="U353" s="214"/>
      <c r="V353" s="34"/>
    </row>
    <row r="354" spans="1:22" x14ac:dyDescent="0.35">
      <c r="A354" s="46"/>
      <c r="B354" s="211"/>
      <c r="C354" s="211"/>
      <c r="D354" s="33"/>
      <c r="E354" s="33"/>
      <c r="F354" s="33"/>
      <c r="G354" s="33"/>
      <c r="H354" s="33"/>
      <c r="I354" s="212"/>
      <c r="J354" s="212"/>
      <c r="K354" s="46"/>
      <c r="L354" s="46"/>
      <c r="M354" s="213"/>
      <c r="N354" s="200"/>
      <c r="O354" s="46"/>
      <c r="P354" s="46"/>
      <c r="Q354" s="46"/>
      <c r="R354" s="46"/>
      <c r="S354" s="33"/>
      <c r="T354" s="34"/>
      <c r="U354" s="214"/>
      <c r="V354" s="34"/>
    </row>
    <row r="355" spans="1:22" x14ac:dyDescent="0.35">
      <c r="A355" s="46"/>
      <c r="B355" s="211"/>
      <c r="C355" s="211"/>
      <c r="D355" s="33"/>
      <c r="E355" s="33"/>
      <c r="F355" s="33"/>
      <c r="G355" s="33"/>
      <c r="H355" s="33"/>
      <c r="I355" s="212"/>
      <c r="J355" s="212"/>
      <c r="K355" s="46"/>
      <c r="L355" s="46"/>
      <c r="M355" s="213"/>
      <c r="N355" s="200"/>
      <c r="O355" s="46"/>
      <c r="P355" s="46"/>
      <c r="Q355" s="46"/>
      <c r="R355" s="46"/>
      <c r="S355" s="33"/>
      <c r="T355" s="34"/>
      <c r="U355" s="214"/>
      <c r="V355" s="34"/>
    </row>
    <row r="356" spans="1:22" x14ac:dyDescent="0.35">
      <c r="A356" s="46"/>
      <c r="B356" s="211"/>
      <c r="C356" s="211"/>
      <c r="D356" s="33"/>
      <c r="E356" s="33"/>
      <c r="F356" s="33"/>
      <c r="G356" s="33"/>
      <c r="H356" s="33"/>
      <c r="I356" s="212"/>
      <c r="J356" s="212"/>
      <c r="K356" s="46"/>
      <c r="L356" s="46"/>
      <c r="M356" s="213"/>
      <c r="N356" s="200"/>
      <c r="O356" s="46"/>
      <c r="P356" s="46"/>
      <c r="Q356" s="46"/>
      <c r="R356" s="46"/>
      <c r="S356" s="33"/>
      <c r="T356" s="34"/>
      <c r="U356" s="214"/>
      <c r="V356" s="34"/>
    </row>
    <row r="357" spans="1:22" x14ac:dyDescent="0.35">
      <c r="A357" s="46"/>
      <c r="B357" s="211"/>
      <c r="C357" s="211"/>
      <c r="D357" s="33"/>
      <c r="E357" s="33"/>
      <c r="F357" s="33"/>
      <c r="G357" s="33"/>
      <c r="H357" s="33"/>
      <c r="I357" s="212"/>
      <c r="J357" s="212"/>
      <c r="K357" s="46"/>
      <c r="L357" s="46"/>
      <c r="M357" s="213"/>
      <c r="N357" s="200"/>
      <c r="O357" s="46"/>
      <c r="P357" s="46"/>
      <c r="Q357" s="46"/>
      <c r="R357" s="46"/>
      <c r="S357" s="33"/>
      <c r="T357" s="34"/>
      <c r="U357" s="214"/>
      <c r="V357" s="34"/>
    </row>
    <row r="358" spans="1:22" x14ac:dyDescent="0.35">
      <c r="A358" s="46"/>
      <c r="B358" s="211"/>
      <c r="C358" s="211"/>
      <c r="D358" s="33"/>
      <c r="E358" s="33"/>
      <c r="F358" s="33"/>
      <c r="G358" s="33"/>
      <c r="H358" s="33"/>
      <c r="I358" s="212"/>
      <c r="J358" s="212"/>
      <c r="K358" s="46"/>
      <c r="L358" s="46"/>
      <c r="M358" s="213"/>
      <c r="N358" s="200"/>
      <c r="O358" s="46"/>
      <c r="P358" s="46"/>
      <c r="Q358" s="46"/>
      <c r="R358" s="46"/>
      <c r="S358" s="33"/>
      <c r="T358" s="34"/>
      <c r="U358" s="214"/>
      <c r="V358" s="34"/>
    </row>
  </sheetData>
  <autoFilter ref="C4:C29" xr:uid="{09B4FF5F-F9D2-41B1-B9AB-AFBB2A3AFE18}"/>
  <mergeCells count="24">
    <mergeCell ref="O13:O20"/>
    <mergeCell ref="P13:P20"/>
    <mergeCell ref="Q13:Q20"/>
    <mergeCell ref="R13:R20"/>
    <mergeCell ref="A1:T1"/>
    <mergeCell ref="A2:T2"/>
    <mergeCell ref="A3:E3"/>
    <mergeCell ref="F3:L3"/>
    <mergeCell ref="M3:N3"/>
    <mergeCell ref="O3:Q3"/>
    <mergeCell ref="S3:T3"/>
    <mergeCell ref="U3:V3"/>
    <mergeCell ref="O5:O12"/>
    <mergeCell ref="P5:P12"/>
    <mergeCell ref="Q5:Q12"/>
    <mergeCell ref="R5:R12"/>
    <mergeCell ref="O21:O25"/>
    <mergeCell ref="P21:P25"/>
    <mergeCell ref="Q21:Q25"/>
    <mergeCell ref="R21:R25"/>
    <mergeCell ref="O26:O28"/>
    <mergeCell ref="P26:P28"/>
    <mergeCell ref="Q26:Q28"/>
    <mergeCell ref="R26:R28"/>
  </mergeCells>
  <conditionalFormatting sqref="O5:R5 O13:R13 O21:R21 O26:R26 O29:R1048576">
    <cfRule type="containsText" dxfId="29" priority="1" operator="containsText" text="No">
      <formula>NOT(ISERROR(SEARCH("No",O5)))</formula>
    </cfRule>
    <cfRule type="containsText" dxfId="28" priority="2" operator="containsText" text="Yes">
      <formula>NOT(ISERROR(SEARCH("Yes",O5)))</formula>
    </cfRule>
  </conditionalFormatting>
  <conditionalFormatting sqref="S5:S1048576">
    <cfRule type="containsText" dxfId="27" priority="3" operator="containsText" text="Revisions Needed">
      <formula>NOT(ISERROR(SEARCH("Revisions Needed",S5)))</formula>
    </cfRule>
    <cfRule type="containsText" dxfId="26" priority="4" operator="containsText" text="Approved">
      <formula>NOT(ISERROR(SEARCH("Approved",S5)))</formula>
    </cfRule>
  </conditionalFormatting>
  <dataValidations count="4">
    <dataValidation type="list" allowBlank="1" showInputMessage="1" showErrorMessage="1" sqref="P5:Q12" xr:uid="{09695D2B-AA48-4197-AC4B-42A527A9C635}">
      <formula1>"Yes, No"</formula1>
    </dataValidation>
    <dataValidation type="list" allowBlank="1" showInputMessage="1" showErrorMessage="1" sqref="C5:C1048576" xr:uid="{D24BB5FF-470A-4443-82C8-D35BADE74EC7}">
      <formula1>"Monthly, Yearly"</formula1>
    </dataValidation>
    <dataValidation type="list" allowBlank="1" showInputMessage="1" showErrorMessage="1" sqref="O5 O13:Q13 O21:Q21 O26:Q26 O29:Q1048576" xr:uid="{F02B985D-6AFC-4F58-8292-FC3EE8A8ACEA}">
      <formula1>"No, Yes"</formula1>
    </dataValidation>
    <dataValidation type="list" allowBlank="1" sqref="S5:S1048576" xr:uid="{93A19C79-5F01-47A3-901E-2DA6EBF4E6B4}">
      <formula1>"Approved,Revisions Needed"</formula1>
    </dataValidation>
  </dataValidation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BCC9B-1318-4783-BD5D-231233A34147}">
  <sheetPr>
    <tabColor theme="6"/>
  </sheetPr>
  <dimension ref="A1:U74"/>
  <sheetViews>
    <sheetView showGridLines="0" zoomScale="60" zoomScaleNormal="60" workbookViewId="0">
      <selection activeCell="M8" sqref="M8"/>
    </sheetView>
  </sheetViews>
  <sheetFormatPr defaultColWidth="8.54296875" defaultRowHeight="14.5" x14ac:dyDescent="0.35"/>
  <cols>
    <col min="1" max="1" width="9" style="2" customWidth="1"/>
    <col min="2" max="2" width="12" style="14" customWidth="1"/>
    <col min="3" max="3" width="18.81640625" style="2" customWidth="1"/>
    <col min="4" max="4" width="21.453125" style="2" customWidth="1"/>
    <col min="5" max="5" width="11.54296875" style="2" customWidth="1"/>
    <col min="6" max="6" width="13.1796875" style="2" hidden="1" customWidth="1"/>
    <col min="7" max="7" width="12.453125" style="2" customWidth="1"/>
    <col min="8" max="8" width="11.81640625" style="29" customWidth="1"/>
    <col min="9" max="9" width="11.453125" style="29" customWidth="1"/>
    <col min="10" max="10" width="15.54296875" style="2" customWidth="1"/>
    <col min="11" max="11" width="13.1796875" style="2" hidden="1" customWidth="1"/>
    <col min="12" max="12" width="36" style="1" customWidth="1"/>
    <col min="13" max="13" width="46.1796875" style="143" customWidth="1"/>
    <col min="14" max="14" width="12.81640625" style="76" customWidth="1"/>
    <col min="15" max="15" width="10.81640625" style="76" customWidth="1"/>
    <col min="16" max="16" width="13.1796875" style="76" customWidth="1"/>
    <col min="17" max="17" width="45.26953125" style="76" customWidth="1"/>
    <col min="18" max="18" width="20.54296875" style="2" customWidth="1"/>
    <col min="19" max="19" width="76.54296875" style="17" customWidth="1"/>
    <col min="20" max="20" width="16.26953125" style="159" customWidth="1"/>
    <col min="21" max="21" width="76.54296875" style="17" customWidth="1"/>
    <col min="22" max="16384" width="8.54296875" style="1"/>
  </cols>
  <sheetData>
    <row r="1" spans="1:21" ht="37.5" customHeight="1" x14ac:dyDescent="0.35">
      <c r="A1" s="555" t="s">
        <v>0</v>
      </c>
      <c r="B1" s="555"/>
      <c r="C1" s="555"/>
      <c r="D1" s="555"/>
      <c r="E1" s="555"/>
      <c r="F1" s="555"/>
      <c r="G1" s="555"/>
      <c r="H1" s="555"/>
      <c r="I1" s="555"/>
      <c r="J1" s="555"/>
      <c r="K1" s="555"/>
      <c r="L1" s="555"/>
      <c r="M1" s="555"/>
      <c r="N1" s="555"/>
      <c r="O1" s="555"/>
      <c r="P1" s="555"/>
      <c r="Q1" s="555"/>
      <c r="R1" s="555"/>
      <c r="S1" s="555"/>
      <c r="T1" s="81"/>
      <c r="U1" s="81"/>
    </row>
    <row r="2" spans="1:21" ht="19.5" customHeight="1" thickBot="1" x14ac:dyDescent="0.4">
      <c r="A2" s="550" t="s">
        <v>2</v>
      </c>
      <c r="B2" s="550"/>
      <c r="C2" s="550"/>
      <c r="D2" s="550"/>
      <c r="E2" s="550"/>
      <c r="F2" s="550"/>
      <c r="G2" s="550"/>
      <c r="H2" s="550"/>
      <c r="I2" s="550"/>
      <c r="J2" s="550"/>
      <c r="K2" s="550"/>
      <c r="L2" s="550"/>
      <c r="M2" s="550"/>
      <c r="N2" s="550"/>
      <c r="O2" s="550"/>
      <c r="P2" s="550"/>
      <c r="Q2" s="550"/>
      <c r="R2" s="550"/>
      <c r="S2" s="550"/>
      <c r="T2" s="82"/>
      <c r="U2" s="82"/>
    </row>
    <row r="3" spans="1:21" s="4" customFormat="1" ht="27.75" customHeight="1" thickTop="1" thickBot="1" x14ac:dyDescent="0.45">
      <c r="A3" s="516" t="s">
        <v>3</v>
      </c>
      <c r="B3" s="516"/>
      <c r="C3" s="516"/>
      <c r="D3" s="516"/>
      <c r="E3" s="513" t="s">
        <v>4</v>
      </c>
      <c r="F3" s="514"/>
      <c r="G3" s="514"/>
      <c r="H3" s="514"/>
      <c r="I3" s="514"/>
      <c r="J3" s="514"/>
      <c r="K3" s="515"/>
      <c r="L3" s="516" t="s">
        <v>5</v>
      </c>
      <c r="M3" s="516"/>
      <c r="N3" s="571" t="s">
        <v>6</v>
      </c>
      <c r="O3" s="572"/>
      <c r="P3" s="572"/>
      <c r="Q3" s="573"/>
      <c r="R3" s="516" t="s">
        <v>7</v>
      </c>
      <c r="S3" s="516"/>
      <c r="T3" s="127"/>
      <c r="U3" s="127" t="s">
        <v>8</v>
      </c>
    </row>
    <row r="4" spans="1:21" ht="71.5" customHeight="1" thickTop="1" thickBot="1" x14ac:dyDescent="0.4">
      <c r="A4" s="160" t="s">
        <v>9</v>
      </c>
      <c r="B4" s="163" t="s">
        <v>10</v>
      </c>
      <c r="C4" s="164" t="s">
        <v>12</v>
      </c>
      <c r="D4" s="164" t="s">
        <v>13</v>
      </c>
      <c r="E4" s="164" t="s">
        <v>14</v>
      </c>
      <c r="F4" s="164" t="s">
        <v>228</v>
      </c>
      <c r="G4" s="164" t="s">
        <v>15</v>
      </c>
      <c r="H4" s="164" t="s">
        <v>16</v>
      </c>
      <c r="I4" s="164" t="s">
        <v>17</v>
      </c>
      <c r="J4" s="164" t="s">
        <v>18</v>
      </c>
      <c r="K4" s="164" t="s">
        <v>19</v>
      </c>
      <c r="L4" s="164" t="s">
        <v>20</v>
      </c>
      <c r="M4" s="164" t="s">
        <v>21</v>
      </c>
      <c r="N4" s="164" t="s">
        <v>22</v>
      </c>
      <c r="O4" s="164" t="s">
        <v>23</v>
      </c>
      <c r="P4" s="164" t="s">
        <v>24</v>
      </c>
      <c r="Q4" s="191" t="s">
        <v>25</v>
      </c>
      <c r="R4" s="165" t="s">
        <v>26</v>
      </c>
      <c r="S4" s="166" t="s">
        <v>27</v>
      </c>
      <c r="T4" s="177" t="s">
        <v>29</v>
      </c>
      <c r="U4" s="167" t="s">
        <v>30</v>
      </c>
    </row>
    <row r="5" spans="1:21" s="5" customFormat="1" ht="394.5" hidden="1" customHeight="1" x14ac:dyDescent="0.35">
      <c r="A5" s="8">
        <v>1</v>
      </c>
      <c r="B5" s="118" t="s">
        <v>361</v>
      </c>
      <c r="C5" s="117" t="s">
        <v>829</v>
      </c>
      <c r="D5" s="149" t="s">
        <v>830</v>
      </c>
      <c r="E5" s="117" t="s">
        <v>70</v>
      </c>
      <c r="F5" s="117"/>
      <c r="G5" s="117" t="s">
        <v>399</v>
      </c>
      <c r="H5" s="25" t="s">
        <v>154</v>
      </c>
      <c r="I5" s="25"/>
      <c r="J5" s="117" t="s">
        <v>74</v>
      </c>
      <c r="K5" s="117"/>
      <c r="L5" s="161" t="s">
        <v>616</v>
      </c>
      <c r="M5" s="162" t="s">
        <v>52</v>
      </c>
      <c r="N5" s="546" t="s">
        <v>150</v>
      </c>
      <c r="O5" s="546" t="s">
        <v>150</v>
      </c>
      <c r="P5" s="570" t="s">
        <v>55</v>
      </c>
      <c r="Q5" s="517" t="s">
        <v>832</v>
      </c>
      <c r="R5" s="130" t="s">
        <v>201</v>
      </c>
      <c r="S5" s="168" t="s">
        <v>932</v>
      </c>
      <c r="T5" s="179" t="s">
        <v>314</v>
      </c>
      <c r="U5" s="176"/>
    </row>
    <row r="6" spans="1:21" s="5" customFormat="1" ht="254.15" hidden="1" customHeight="1" x14ac:dyDescent="0.35">
      <c r="A6" s="8">
        <v>2</v>
      </c>
      <c r="B6" s="12" t="s">
        <v>361</v>
      </c>
      <c r="C6" s="8" t="s">
        <v>829</v>
      </c>
      <c r="D6" s="137" t="s">
        <v>833</v>
      </c>
      <c r="E6" s="8" t="s">
        <v>70</v>
      </c>
      <c r="F6" s="8"/>
      <c r="G6" s="8" t="s">
        <v>399</v>
      </c>
      <c r="H6" s="26" t="s">
        <v>154</v>
      </c>
      <c r="I6" s="26"/>
      <c r="J6" s="8" t="s">
        <v>74</v>
      </c>
      <c r="K6" s="132"/>
      <c r="L6" s="134" t="s">
        <v>616</v>
      </c>
      <c r="M6" s="136" t="s">
        <v>52</v>
      </c>
      <c r="N6" s="543"/>
      <c r="O6" s="543"/>
      <c r="P6" s="568"/>
      <c r="Q6" s="524"/>
      <c r="R6" s="102" t="s">
        <v>201</v>
      </c>
      <c r="S6" s="169" t="s">
        <v>933</v>
      </c>
      <c r="T6" s="179" t="s">
        <v>314</v>
      </c>
      <c r="U6" s="126"/>
    </row>
    <row r="7" spans="1:21" s="5" customFormat="1" ht="409.5" customHeight="1" x14ac:dyDescent="0.35">
      <c r="A7" s="8">
        <v>3</v>
      </c>
      <c r="B7" s="12" t="s">
        <v>361</v>
      </c>
      <c r="C7" s="8" t="s">
        <v>829</v>
      </c>
      <c r="D7" s="137" t="s">
        <v>835</v>
      </c>
      <c r="E7" s="8" t="s">
        <v>70</v>
      </c>
      <c r="F7" s="8"/>
      <c r="G7" s="8" t="s">
        <v>71</v>
      </c>
      <c r="H7" s="26" t="s">
        <v>154</v>
      </c>
      <c r="I7" s="26"/>
      <c r="J7" s="8" t="s">
        <v>74</v>
      </c>
      <c r="K7" s="8"/>
      <c r="L7" s="135" t="s">
        <v>616</v>
      </c>
      <c r="M7" s="141" t="s">
        <v>52</v>
      </c>
      <c r="N7" s="543"/>
      <c r="O7" s="543"/>
      <c r="P7" s="568"/>
      <c r="Q7" s="518"/>
      <c r="R7" s="102" t="s">
        <v>56</v>
      </c>
      <c r="S7" s="169"/>
      <c r="T7" s="179" t="s">
        <v>314</v>
      </c>
      <c r="U7" s="171"/>
    </row>
    <row r="8" spans="1:21" s="5" customFormat="1" ht="264" customHeight="1" x14ac:dyDescent="0.35">
      <c r="A8" s="8">
        <v>4</v>
      </c>
      <c r="B8" s="12" t="s">
        <v>361</v>
      </c>
      <c r="C8" s="128" t="s">
        <v>836</v>
      </c>
      <c r="D8" s="129" t="s">
        <v>837</v>
      </c>
      <c r="E8" s="130" t="s">
        <v>49</v>
      </c>
      <c r="F8" s="117"/>
      <c r="G8" s="117" t="s">
        <v>399</v>
      </c>
      <c r="H8" s="26" t="s">
        <v>154</v>
      </c>
      <c r="I8" s="25"/>
      <c r="J8" s="8" t="s">
        <v>74</v>
      </c>
      <c r="K8" s="8"/>
      <c r="L8" s="135" t="s">
        <v>838</v>
      </c>
      <c r="M8" s="142" t="s">
        <v>839</v>
      </c>
      <c r="N8" s="569" t="s">
        <v>55</v>
      </c>
      <c r="O8" s="543" t="s">
        <v>150</v>
      </c>
      <c r="P8" s="568" t="s">
        <v>55</v>
      </c>
      <c r="Q8" s="517" t="s">
        <v>840</v>
      </c>
      <c r="R8" s="102" t="s">
        <v>56</v>
      </c>
      <c r="S8" s="169"/>
      <c r="T8" s="179" t="s">
        <v>314</v>
      </c>
      <c r="U8" s="171"/>
    </row>
    <row r="9" spans="1:21" s="5" customFormat="1" ht="262" customHeight="1" x14ac:dyDescent="0.35">
      <c r="A9" s="8">
        <v>5</v>
      </c>
      <c r="B9" s="12" t="s">
        <v>361</v>
      </c>
      <c r="C9" s="128" t="s">
        <v>836</v>
      </c>
      <c r="D9" s="99" t="s">
        <v>841</v>
      </c>
      <c r="E9" s="130" t="s">
        <v>49</v>
      </c>
      <c r="F9" s="8"/>
      <c r="G9" s="8" t="s">
        <v>71</v>
      </c>
      <c r="H9" s="26" t="s">
        <v>154</v>
      </c>
      <c r="I9" s="26"/>
      <c r="J9" s="8" t="s">
        <v>74</v>
      </c>
      <c r="K9" s="8"/>
      <c r="L9" s="135" t="s">
        <v>838</v>
      </c>
      <c r="M9" s="38" t="s">
        <v>52</v>
      </c>
      <c r="N9" s="569"/>
      <c r="O9" s="543"/>
      <c r="P9" s="568"/>
      <c r="Q9" s="518"/>
      <c r="R9" s="102" t="s">
        <v>56</v>
      </c>
      <c r="S9" s="169"/>
      <c r="T9" s="179" t="s">
        <v>314</v>
      </c>
      <c r="U9" s="171"/>
    </row>
    <row r="10" spans="1:21" s="5" customFormat="1" ht="257.14999999999998" customHeight="1" x14ac:dyDescent="0.4">
      <c r="A10" s="8">
        <v>6</v>
      </c>
      <c r="B10" s="12" t="s">
        <v>361</v>
      </c>
      <c r="C10" s="101" t="s">
        <v>842</v>
      </c>
      <c r="D10" s="99" t="s">
        <v>843</v>
      </c>
      <c r="E10" s="130" t="s">
        <v>49</v>
      </c>
      <c r="F10" s="8"/>
      <c r="G10" s="8" t="s">
        <v>399</v>
      </c>
      <c r="H10" s="26" t="s">
        <v>154</v>
      </c>
      <c r="I10" s="25"/>
      <c r="J10" s="8" t="s">
        <v>74</v>
      </c>
      <c r="K10" s="8"/>
      <c r="L10" s="135" t="s">
        <v>838</v>
      </c>
      <c r="M10" s="142" t="s">
        <v>839</v>
      </c>
      <c r="N10" s="569" t="s">
        <v>55</v>
      </c>
      <c r="O10" s="543" t="s">
        <v>150</v>
      </c>
      <c r="P10" s="568" t="s">
        <v>55</v>
      </c>
      <c r="Q10" s="517" t="s">
        <v>840</v>
      </c>
      <c r="R10" s="102" t="s">
        <v>56</v>
      </c>
      <c r="S10" s="169"/>
      <c r="T10" s="179" t="s">
        <v>314</v>
      </c>
      <c r="U10" s="173"/>
    </row>
    <row r="11" spans="1:21" s="5" customFormat="1" ht="202.5" customHeight="1" x14ac:dyDescent="0.35">
      <c r="A11" s="8">
        <v>7</v>
      </c>
      <c r="B11" s="12" t="s">
        <v>361</v>
      </c>
      <c r="C11" s="101" t="s">
        <v>842</v>
      </c>
      <c r="D11" s="99" t="s">
        <v>844</v>
      </c>
      <c r="E11" s="130" t="s">
        <v>49</v>
      </c>
      <c r="F11" s="8"/>
      <c r="G11" s="8" t="s">
        <v>399</v>
      </c>
      <c r="H11" s="26" t="s">
        <v>154</v>
      </c>
      <c r="I11" s="25"/>
      <c r="J11" s="8" t="s">
        <v>74</v>
      </c>
      <c r="K11" s="8"/>
      <c r="L11" s="135" t="s">
        <v>838</v>
      </c>
      <c r="M11" s="142" t="s">
        <v>839</v>
      </c>
      <c r="N11" s="569"/>
      <c r="O11" s="543"/>
      <c r="P11" s="568"/>
      <c r="Q11" s="524"/>
      <c r="R11" s="102" t="s">
        <v>56</v>
      </c>
      <c r="S11" s="169"/>
      <c r="T11" s="179" t="s">
        <v>314</v>
      </c>
      <c r="U11" s="34"/>
    </row>
    <row r="12" spans="1:21" s="5" customFormat="1" ht="187" customHeight="1" x14ac:dyDescent="0.35">
      <c r="A12" s="8">
        <v>8</v>
      </c>
      <c r="B12" s="12" t="s">
        <v>361</v>
      </c>
      <c r="C12" s="101" t="s">
        <v>842</v>
      </c>
      <c r="D12" s="99" t="s">
        <v>845</v>
      </c>
      <c r="E12" s="130" t="s">
        <v>49</v>
      </c>
      <c r="F12" s="8"/>
      <c r="G12" s="8" t="s">
        <v>71</v>
      </c>
      <c r="H12" s="26" t="s">
        <v>154</v>
      </c>
      <c r="I12" s="25"/>
      <c r="J12" s="8" t="s">
        <v>74</v>
      </c>
      <c r="K12" s="8"/>
      <c r="L12" s="135" t="s">
        <v>838</v>
      </c>
      <c r="M12" s="38" t="s">
        <v>52</v>
      </c>
      <c r="N12" s="569"/>
      <c r="O12" s="543"/>
      <c r="P12" s="568"/>
      <c r="Q12" s="518"/>
      <c r="R12" s="102" t="s">
        <v>56</v>
      </c>
      <c r="S12" s="169"/>
      <c r="T12" s="179" t="s">
        <v>314</v>
      </c>
      <c r="U12" s="34"/>
    </row>
    <row r="13" spans="1:21" s="5" customFormat="1" ht="173.5" customHeight="1" x14ac:dyDescent="0.35">
      <c r="A13" s="8">
        <v>9</v>
      </c>
      <c r="B13" s="12" t="s">
        <v>361</v>
      </c>
      <c r="C13" s="139" t="s">
        <v>846</v>
      </c>
      <c r="D13" s="99" t="s">
        <v>847</v>
      </c>
      <c r="E13" s="130" t="s">
        <v>49</v>
      </c>
      <c r="F13" s="8"/>
      <c r="G13" s="8" t="s">
        <v>399</v>
      </c>
      <c r="H13" s="26" t="s">
        <v>154</v>
      </c>
      <c r="I13" s="26"/>
      <c r="J13" s="8" t="s">
        <v>74</v>
      </c>
      <c r="K13" s="8"/>
      <c r="L13" s="135" t="s">
        <v>838</v>
      </c>
      <c r="M13" s="142" t="s">
        <v>839</v>
      </c>
      <c r="N13" s="569" t="s">
        <v>150</v>
      </c>
      <c r="O13" s="543" t="s">
        <v>150</v>
      </c>
      <c r="P13" s="568" t="s">
        <v>150</v>
      </c>
      <c r="Q13" s="517" t="s">
        <v>848</v>
      </c>
      <c r="R13" s="102" t="s">
        <v>56</v>
      </c>
      <c r="S13" s="169"/>
      <c r="T13" s="179" t="s">
        <v>314</v>
      </c>
      <c r="U13" s="34"/>
    </row>
    <row r="14" spans="1:21" s="5" customFormat="1" ht="166" customHeight="1" x14ac:dyDescent="0.35">
      <c r="A14" s="8">
        <v>10</v>
      </c>
      <c r="B14" s="12" t="s">
        <v>361</v>
      </c>
      <c r="C14" s="139" t="s">
        <v>846</v>
      </c>
      <c r="D14" s="99" t="s">
        <v>849</v>
      </c>
      <c r="E14" s="130" t="s">
        <v>49</v>
      </c>
      <c r="F14" s="8"/>
      <c r="G14" s="8" t="s">
        <v>399</v>
      </c>
      <c r="H14" s="26" t="s">
        <v>154</v>
      </c>
      <c r="I14" s="26"/>
      <c r="J14" s="8" t="s">
        <v>74</v>
      </c>
      <c r="K14" s="8"/>
      <c r="L14" s="135" t="s">
        <v>838</v>
      </c>
      <c r="M14" s="142" t="s">
        <v>839</v>
      </c>
      <c r="N14" s="569"/>
      <c r="O14" s="543"/>
      <c r="P14" s="568"/>
      <c r="Q14" s="524"/>
      <c r="R14" s="102" t="s">
        <v>56</v>
      </c>
      <c r="S14" s="169"/>
      <c r="T14" s="179" t="s">
        <v>314</v>
      </c>
      <c r="U14" s="34"/>
    </row>
    <row r="15" spans="1:21" s="5" customFormat="1" ht="173.15" customHeight="1" x14ac:dyDescent="0.35">
      <c r="A15" s="8">
        <v>11</v>
      </c>
      <c r="B15" s="12" t="s">
        <v>361</v>
      </c>
      <c r="C15" s="139" t="s">
        <v>846</v>
      </c>
      <c r="D15" s="99" t="s">
        <v>845</v>
      </c>
      <c r="E15" s="130" t="s">
        <v>49</v>
      </c>
      <c r="F15" s="8"/>
      <c r="G15" s="8" t="s">
        <v>71</v>
      </c>
      <c r="H15" s="26" t="s">
        <v>154</v>
      </c>
      <c r="I15" s="26"/>
      <c r="J15" s="8" t="s">
        <v>74</v>
      </c>
      <c r="K15" s="8"/>
      <c r="L15" s="135" t="s">
        <v>838</v>
      </c>
      <c r="M15" s="38" t="s">
        <v>52</v>
      </c>
      <c r="N15" s="569"/>
      <c r="O15" s="543"/>
      <c r="P15" s="568"/>
      <c r="Q15" s="518"/>
      <c r="R15" s="102" t="s">
        <v>56</v>
      </c>
      <c r="S15" s="169"/>
      <c r="T15" s="179" t="s">
        <v>314</v>
      </c>
      <c r="U15" s="34"/>
    </row>
    <row r="16" spans="1:21" s="5" customFormat="1" ht="115.5" customHeight="1" x14ac:dyDescent="0.35">
      <c r="A16" s="8"/>
      <c r="B16" s="13"/>
      <c r="C16" s="8"/>
      <c r="D16" s="8"/>
      <c r="E16" s="8"/>
      <c r="F16" s="8"/>
      <c r="G16" s="8"/>
      <c r="H16" s="26"/>
      <c r="I16" s="26"/>
      <c r="J16" s="8"/>
      <c r="K16" s="8"/>
      <c r="L16" s="138"/>
      <c r="M16" s="75"/>
      <c r="N16" s="140"/>
      <c r="O16" s="131"/>
      <c r="P16" s="189"/>
      <c r="Q16" s="75"/>
      <c r="R16" s="102"/>
      <c r="S16" s="169"/>
      <c r="T16" s="174"/>
      <c r="U16" s="34"/>
    </row>
    <row r="17" spans="1:21" s="3" customFormat="1" ht="79.5" customHeight="1" x14ac:dyDescent="0.35">
      <c r="A17" s="8"/>
      <c r="B17" s="12"/>
      <c r="C17" s="8"/>
      <c r="D17" s="8"/>
      <c r="E17" s="8"/>
      <c r="F17" s="8"/>
      <c r="G17" s="8"/>
      <c r="H17" s="26"/>
      <c r="I17" s="26"/>
      <c r="J17" s="8"/>
      <c r="K17" s="8"/>
      <c r="L17" s="9"/>
      <c r="M17" s="119"/>
      <c r="N17" s="38"/>
      <c r="O17" s="38"/>
      <c r="P17" s="136"/>
      <c r="Q17" s="38"/>
      <c r="R17" s="102"/>
      <c r="S17" s="169"/>
      <c r="T17" s="174"/>
      <c r="U17" s="34"/>
    </row>
    <row r="18" spans="1:21" s="3" customFormat="1" ht="223.5" customHeight="1" x14ac:dyDescent="0.35">
      <c r="A18" s="8"/>
      <c r="B18" s="13"/>
      <c r="C18" s="8"/>
      <c r="D18" s="8"/>
      <c r="E18" s="8"/>
      <c r="F18" s="8"/>
      <c r="G18" s="8"/>
      <c r="H18" s="26"/>
      <c r="I18" s="26"/>
      <c r="J18" s="8"/>
      <c r="K18" s="8"/>
      <c r="L18" s="9"/>
      <c r="M18" s="9"/>
      <c r="N18" s="77"/>
      <c r="O18" s="77"/>
      <c r="P18" s="141"/>
      <c r="Q18" s="38"/>
      <c r="R18" s="102"/>
      <c r="S18" s="169"/>
      <c r="T18" s="174"/>
      <c r="U18" s="34"/>
    </row>
    <row r="19" spans="1:21" s="3" customFormat="1" ht="79.5" customHeight="1" x14ac:dyDescent="0.35">
      <c r="A19" s="8"/>
      <c r="B19" s="12"/>
      <c r="C19" s="8"/>
      <c r="D19" s="8"/>
      <c r="E19" s="8"/>
      <c r="F19" s="8"/>
      <c r="G19" s="8"/>
      <c r="H19" s="26"/>
      <c r="I19" s="27"/>
      <c r="J19" s="8"/>
      <c r="K19" s="8"/>
      <c r="L19" s="9"/>
      <c r="M19" s="9"/>
      <c r="N19" s="8"/>
      <c r="O19" s="8"/>
      <c r="P19" s="132"/>
      <c r="Q19" s="38"/>
      <c r="R19" s="102"/>
      <c r="S19" s="169"/>
      <c r="T19" s="174"/>
      <c r="U19" s="34"/>
    </row>
    <row r="20" spans="1:21" s="3" customFormat="1" ht="79.5" customHeight="1" x14ac:dyDescent="0.35">
      <c r="A20" s="8"/>
      <c r="B20" s="12"/>
      <c r="C20" s="8"/>
      <c r="D20" s="8"/>
      <c r="E20" s="8"/>
      <c r="F20" s="8"/>
      <c r="G20" s="8"/>
      <c r="H20" s="26"/>
      <c r="I20" s="26"/>
      <c r="J20" s="8"/>
      <c r="K20" s="8"/>
      <c r="L20" s="9"/>
      <c r="M20" s="9"/>
      <c r="N20" s="8"/>
      <c r="O20" s="8"/>
      <c r="P20" s="132"/>
      <c r="Q20" s="38"/>
      <c r="R20" s="102"/>
      <c r="S20" s="169"/>
      <c r="T20" s="174"/>
      <c r="U20" s="34"/>
    </row>
    <row r="21" spans="1:21" s="3" customFormat="1" ht="79.5" customHeight="1" x14ac:dyDescent="0.35">
      <c r="A21" s="8"/>
      <c r="B21" s="12"/>
      <c r="C21" s="8"/>
      <c r="D21" s="8"/>
      <c r="E21" s="8"/>
      <c r="F21" s="8"/>
      <c r="G21" s="8"/>
      <c r="H21" s="26"/>
      <c r="I21" s="26"/>
      <c r="J21" s="8"/>
      <c r="K21" s="8"/>
      <c r="L21" s="9"/>
      <c r="M21" s="9"/>
      <c r="N21" s="8"/>
      <c r="O21" s="8"/>
      <c r="P21" s="132"/>
      <c r="Q21" s="38"/>
      <c r="R21" s="102"/>
      <c r="S21" s="169"/>
      <c r="T21" s="174"/>
      <c r="U21" s="34"/>
    </row>
    <row r="22" spans="1:21" s="3" customFormat="1" ht="79.5" customHeight="1" x14ac:dyDescent="0.35">
      <c r="A22" s="8"/>
      <c r="B22" s="12"/>
      <c r="C22" s="8"/>
      <c r="D22" s="8"/>
      <c r="E22" s="8"/>
      <c r="F22" s="8"/>
      <c r="G22" s="8"/>
      <c r="H22" s="26"/>
      <c r="I22" s="26"/>
      <c r="J22" s="8"/>
      <c r="K22" s="8"/>
      <c r="L22" s="9"/>
      <c r="M22" s="9"/>
      <c r="N22" s="8"/>
      <c r="O22" s="8"/>
      <c r="P22" s="132"/>
      <c r="Q22" s="38"/>
      <c r="R22" s="102"/>
      <c r="S22" s="169"/>
      <c r="T22" s="174"/>
      <c r="U22" s="34"/>
    </row>
    <row r="23" spans="1:21" s="3" customFormat="1" ht="79.5" customHeight="1" x14ac:dyDescent="0.35">
      <c r="A23" s="8"/>
      <c r="B23" s="12"/>
      <c r="C23" s="8"/>
      <c r="D23" s="8"/>
      <c r="E23" s="8"/>
      <c r="F23" s="8"/>
      <c r="G23" s="8"/>
      <c r="H23" s="26"/>
      <c r="I23" s="26"/>
      <c r="J23" s="8"/>
      <c r="K23" s="8"/>
      <c r="L23" s="9"/>
      <c r="M23" s="9"/>
      <c r="N23" s="8"/>
      <c r="O23" s="8"/>
      <c r="P23" s="132"/>
      <c r="Q23" s="38"/>
      <c r="R23" s="102"/>
      <c r="S23" s="169"/>
      <c r="T23" s="174"/>
      <c r="U23" s="34"/>
    </row>
    <row r="24" spans="1:21" s="3" customFormat="1" ht="79.5" customHeight="1" x14ac:dyDescent="0.35">
      <c r="A24" s="8"/>
      <c r="B24" s="12"/>
      <c r="C24" s="8"/>
      <c r="D24" s="8"/>
      <c r="E24" s="8"/>
      <c r="F24" s="8"/>
      <c r="G24" s="8"/>
      <c r="H24" s="26"/>
      <c r="I24" s="26"/>
      <c r="J24" s="8"/>
      <c r="K24" s="8"/>
      <c r="L24" s="9"/>
      <c r="M24" s="9"/>
      <c r="N24" s="80"/>
      <c r="O24" s="80"/>
      <c r="P24" s="190"/>
      <c r="Q24" s="38"/>
      <c r="R24" s="102"/>
      <c r="S24" s="169"/>
      <c r="T24" s="174"/>
      <c r="U24" s="34"/>
    </row>
    <row r="25" spans="1:21" s="3" customFormat="1" ht="79.5" customHeight="1" x14ac:dyDescent="0.35">
      <c r="A25" s="8"/>
      <c r="B25" s="12"/>
      <c r="C25" s="8"/>
      <c r="D25" s="8"/>
      <c r="E25" s="8"/>
      <c r="F25" s="8"/>
      <c r="G25" s="8"/>
      <c r="H25" s="26"/>
      <c r="I25" s="26"/>
      <c r="J25" s="8"/>
      <c r="K25" s="8"/>
      <c r="L25" s="9"/>
      <c r="M25" s="138"/>
      <c r="N25" s="38"/>
      <c r="O25" s="38"/>
      <c r="P25" s="136"/>
      <c r="Q25" s="38"/>
      <c r="R25" s="102"/>
      <c r="S25" s="169"/>
      <c r="T25" s="174"/>
      <c r="U25" s="34"/>
    </row>
    <row r="26" spans="1:21" ht="79.5" customHeight="1" x14ac:dyDescent="0.4">
      <c r="A26" s="19"/>
      <c r="B26" s="20"/>
      <c r="C26" s="19"/>
      <c r="D26" s="19"/>
      <c r="E26" s="19"/>
      <c r="F26" s="19"/>
      <c r="G26" s="19"/>
      <c r="H26" s="28"/>
      <c r="I26" s="28"/>
      <c r="J26" s="19"/>
      <c r="K26" s="19"/>
      <c r="L26" s="21"/>
      <c r="M26" s="138"/>
      <c r="N26" s="38"/>
      <c r="O26" s="38"/>
      <c r="P26" s="136"/>
      <c r="Q26" s="38"/>
      <c r="R26" s="178"/>
      <c r="S26" s="170"/>
      <c r="T26" s="175"/>
      <c r="U26" s="34"/>
    </row>
    <row r="27" spans="1:21" ht="16" x14ac:dyDescent="0.35">
      <c r="N27" s="79"/>
      <c r="O27" s="79"/>
      <c r="P27" s="79"/>
      <c r="Q27" s="79"/>
    </row>
    <row r="28" spans="1:21" ht="16" x14ac:dyDescent="0.35">
      <c r="N28" s="79"/>
      <c r="O28" s="79"/>
      <c r="P28" s="79"/>
      <c r="Q28" s="79"/>
    </row>
    <row r="29" spans="1:21" ht="16" x14ac:dyDescent="0.35">
      <c r="N29" s="79"/>
      <c r="O29" s="79"/>
      <c r="P29" s="79"/>
      <c r="Q29" s="79"/>
    </row>
    <row r="30" spans="1:21" ht="16" x14ac:dyDescent="0.35">
      <c r="N30" s="79"/>
      <c r="O30" s="79"/>
      <c r="P30" s="79"/>
      <c r="Q30" s="79"/>
    </row>
    <row r="31" spans="1:21" ht="16" x14ac:dyDescent="0.35">
      <c r="N31" s="79"/>
      <c r="O31" s="79"/>
      <c r="P31" s="79"/>
      <c r="Q31" s="79"/>
    </row>
    <row r="32" spans="1:21" ht="16" x14ac:dyDescent="0.35">
      <c r="N32" s="79"/>
      <c r="O32" s="79"/>
      <c r="P32" s="79"/>
      <c r="Q32" s="79"/>
    </row>
    <row r="33" spans="14:17" ht="16" x14ac:dyDescent="0.35">
      <c r="N33" s="79"/>
      <c r="O33" s="79"/>
      <c r="P33" s="79"/>
      <c r="Q33" s="79"/>
    </row>
    <row r="34" spans="14:17" ht="16" x14ac:dyDescent="0.35">
      <c r="N34" s="79"/>
      <c r="O34" s="79"/>
      <c r="P34" s="79"/>
      <c r="Q34" s="79"/>
    </row>
    <row r="35" spans="14:17" ht="16" x14ac:dyDescent="0.35">
      <c r="N35" s="79"/>
      <c r="O35" s="79"/>
      <c r="P35" s="79"/>
      <c r="Q35" s="79"/>
    </row>
    <row r="36" spans="14:17" ht="16" x14ac:dyDescent="0.35">
      <c r="N36" s="79"/>
      <c r="O36" s="79"/>
      <c r="P36" s="79"/>
      <c r="Q36" s="79"/>
    </row>
    <row r="37" spans="14:17" ht="16" x14ac:dyDescent="0.35">
      <c r="N37" s="79"/>
      <c r="O37" s="79"/>
      <c r="P37" s="79"/>
      <c r="Q37" s="79"/>
    </row>
    <row r="38" spans="14:17" ht="16" x14ac:dyDescent="0.35">
      <c r="N38" s="79"/>
      <c r="O38" s="79"/>
      <c r="P38" s="79"/>
      <c r="Q38" s="79"/>
    </row>
    <row r="39" spans="14:17" ht="16" x14ac:dyDescent="0.35">
      <c r="N39" s="79"/>
      <c r="O39" s="79"/>
      <c r="P39" s="79"/>
      <c r="Q39" s="79"/>
    </row>
    <row r="40" spans="14:17" ht="16" x14ac:dyDescent="0.35">
      <c r="N40" s="79"/>
      <c r="O40" s="79"/>
      <c r="P40" s="79"/>
      <c r="Q40" s="79"/>
    </row>
    <row r="41" spans="14:17" ht="16" x14ac:dyDescent="0.35">
      <c r="N41" s="79"/>
      <c r="O41" s="79"/>
      <c r="P41" s="79"/>
      <c r="Q41" s="79"/>
    </row>
    <row r="42" spans="14:17" ht="16" x14ac:dyDescent="0.35">
      <c r="N42" s="79"/>
      <c r="O42" s="79"/>
      <c r="P42" s="79"/>
      <c r="Q42" s="79"/>
    </row>
    <row r="43" spans="14:17" ht="16" x14ac:dyDescent="0.35">
      <c r="N43" s="79"/>
      <c r="O43" s="79"/>
      <c r="P43" s="79"/>
      <c r="Q43" s="79"/>
    </row>
    <row r="44" spans="14:17" ht="16" x14ac:dyDescent="0.35">
      <c r="N44" s="79"/>
      <c r="O44" s="79"/>
      <c r="P44" s="79"/>
      <c r="Q44" s="79"/>
    </row>
    <row r="45" spans="14:17" ht="16" x14ac:dyDescent="0.35">
      <c r="N45" s="79"/>
      <c r="O45" s="79"/>
      <c r="P45" s="79"/>
      <c r="Q45" s="79"/>
    </row>
    <row r="46" spans="14:17" ht="16" x14ac:dyDescent="0.35">
      <c r="N46" s="79"/>
      <c r="O46" s="79"/>
      <c r="P46" s="79"/>
      <c r="Q46" s="79"/>
    </row>
    <row r="47" spans="14:17" ht="16" x14ac:dyDescent="0.35">
      <c r="N47" s="79"/>
      <c r="O47" s="79"/>
      <c r="P47" s="79"/>
      <c r="Q47" s="79"/>
    </row>
    <row r="48" spans="14:17" ht="16" x14ac:dyDescent="0.35">
      <c r="N48" s="79"/>
      <c r="O48" s="79"/>
      <c r="P48" s="79"/>
      <c r="Q48" s="79"/>
    </row>
    <row r="49" spans="14:17" ht="16" x14ac:dyDescent="0.35">
      <c r="N49" s="79"/>
      <c r="O49" s="79"/>
      <c r="P49" s="79"/>
      <c r="Q49" s="79"/>
    </row>
    <row r="50" spans="14:17" ht="16" x14ac:dyDescent="0.35">
      <c r="N50" s="79"/>
      <c r="O50" s="79"/>
      <c r="P50" s="79"/>
      <c r="Q50" s="79"/>
    </row>
    <row r="51" spans="14:17" ht="16" x14ac:dyDescent="0.35">
      <c r="N51" s="79"/>
      <c r="O51" s="79"/>
      <c r="P51" s="79"/>
      <c r="Q51" s="79"/>
    </row>
    <row r="52" spans="14:17" ht="16" x14ac:dyDescent="0.35">
      <c r="N52" s="79"/>
      <c r="O52" s="79"/>
      <c r="P52" s="79"/>
      <c r="Q52" s="79"/>
    </row>
    <row r="53" spans="14:17" ht="16" x14ac:dyDescent="0.35">
      <c r="N53" s="79"/>
      <c r="O53" s="79"/>
      <c r="P53" s="79"/>
      <c r="Q53" s="79"/>
    </row>
    <row r="54" spans="14:17" ht="16" x14ac:dyDescent="0.35">
      <c r="N54" s="79"/>
      <c r="O54" s="79"/>
      <c r="P54" s="79"/>
      <c r="Q54" s="79"/>
    </row>
    <row r="55" spans="14:17" ht="16" x14ac:dyDescent="0.35">
      <c r="N55" s="79"/>
      <c r="O55" s="79"/>
      <c r="P55" s="79"/>
      <c r="Q55" s="79"/>
    </row>
    <row r="56" spans="14:17" ht="16" x14ac:dyDescent="0.35">
      <c r="N56" s="79"/>
      <c r="O56" s="79"/>
      <c r="P56" s="79"/>
      <c r="Q56" s="79"/>
    </row>
    <row r="57" spans="14:17" ht="16" x14ac:dyDescent="0.35">
      <c r="N57" s="79"/>
      <c r="O57" s="79"/>
      <c r="P57" s="79"/>
      <c r="Q57" s="79"/>
    </row>
    <row r="58" spans="14:17" ht="16" x14ac:dyDescent="0.35">
      <c r="N58" s="79"/>
      <c r="O58" s="79"/>
      <c r="P58" s="79"/>
      <c r="Q58" s="79"/>
    </row>
    <row r="59" spans="14:17" ht="16" x14ac:dyDescent="0.35">
      <c r="N59" s="79"/>
      <c r="O59" s="79"/>
      <c r="P59" s="79"/>
      <c r="Q59" s="79"/>
    </row>
    <row r="60" spans="14:17" ht="16" x14ac:dyDescent="0.35">
      <c r="N60" s="79"/>
      <c r="O60" s="79"/>
      <c r="P60" s="79"/>
      <c r="Q60" s="79"/>
    </row>
    <row r="61" spans="14:17" ht="16" x14ac:dyDescent="0.35">
      <c r="N61" s="79"/>
      <c r="O61" s="79"/>
      <c r="P61" s="79"/>
      <c r="Q61" s="79"/>
    </row>
    <row r="62" spans="14:17" ht="16" x14ac:dyDescent="0.35">
      <c r="N62" s="79"/>
      <c r="O62" s="79"/>
      <c r="P62" s="79"/>
      <c r="Q62" s="79"/>
    </row>
    <row r="63" spans="14:17" ht="16" x14ac:dyDescent="0.35">
      <c r="N63" s="79"/>
      <c r="O63" s="79"/>
      <c r="P63" s="79"/>
      <c r="Q63" s="79"/>
    </row>
    <row r="64" spans="14:17" ht="16" x14ac:dyDescent="0.35">
      <c r="N64" s="79"/>
      <c r="O64" s="79"/>
      <c r="P64" s="79"/>
      <c r="Q64" s="79"/>
    </row>
    <row r="65" spans="14:17" ht="16" x14ac:dyDescent="0.35">
      <c r="N65" s="79"/>
      <c r="O65" s="79"/>
      <c r="P65" s="79"/>
      <c r="Q65" s="79"/>
    </row>
    <row r="66" spans="14:17" ht="16" x14ac:dyDescent="0.35">
      <c r="N66" s="79"/>
      <c r="O66" s="79"/>
      <c r="P66" s="79"/>
      <c r="Q66" s="79"/>
    </row>
    <row r="67" spans="14:17" ht="16" x14ac:dyDescent="0.35">
      <c r="N67" s="79"/>
      <c r="O67" s="79"/>
      <c r="P67" s="79"/>
      <c r="Q67" s="79"/>
    </row>
    <row r="68" spans="14:17" ht="16" x14ac:dyDescent="0.35">
      <c r="N68" s="79"/>
      <c r="O68" s="79"/>
      <c r="P68" s="79"/>
      <c r="Q68" s="79"/>
    </row>
    <row r="69" spans="14:17" ht="16" x14ac:dyDescent="0.35">
      <c r="N69" s="79"/>
      <c r="O69" s="79"/>
      <c r="P69" s="79"/>
      <c r="Q69" s="79"/>
    </row>
    <row r="70" spans="14:17" ht="16" x14ac:dyDescent="0.35">
      <c r="N70" s="79"/>
      <c r="O70" s="79"/>
      <c r="P70" s="79"/>
      <c r="Q70" s="79"/>
    </row>
    <row r="71" spans="14:17" ht="16" x14ac:dyDescent="0.35">
      <c r="N71" s="79"/>
      <c r="O71" s="79"/>
      <c r="P71" s="79"/>
      <c r="Q71" s="79"/>
    </row>
    <row r="72" spans="14:17" ht="16" x14ac:dyDescent="0.35">
      <c r="N72" s="79"/>
      <c r="O72" s="79"/>
      <c r="P72" s="79"/>
      <c r="Q72" s="79"/>
    </row>
    <row r="73" spans="14:17" ht="16" x14ac:dyDescent="0.35">
      <c r="N73" s="79"/>
      <c r="O73" s="79"/>
      <c r="P73" s="79"/>
      <c r="Q73" s="79"/>
    </row>
    <row r="74" spans="14:17" ht="16" x14ac:dyDescent="0.35">
      <c r="N74" s="79"/>
      <c r="O74" s="79"/>
      <c r="P74" s="79"/>
      <c r="Q74" s="79"/>
    </row>
  </sheetData>
  <autoFilter ref="A1:S18"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23">
    <mergeCell ref="N10:N12"/>
    <mergeCell ref="O10:O12"/>
    <mergeCell ref="P10:P12"/>
    <mergeCell ref="Q10:Q12"/>
    <mergeCell ref="N13:N15"/>
    <mergeCell ref="O13:O15"/>
    <mergeCell ref="P13:P15"/>
    <mergeCell ref="Q13:Q15"/>
    <mergeCell ref="N5:N7"/>
    <mergeCell ref="O5:O7"/>
    <mergeCell ref="P5:P7"/>
    <mergeCell ref="Q5:Q7"/>
    <mergeCell ref="N8:N9"/>
    <mergeCell ref="O8:O9"/>
    <mergeCell ref="P8:P9"/>
    <mergeCell ref="Q8:Q9"/>
    <mergeCell ref="A1:S1"/>
    <mergeCell ref="A2:S2"/>
    <mergeCell ref="A3:D3"/>
    <mergeCell ref="E3:K3"/>
    <mergeCell ref="L3:M3"/>
    <mergeCell ref="N3:Q3"/>
    <mergeCell ref="R3:S3"/>
  </mergeCells>
  <conditionalFormatting sqref="N5:Q5 N6:P7 N8:Q8 N9:P9 N10:Q10 N11:P12 N13:Q13 N14:P15 N16:Q1048576">
    <cfRule type="containsText" dxfId="25" priority="1" operator="containsText" text="No">
      <formula>NOT(ISERROR(SEARCH("No",N5)))</formula>
    </cfRule>
    <cfRule type="containsText" dxfId="24" priority="2" operator="containsText" text="Yes">
      <formula>NOT(ISERROR(SEARCH("Yes",N5)))</formula>
    </cfRule>
  </conditionalFormatting>
  <conditionalFormatting sqref="R5:R1048576">
    <cfRule type="containsText" dxfId="23" priority="3" operator="containsText" text="Rejected">
      <formula>NOT(ISERROR(SEARCH("Rejected",R5)))</formula>
    </cfRule>
    <cfRule type="containsText" dxfId="22" priority="4" operator="containsText" text="Revisions Needed">
      <formula>NOT(ISERROR(SEARCH("Revisions Needed",R5)))</formula>
    </cfRule>
    <cfRule type="containsText" dxfId="21" priority="5" operator="containsText" text="Approved">
      <formula>NOT(ISERROR(SEARCH("Approved",R5)))</formula>
    </cfRule>
  </conditionalFormatting>
  <dataValidations count="2">
    <dataValidation type="list" allowBlank="1" showInputMessage="1" showErrorMessage="1" sqref="N8:P8 N10:P10 N13:P13 N16:P1048576 N5:P5" xr:uid="{1C976420-492D-4405-87F0-A41746B0A3EB}">
      <formula1>"No, Yes"</formula1>
    </dataValidation>
    <dataValidation type="list" allowBlank="1" sqref="R5:R1048576" xr:uid="{8197AF6C-9BE3-48D6-BB0E-9A553A6D5187}">
      <formula1>"Approved,Revisions Needed, Rejected"</formula1>
    </dataValidation>
  </dataValidation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450E-071F-4710-9A7F-8FC253675A17}">
  <sheetPr>
    <tabColor theme="6"/>
  </sheetPr>
  <dimension ref="A1:Q26"/>
  <sheetViews>
    <sheetView showGridLines="0" topLeftCell="A2" zoomScale="50" zoomScaleNormal="50" workbookViewId="0">
      <selection activeCell="D8" sqref="D8"/>
    </sheetView>
  </sheetViews>
  <sheetFormatPr defaultColWidth="8.54296875" defaultRowHeight="14.5" x14ac:dyDescent="0.35"/>
  <cols>
    <col min="1" max="1" width="9" style="2" customWidth="1"/>
    <col min="2" max="2" width="12" style="14" customWidth="1"/>
    <col min="3" max="3" width="18.81640625" style="2" customWidth="1"/>
    <col min="4" max="4" width="20.453125" style="2" customWidth="1"/>
    <col min="5" max="5" width="14.26953125" style="2" customWidth="1"/>
    <col min="6" max="6" width="13.1796875" style="2" hidden="1" customWidth="1"/>
    <col min="7" max="7" width="11.1796875" style="2" customWidth="1"/>
    <col min="8" max="8" width="11.81640625" style="29" customWidth="1"/>
    <col min="9" max="9" width="11.453125" style="29" customWidth="1"/>
    <col min="10" max="10" width="15.54296875" style="2" customWidth="1"/>
    <col min="11" max="11" width="13.1796875" style="2" hidden="1" customWidth="1"/>
    <col min="12" max="12" width="36" style="1" customWidth="1"/>
    <col min="13" max="13" width="46.1796875" style="3" customWidth="1"/>
    <col min="14" max="14" width="14.453125" style="2" customWidth="1"/>
    <col min="15" max="15" width="76.54296875" style="109" customWidth="1"/>
    <col min="16" max="16" width="16.26953125" style="159" customWidth="1"/>
    <col min="17" max="17" width="76.54296875" style="115" customWidth="1"/>
    <col min="18" max="16384" width="8.54296875" style="1"/>
  </cols>
  <sheetData>
    <row r="1" spans="1:17" ht="37.5" customHeight="1" x14ac:dyDescent="0.35">
      <c r="A1" s="555" t="s">
        <v>0</v>
      </c>
      <c r="B1" s="555"/>
      <c r="C1" s="555"/>
      <c r="D1" s="555"/>
      <c r="E1" s="555"/>
      <c r="F1" s="555"/>
      <c r="G1" s="555"/>
      <c r="H1" s="555"/>
      <c r="I1" s="555"/>
      <c r="J1" s="555"/>
      <c r="K1" s="555"/>
      <c r="L1" s="555"/>
      <c r="M1" s="555"/>
      <c r="N1" s="555"/>
      <c r="O1" s="555"/>
      <c r="P1" s="81"/>
      <c r="Q1" s="111"/>
    </row>
    <row r="2" spans="1:17" ht="19.5" customHeight="1" thickBot="1" x14ac:dyDescent="0.4">
      <c r="A2" s="550" t="s">
        <v>2</v>
      </c>
      <c r="B2" s="550"/>
      <c r="C2" s="550"/>
      <c r="D2" s="550"/>
      <c r="E2" s="550"/>
      <c r="F2" s="550"/>
      <c r="G2" s="550"/>
      <c r="H2" s="550"/>
      <c r="I2" s="550"/>
      <c r="J2" s="550"/>
      <c r="K2" s="550"/>
      <c r="L2" s="550"/>
      <c r="M2" s="550"/>
      <c r="N2" s="550"/>
      <c r="O2" s="550"/>
      <c r="P2" s="82"/>
      <c r="Q2" s="112"/>
    </row>
    <row r="3" spans="1:17" s="4" customFormat="1" ht="27.75" customHeight="1" thickTop="1" thickBot="1" x14ac:dyDescent="0.45">
      <c r="A3" s="516" t="s">
        <v>3</v>
      </c>
      <c r="B3" s="516"/>
      <c r="C3" s="516"/>
      <c r="D3" s="516"/>
      <c r="E3" s="547" t="s">
        <v>4</v>
      </c>
      <c r="F3" s="548"/>
      <c r="G3" s="548"/>
      <c r="H3" s="548"/>
      <c r="I3" s="548"/>
      <c r="J3" s="548"/>
      <c r="K3" s="549"/>
      <c r="L3" s="516" t="s">
        <v>5</v>
      </c>
      <c r="M3" s="516"/>
      <c r="N3" s="516" t="s">
        <v>7</v>
      </c>
      <c r="O3" s="516"/>
      <c r="P3" s="127"/>
      <c r="Q3" s="116" t="s">
        <v>396</v>
      </c>
    </row>
    <row r="4" spans="1:17" ht="71.5" customHeight="1" thickTop="1" thickBot="1" x14ac:dyDescent="0.4">
      <c r="A4" s="10" t="s">
        <v>9</v>
      </c>
      <c r="B4" s="10" t="s">
        <v>10</v>
      </c>
      <c r="C4" s="10" t="s">
        <v>12</v>
      </c>
      <c r="D4" s="10" t="s">
        <v>13</v>
      </c>
      <c r="E4" s="10" t="s">
        <v>14</v>
      </c>
      <c r="F4" s="10" t="s">
        <v>228</v>
      </c>
      <c r="G4" s="10" t="s">
        <v>15</v>
      </c>
      <c r="H4" s="10" t="s">
        <v>16</v>
      </c>
      <c r="I4" s="10" t="s">
        <v>17</v>
      </c>
      <c r="J4" s="10" t="s">
        <v>18</v>
      </c>
      <c r="K4" s="10" t="s">
        <v>19</v>
      </c>
      <c r="L4" s="10" t="s">
        <v>20</v>
      </c>
      <c r="M4" s="10" t="s">
        <v>21</v>
      </c>
      <c r="N4" s="23" t="s">
        <v>470</v>
      </c>
      <c r="O4" s="18" t="s">
        <v>27</v>
      </c>
      <c r="P4" s="85" t="s">
        <v>29</v>
      </c>
      <c r="Q4" s="85" t="s">
        <v>30</v>
      </c>
    </row>
    <row r="5" spans="1:17" s="5" customFormat="1" ht="254.15" customHeight="1" thickTop="1" x14ac:dyDescent="0.35">
      <c r="A5" s="8">
        <v>2</v>
      </c>
      <c r="B5" s="13" t="s">
        <v>361</v>
      </c>
      <c r="C5" s="104" t="s">
        <v>476</v>
      </c>
      <c r="D5" s="103" t="s">
        <v>934</v>
      </c>
      <c r="E5" s="8" t="s">
        <v>478</v>
      </c>
      <c r="F5" s="8"/>
      <c r="G5" s="8" t="s">
        <v>71</v>
      </c>
      <c r="H5" s="26" t="s">
        <v>860</v>
      </c>
      <c r="I5" s="26">
        <v>175</v>
      </c>
      <c r="J5" s="8" t="s">
        <v>74</v>
      </c>
      <c r="K5" s="8"/>
      <c r="L5" s="9" t="s">
        <v>480</v>
      </c>
      <c r="M5" s="9" t="s">
        <v>481</v>
      </c>
      <c r="N5" s="8" t="s">
        <v>56</v>
      </c>
      <c r="O5" s="106">
        <v>0.5</v>
      </c>
      <c r="P5" s="155" t="s">
        <v>325</v>
      </c>
      <c r="Q5" s="113" t="s">
        <v>935</v>
      </c>
    </row>
    <row r="6" spans="1:17" s="5" customFormat="1" ht="264" customHeight="1" x14ac:dyDescent="0.35">
      <c r="A6" s="8">
        <v>4</v>
      </c>
      <c r="B6" s="13" t="s">
        <v>361</v>
      </c>
      <c r="C6" s="104" t="s">
        <v>476</v>
      </c>
      <c r="D6" s="103" t="s">
        <v>936</v>
      </c>
      <c r="E6" s="8" t="s">
        <v>478</v>
      </c>
      <c r="F6" s="8"/>
      <c r="G6" s="8" t="s">
        <v>71</v>
      </c>
      <c r="H6" s="26" t="s">
        <v>937</v>
      </c>
      <c r="I6" s="26"/>
      <c r="J6" s="8" t="s">
        <v>74</v>
      </c>
      <c r="K6" s="8"/>
      <c r="L6" s="9" t="s">
        <v>480</v>
      </c>
      <c r="M6" s="9" t="s">
        <v>481</v>
      </c>
      <c r="N6" s="8" t="s">
        <v>56</v>
      </c>
      <c r="O6" s="106">
        <v>0.5</v>
      </c>
      <c r="P6" s="155" t="s">
        <v>325</v>
      </c>
      <c r="Q6" s="113" t="s">
        <v>938</v>
      </c>
    </row>
    <row r="7" spans="1:17" s="5" customFormat="1" ht="262" customHeight="1" x14ac:dyDescent="0.35">
      <c r="A7" s="8">
        <v>5</v>
      </c>
      <c r="B7" s="13" t="s">
        <v>361</v>
      </c>
      <c r="C7" s="104" t="s">
        <v>476</v>
      </c>
      <c r="D7" s="103" t="s">
        <v>939</v>
      </c>
      <c r="E7" s="8" t="s">
        <v>478</v>
      </c>
      <c r="F7" s="8"/>
      <c r="G7" s="8" t="s">
        <v>71</v>
      </c>
      <c r="H7" s="26" t="s">
        <v>416</v>
      </c>
      <c r="I7" s="26"/>
      <c r="J7" s="8" t="s">
        <v>74</v>
      </c>
      <c r="K7" s="8"/>
      <c r="L7" s="9" t="s">
        <v>480</v>
      </c>
      <c r="M7" s="9" t="s">
        <v>481</v>
      </c>
      <c r="N7" s="8" t="s">
        <v>56</v>
      </c>
      <c r="O7" s="106">
        <v>0.5</v>
      </c>
      <c r="P7" s="155" t="s">
        <v>325</v>
      </c>
      <c r="Q7" s="124" t="s">
        <v>940</v>
      </c>
    </row>
    <row r="8" spans="1:17" s="5" customFormat="1" ht="257.14999999999998" customHeight="1" x14ac:dyDescent="0.35">
      <c r="A8" s="8">
        <v>6</v>
      </c>
      <c r="B8" s="13" t="s">
        <v>361</v>
      </c>
      <c r="C8" s="104" t="s">
        <v>476</v>
      </c>
      <c r="D8" s="103" t="s">
        <v>941</v>
      </c>
      <c r="E8" s="8" t="s">
        <v>478</v>
      </c>
      <c r="F8" s="8"/>
      <c r="G8" s="8" t="s">
        <v>71</v>
      </c>
      <c r="H8" s="26" t="s">
        <v>97</v>
      </c>
      <c r="I8" s="25"/>
      <c r="J8" s="8" t="s">
        <v>74</v>
      </c>
      <c r="K8" s="8"/>
      <c r="L8" s="9" t="s">
        <v>480</v>
      </c>
      <c r="M8" s="9" t="s">
        <v>481</v>
      </c>
      <c r="N8" s="8" t="s">
        <v>56</v>
      </c>
      <c r="O8" s="106"/>
      <c r="P8" s="155" t="s">
        <v>325</v>
      </c>
      <c r="Q8" s="125" t="s">
        <v>942</v>
      </c>
    </row>
    <row r="9" spans="1:17" s="5" customFormat="1" ht="176.5" customHeight="1" x14ac:dyDescent="0.35">
      <c r="A9" s="8">
        <v>9</v>
      </c>
      <c r="B9" s="13" t="s">
        <v>361</v>
      </c>
      <c r="C9" s="105" t="s">
        <v>943</v>
      </c>
      <c r="D9" s="103" t="s">
        <v>944</v>
      </c>
      <c r="E9" s="8" t="s">
        <v>945</v>
      </c>
      <c r="F9" s="8"/>
      <c r="G9" s="8" t="s">
        <v>71</v>
      </c>
      <c r="H9" s="26" t="s">
        <v>591</v>
      </c>
      <c r="I9" s="26" t="s">
        <v>296</v>
      </c>
      <c r="J9" s="8" t="s">
        <v>74</v>
      </c>
      <c r="K9" s="8"/>
      <c r="L9" s="9" t="s">
        <v>946</v>
      </c>
      <c r="M9" s="9" t="s">
        <v>947</v>
      </c>
      <c r="N9" s="8" t="s">
        <v>56</v>
      </c>
      <c r="O9" s="107" t="s">
        <v>948</v>
      </c>
      <c r="P9" s="156" t="s">
        <v>352</v>
      </c>
      <c r="Q9" s="88" t="s">
        <v>949</v>
      </c>
    </row>
    <row r="10" spans="1:17" s="5" customFormat="1" ht="129.65" customHeight="1" x14ac:dyDescent="0.35">
      <c r="A10" s="8"/>
      <c r="B10" s="13"/>
      <c r="C10" s="102"/>
      <c r="D10" s="8"/>
      <c r="E10" s="8"/>
      <c r="F10" s="8"/>
      <c r="G10" s="8"/>
      <c r="H10" s="26"/>
      <c r="I10" s="26"/>
      <c r="J10" s="8"/>
      <c r="K10" s="8"/>
      <c r="L10" s="9"/>
      <c r="M10" s="9"/>
      <c r="N10" s="8"/>
      <c r="O10" s="108"/>
      <c r="P10" s="183"/>
      <c r="Q10" s="88"/>
    </row>
    <row r="11" spans="1:17" s="5" customFormat="1" ht="120.65" customHeight="1" x14ac:dyDescent="0.35">
      <c r="A11" s="8"/>
      <c r="B11" s="13"/>
      <c r="C11" s="8"/>
      <c r="D11" s="8"/>
      <c r="E11" s="8"/>
      <c r="F11" s="8"/>
      <c r="G11" s="8"/>
      <c r="H11" s="26"/>
      <c r="I11" s="26"/>
      <c r="J11" s="8"/>
      <c r="K11" s="8"/>
      <c r="L11" s="9"/>
      <c r="M11" s="9"/>
      <c r="N11" s="8"/>
      <c r="O11" s="180"/>
      <c r="P11" s="174"/>
      <c r="Q11" s="182"/>
    </row>
    <row r="12" spans="1:17" s="5" customFormat="1" ht="115.5" customHeight="1" x14ac:dyDescent="0.35">
      <c r="A12" s="8"/>
      <c r="B12" s="13"/>
      <c r="C12" s="8"/>
      <c r="D12" s="8"/>
      <c r="E12" s="8"/>
      <c r="F12" s="8"/>
      <c r="G12" s="8"/>
      <c r="H12" s="26"/>
      <c r="I12" s="26"/>
      <c r="J12" s="8"/>
      <c r="K12" s="8"/>
      <c r="L12" s="9"/>
      <c r="M12" s="9"/>
      <c r="N12" s="8"/>
      <c r="O12" s="180"/>
      <c r="P12" s="174"/>
      <c r="Q12" s="182"/>
    </row>
    <row r="13" spans="1:17" s="3" customFormat="1" ht="79.5" customHeight="1" x14ac:dyDescent="0.35">
      <c r="A13" s="8"/>
      <c r="B13" s="12"/>
      <c r="C13" s="8"/>
      <c r="D13" s="8"/>
      <c r="E13" s="8"/>
      <c r="F13" s="8"/>
      <c r="G13" s="8"/>
      <c r="H13" s="26"/>
      <c r="I13" s="26"/>
      <c r="J13" s="8"/>
      <c r="K13" s="8"/>
      <c r="L13" s="9"/>
      <c r="M13" s="9"/>
      <c r="N13" s="8"/>
      <c r="O13" s="180"/>
      <c r="P13" s="174"/>
      <c r="Q13" s="182"/>
    </row>
    <row r="14" spans="1:17" s="3" customFormat="1" ht="223.5" customHeight="1" x14ac:dyDescent="0.35">
      <c r="A14" s="8"/>
      <c r="B14" s="13"/>
      <c r="C14" s="8"/>
      <c r="D14" s="8"/>
      <c r="E14" s="8"/>
      <c r="F14" s="8"/>
      <c r="G14" s="8"/>
      <c r="H14" s="26"/>
      <c r="I14" s="26"/>
      <c r="J14" s="8"/>
      <c r="K14" s="8"/>
      <c r="L14" s="9"/>
      <c r="M14" s="9"/>
      <c r="N14" s="8"/>
      <c r="O14" s="180"/>
      <c r="P14" s="174"/>
      <c r="Q14" s="182"/>
    </row>
    <row r="15" spans="1:17" s="3" customFormat="1" ht="79.5" customHeight="1" x14ac:dyDescent="0.35">
      <c r="A15" s="8"/>
      <c r="B15" s="12"/>
      <c r="C15" s="8"/>
      <c r="D15" s="8"/>
      <c r="E15" s="8"/>
      <c r="F15" s="8"/>
      <c r="G15" s="8"/>
      <c r="H15" s="26"/>
      <c r="I15" s="27"/>
      <c r="J15" s="8"/>
      <c r="K15" s="8"/>
      <c r="L15" s="9"/>
      <c r="M15" s="9"/>
      <c r="N15" s="8"/>
      <c r="O15" s="180"/>
      <c r="P15" s="174"/>
      <c r="Q15" s="182"/>
    </row>
    <row r="16" spans="1:17" s="3" customFormat="1" ht="79.5" customHeight="1" x14ac:dyDescent="0.35">
      <c r="A16" s="8"/>
      <c r="B16" s="12"/>
      <c r="C16" s="8"/>
      <c r="D16" s="8"/>
      <c r="E16" s="8"/>
      <c r="F16" s="8"/>
      <c r="G16" s="8"/>
      <c r="H16" s="26"/>
      <c r="I16" s="26"/>
      <c r="J16" s="8"/>
      <c r="K16" s="8"/>
      <c r="L16" s="9"/>
      <c r="M16" s="9"/>
      <c r="N16" s="8"/>
      <c r="O16" s="180"/>
      <c r="P16" s="174"/>
      <c r="Q16" s="182"/>
    </row>
    <row r="17" spans="1:17" s="3" customFormat="1" ht="79.5" customHeight="1" x14ac:dyDescent="0.35">
      <c r="A17" s="8"/>
      <c r="B17" s="12"/>
      <c r="C17" s="8"/>
      <c r="D17" s="8"/>
      <c r="E17" s="8"/>
      <c r="F17" s="8"/>
      <c r="G17" s="8"/>
      <c r="H17" s="26"/>
      <c r="I17" s="26"/>
      <c r="J17" s="8"/>
      <c r="K17" s="8"/>
      <c r="L17" s="9"/>
      <c r="M17" s="9"/>
      <c r="N17" s="8"/>
      <c r="O17" s="180"/>
      <c r="P17" s="174"/>
      <c r="Q17" s="182"/>
    </row>
    <row r="18" spans="1:17" s="3" customFormat="1" ht="79.5" customHeight="1" x14ac:dyDescent="0.35">
      <c r="A18" s="8"/>
      <c r="B18" s="12"/>
      <c r="C18" s="8"/>
      <c r="D18" s="8"/>
      <c r="E18" s="8"/>
      <c r="F18" s="8"/>
      <c r="G18" s="8"/>
      <c r="H18" s="26"/>
      <c r="I18" s="26"/>
      <c r="J18" s="8"/>
      <c r="K18" s="8"/>
      <c r="L18" s="9"/>
      <c r="M18" s="9"/>
      <c r="N18" s="8"/>
      <c r="O18" s="180"/>
      <c r="P18" s="174"/>
      <c r="Q18" s="182"/>
    </row>
    <row r="19" spans="1:17" s="3" customFormat="1" ht="79.5" customHeight="1" x14ac:dyDescent="0.35">
      <c r="A19" s="8"/>
      <c r="B19" s="12"/>
      <c r="C19" s="8"/>
      <c r="D19" s="8"/>
      <c r="E19" s="8"/>
      <c r="F19" s="8"/>
      <c r="G19" s="8"/>
      <c r="H19" s="26"/>
      <c r="I19" s="26"/>
      <c r="J19" s="8"/>
      <c r="K19" s="8"/>
      <c r="L19" s="9"/>
      <c r="M19" s="9"/>
      <c r="N19" s="8"/>
      <c r="O19" s="180"/>
      <c r="P19" s="174"/>
      <c r="Q19" s="182"/>
    </row>
    <row r="20" spans="1:17" s="3" customFormat="1" ht="79.5" customHeight="1" x14ac:dyDescent="0.35">
      <c r="A20" s="8"/>
      <c r="B20" s="12"/>
      <c r="C20" s="8"/>
      <c r="D20" s="8"/>
      <c r="E20" s="8"/>
      <c r="F20" s="8"/>
      <c r="G20" s="8"/>
      <c r="H20" s="26"/>
      <c r="I20" s="26"/>
      <c r="J20" s="8"/>
      <c r="K20" s="8"/>
      <c r="L20" s="9"/>
      <c r="M20" s="9"/>
      <c r="N20" s="8"/>
      <c r="O20" s="180"/>
      <c r="P20" s="174"/>
      <c r="Q20" s="182"/>
    </row>
    <row r="21" spans="1:17" s="3" customFormat="1" ht="79.5" customHeight="1" x14ac:dyDescent="0.35">
      <c r="A21" s="8"/>
      <c r="B21" s="12"/>
      <c r="C21" s="8"/>
      <c r="D21" s="8"/>
      <c r="E21" s="8"/>
      <c r="F21" s="8"/>
      <c r="G21" s="8"/>
      <c r="H21" s="26"/>
      <c r="I21" s="26"/>
      <c r="J21" s="8"/>
      <c r="K21" s="8"/>
      <c r="L21" s="9"/>
      <c r="M21" s="9"/>
      <c r="N21" s="8"/>
      <c r="O21" s="180"/>
      <c r="P21" s="174"/>
      <c r="Q21" s="182"/>
    </row>
    <row r="22" spans="1:17" ht="79.5" customHeight="1" x14ac:dyDescent="0.4">
      <c r="A22" s="19"/>
      <c r="B22" s="20"/>
      <c r="C22" s="19"/>
      <c r="D22" s="19"/>
      <c r="E22" s="19"/>
      <c r="F22" s="19"/>
      <c r="G22" s="19"/>
      <c r="H22" s="28"/>
      <c r="I22" s="28"/>
      <c r="J22" s="19"/>
      <c r="K22" s="19"/>
      <c r="L22" s="21"/>
      <c r="M22" s="9"/>
      <c r="N22" s="19"/>
      <c r="O22" s="181"/>
      <c r="P22" s="174"/>
      <c r="Q22" s="182"/>
    </row>
    <row r="23" spans="1:17" ht="16" x14ac:dyDescent="0.35">
      <c r="P23" s="157"/>
      <c r="Q23" s="88"/>
    </row>
    <row r="24" spans="1:17" ht="16" x14ac:dyDescent="0.4">
      <c r="P24" s="157"/>
      <c r="Q24" s="114"/>
    </row>
    <row r="25" spans="1:17" ht="16" x14ac:dyDescent="0.35">
      <c r="P25" s="157"/>
    </row>
    <row r="26" spans="1:17" ht="16" x14ac:dyDescent="0.4">
      <c r="P26" s="158"/>
    </row>
  </sheetData>
  <autoFilter ref="A1:O14"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6">
    <mergeCell ref="A1:O1"/>
    <mergeCell ref="A2:O2"/>
    <mergeCell ref="A3:D3"/>
    <mergeCell ref="E3:K3"/>
    <mergeCell ref="L3:M3"/>
    <mergeCell ref="N3:O3"/>
  </mergeCells>
  <conditionalFormatting sqref="N5:N1048576">
    <cfRule type="containsText" dxfId="20" priority="1" operator="containsText" text="Rejected">
      <formula>NOT(ISERROR(SEARCH("Rejected",N5)))</formula>
    </cfRule>
    <cfRule type="containsText" dxfId="19" priority="2" operator="containsText" text="Revisions Needed">
      <formula>NOT(ISERROR(SEARCH("Revisions Needed",N5)))</formula>
    </cfRule>
    <cfRule type="containsText" dxfId="18" priority="3" operator="containsText" text="Approved">
      <formula>NOT(ISERROR(SEARCH("Approved",N5)))</formula>
    </cfRule>
  </conditionalFormatting>
  <dataValidations count="1">
    <dataValidation type="list" allowBlank="1" sqref="N5:N1048576" xr:uid="{46C7BC14-8CD1-49DB-A7B4-AD7D35244077}">
      <formula1>"Approved,Revisions Needed, Rejected"</formula1>
    </dataValidation>
  </dataValidation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33E61-3953-4B4F-8304-5E83539694C9}">
  <sheetPr>
    <tabColor theme="6"/>
  </sheetPr>
  <dimension ref="A1:S75"/>
  <sheetViews>
    <sheetView showGridLines="0" zoomScale="60" zoomScaleNormal="60" workbookViewId="0">
      <selection activeCell="M5" sqref="M5"/>
    </sheetView>
  </sheetViews>
  <sheetFormatPr defaultColWidth="8.54296875" defaultRowHeight="14.5" x14ac:dyDescent="0.35"/>
  <cols>
    <col min="1" max="1" width="9" style="2" customWidth="1"/>
    <col min="2" max="2" width="12" style="14" customWidth="1"/>
    <col min="3" max="3" width="18.81640625" style="2" customWidth="1"/>
    <col min="4" max="4" width="20.453125" style="2" customWidth="1"/>
    <col min="5" max="5" width="16.1796875" style="2" customWidth="1"/>
    <col min="6" max="6" width="1.81640625" style="2" hidden="1" customWidth="1"/>
    <col min="7" max="7" width="11.1796875" style="2" customWidth="1"/>
    <col min="8" max="8" width="11.81640625" style="29" customWidth="1"/>
    <col min="9" max="9" width="11.453125" style="29" customWidth="1"/>
    <col min="10" max="10" width="15.54296875" style="2" customWidth="1"/>
    <col min="11" max="11" width="13.1796875" style="2" hidden="1" customWidth="1"/>
    <col min="12" max="12" width="36" style="1" customWidth="1"/>
    <col min="13" max="13" width="76.54296875" style="3" customWidth="1"/>
    <col min="14" max="14" width="12.81640625" style="76" customWidth="1"/>
    <col min="15" max="15" width="10.81640625" style="76" customWidth="1"/>
    <col min="16" max="16" width="13.1796875" style="76" customWidth="1"/>
    <col min="17" max="17" width="14.453125" style="2" customWidth="1"/>
    <col min="18" max="19" width="76.54296875" style="17" customWidth="1"/>
    <col min="20" max="16384" width="8.54296875" style="1"/>
  </cols>
  <sheetData>
    <row r="1" spans="1:19" ht="37.5" customHeight="1" x14ac:dyDescent="0.35">
      <c r="A1" s="555" t="s">
        <v>0</v>
      </c>
      <c r="B1" s="555"/>
      <c r="C1" s="555"/>
      <c r="D1" s="555"/>
      <c r="E1" s="555"/>
      <c r="F1" s="555"/>
      <c r="G1" s="555"/>
      <c r="H1" s="555"/>
      <c r="I1" s="555"/>
      <c r="J1" s="555"/>
      <c r="K1" s="555"/>
      <c r="L1" s="555"/>
      <c r="M1" s="555"/>
      <c r="N1" s="555"/>
      <c r="O1" s="555"/>
      <c r="P1" s="555"/>
      <c r="Q1" s="555"/>
      <c r="R1" s="555"/>
      <c r="S1" s="81"/>
    </row>
    <row r="2" spans="1:19" ht="19.5" customHeight="1" thickBot="1" x14ac:dyDescent="0.4">
      <c r="A2" s="550" t="s">
        <v>2</v>
      </c>
      <c r="B2" s="550"/>
      <c r="C2" s="550"/>
      <c r="D2" s="550"/>
      <c r="E2" s="550"/>
      <c r="F2" s="550"/>
      <c r="G2" s="550"/>
      <c r="H2" s="550"/>
      <c r="I2" s="550"/>
      <c r="J2" s="550"/>
      <c r="K2" s="550"/>
      <c r="L2" s="550"/>
      <c r="M2" s="550"/>
      <c r="N2" s="550"/>
      <c r="O2" s="550"/>
      <c r="P2" s="550"/>
      <c r="Q2" s="550"/>
      <c r="R2" s="550"/>
      <c r="S2" s="82"/>
    </row>
    <row r="3" spans="1:19" s="4" customFormat="1" ht="27.75" customHeight="1" thickTop="1" thickBot="1" x14ac:dyDescent="0.45">
      <c r="A3" s="516" t="s">
        <v>3</v>
      </c>
      <c r="B3" s="516"/>
      <c r="C3" s="516"/>
      <c r="D3" s="516"/>
      <c r="E3" s="547" t="s">
        <v>4</v>
      </c>
      <c r="F3" s="548"/>
      <c r="G3" s="548"/>
      <c r="H3" s="548"/>
      <c r="I3" s="548"/>
      <c r="J3" s="548"/>
      <c r="K3" s="549"/>
      <c r="L3" s="516" t="s">
        <v>5</v>
      </c>
      <c r="M3" s="516"/>
      <c r="N3" s="547" t="s">
        <v>6</v>
      </c>
      <c r="O3" s="548"/>
      <c r="P3" s="549"/>
      <c r="Q3" s="516" t="s">
        <v>7</v>
      </c>
      <c r="R3" s="516"/>
      <c r="S3" s="84" t="s">
        <v>8</v>
      </c>
    </row>
    <row r="4" spans="1:19" ht="71.5" customHeight="1" thickTop="1" thickBot="1" x14ac:dyDescent="0.4">
      <c r="A4" s="10" t="s">
        <v>9</v>
      </c>
      <c r="B4" s="10" t="s">
        <v>10</v>
      </c>
      <c r="C4" s="10" t="s">
        <v>12</v>
      </c>
      <c r="D4" s="10" t="s">
        <v>13</v>
      </c>
      <c r="E4" s="10" t="s">
        <v>14</v>
      </c>
      <c r="F4" s="10" t="s">
        <v>228</v>
      </c>
      <c r="G4" s="10" t="s">
        <v>15</v>
      </c>
      <c r="H4" s="10" t="s">
        <v>16</v>
      </c>
      <c r="I4" s="10" t="s">
        <v>17</v>
      </c>
      <c r="J4" s="10" t="s">
        <v>18</v>
      </c>
      <c r="K4" s="10" t="s">
        <v>19</v>
      </c>
      <c r="L4" s="10" t="s">
        <v>20</v>
      </c>
      <c r="M4" s="10" t="s">
        <v>21</v>
      </c>
      <c r="N4" s="10" t="s">
        <v>22</v>
      </c>
      <c r="O4" s="10" t="s">
        <v>23</v>
      </c>
      <c r="P4" s="10" t="s">
        <v>24</v>
      </c>
      <c r="Q4" s="23" t="s">
        <v>470</v>
      </c>
      <c r="R4" s="18" t="s">
        <v>27</v>
      </c>
      <c r="S4" s="85" t="s">
        <v>30</v>
      </c>
    </row>
    <row r="5" spans="1:19" s="5" customFormat="1" ht="156.65" customHeight="1" x14ac:dyDescent="0.35">
      <c r="A5" s="117">
        <v>1</v>
      </c>
      <c r="B5" s="118" t="s">
        <v>908</v>
      </c>
      <c r="C5" s="117" t="s">
        <v>950</v>
      </c>
      <c r="D5" s="117" t="s">
        <v>951</v>
      </c>
      <c r="E5" s="8" t="s">
        <v>49</v>
      </c>
      <c r="F5" s="117"/>
      <c r="G5" s="117" t="s">
        <v>50</v>
      </c>
      <c r="H5" s="26" t="s">
        <v>154</v>
      </c>
      <c r="I5" s="26" t="s">
        <v>52</v>
      </c>
      <c r="J5" s="117" t="s">
        <v>74</v>
      </c>
      <c r="K5" s="117"/>
      <c r="L5" s="119" t="s">
        <v>952</v>
      </c>
      <c r="M5" s="9" t="s">
        <v>953</v>
      </c>
      <c r="N5" s="580" t="s">
        <v>55</v>
      </c>
      <c r="O5" s="545" t="s">
        <v>55</v>
      </c>
      <c r="P5" s="582" t="s">
        <v>55</v>
      </c>
      <c r="Q5" s="6" t="s">
        <v>56</v>
      </c>
      <c r="R5" s="15"/>
      <c r="S5" s="87"/>
    </row>
    <row r="6" spans="1:19" s="5" customFormat="1" ht="156.65" customHeight="1" x14ac:dyDescent="0.35">
      <c r="A6" s="117">
        <v>2</v>
      </c>
      <c r="B6" s="118" t="s">
        <v>908</v>
      </c>
      <c r="C6" s="117" t="s">
        <v>950</v>
      </c>
      <c r="D6" s="117" t="s">
        <v>954</v>
      </c>
      <c r="E6" s="117" t="s">
        <v>49</v>
      </c>
      <c r="F6" s="117"/>
      <c r="G6" s="117" t="s">
        <v>50</v>
      </c>
      <c r="H6" s="26" t="s">
        <v>154</v>
      </c>
      <c r="I6" s="26" t="s">
        <v>52</v>
      </c>
      <c r="J6" s="117" t="s">
        <v>74</v>
      </c>
      <c r="K6" s="117"/>
      <c r="L6" s="119" t="s">
        <v>952</v>
      </c>
      <c r="M6" s="9" t="s">
        <v>953</v>
      </c>
      <c r="N6" s="580"/>
      <c r="O6" s="545"/>
      <c r="P6" s="582"/>
      <c r="Q6" s="80" t="s">
        <v>56</v>
      </c>
      <c r="R6" s="16"/>
      <c r="S6" s="86"/>
    </row>
    <row r="7" spans="1:19" s="5" customFormat="1" ht="264" customHeight="1" x14ac:dyDescent="0.35">
      <c r="A7" s="8"/>
      <c r="B7" s="12"/>
      <c r="C7" s="122"/>
      <c r="D7" s="47"/>
      <c r="E7" s="8"/>
      <c r="F7" s="8"/>
      <c r="G7" s="8"/>
      <c r="H7" s="26"/>
      <c r="I7" s="26"/>
      <c r="J7" s="8"/>
      <c r="K7" s="8"/>
      <c r="L7" s="9"/>
      <c r="M7" s="9"/>
      <c r="N7" s="8"/>
      <c r="O7" s="8"/>
      <c r="P7" s="8"/>
      <c r="Q7" s="8"/>
      <c r="R7" s="16"/>
      <c r="S7" s="88"/>
    </row>
    <row r="8" spans="1:19" s="5" customFormat="1" ht="262" customHeight="1" x14ac:dyDescent="0.35">
      <c r="A8" s="8"/>
      <c r="B8" s="12"/>
      <c r="C8" s="122"/>
      <c r="D8" s="47"/>
      <c r="E8" s="8"/>
      <c r="F8" s="8"/>
      <c r="G8" s="8"/>
      <c r="H8" s="26"/>
      <c r="I8" s="26"/>
      <c r="J8" s="8"/>
      <c r="K8" s="8"/>
      <c r="L8" s="9"/>
      <c r="M8" s="9"/>
      <c r="N8" s="580"/>
      <c r="O8" s="545"/>
      <c r="P8" s="582"/>
      <c r="Q8" s="117"/>
      <c r="R8" s="16"/>
      <c r="S8" s="16"/>
    </row>
    <row r="9" spans="1:19" s="5" customFormat="1" ht="257.14999999999998" customHeight="1" x14ac:dyDescent="0.35">
      <c r="A9" s="8"/>
      <c r="B9" s="12"/>
      <c r="C9" s="122"/>
      <c r="D9" s="47"/>
      <c r="E9" s="8"/>
      <c r="F9" s="8"/>
      <c r="G9" s="8"/>
      <c r="H9" s="26"/>
      <c r="I9" s="25"/>
      <c r="J9" s="8"/>
      <c r="K9" s="8"/>
      <c r="L9" s="9"/>
      <c r="M9" s="9"/>
      <c r="N9" s="580"/>
      <c r="O9" s="545"/>
      <c r="P9" s="582"/>
      <c r="Q9" s="8"/>
      <c r="R9" s="16"/>
      <c r="S9" s="16"/>
    </row>
    <row r="10" spans="1:19" s="5" customFormat="1" ht="139" customHeight="1" x14ac:dyDescent="0.35">
      <c r="A10" s="8"/>
      <c r="B10" s="12"/>
      <c r="C10" s="122"/>
      <c r="D10" s="47"/>
      <c r="E10" s="8"/>
      <c r="F10" s="8"/>
      <c r="G10" s="8"/>
      <c r="H10" s="26"/>
      <c r="I10" s="25"/>
      <c r="J10" s="8"/>
      <c r="K10" s="8"/>
      <c r="L10" s="9"/>
      <c r="M10" s="9"/>
      <c r="N10" s="581"/>
      <c r="O10" s="546"/>
      <c r="P10" s="583"/>
      <c r="Q10" s="8"/>
      <c r="R10" s="16"/>
      <c r="S10" s="16"/>
    </row>
    <row r="11" spans="1:19" s="5" customFormat="1" ht="162" customHeight="1" x14ac:dyDescent="0.4">
      <c r="A11" s="8"/>
      <c r="B11" s="12"/>
      <c r="C11" s="122"/>
      <c r="D11" s="47"/>
      <c r="E11" s="8"/>
      <c r="F11" s="8"/>
      <c r="G11" s="8"/>
      <c r="H11" s="26"/>
      <c r="I11" s="25"/>
      <c r="J11" s="8"/>
      <c r="K11" s="8"/>
      <c r="L11" s="9"/>
      <c r="M11" s="9"/>
      <c r="N11" s="38"/>
      <c r="O11" s="38"/>
      <c r="P11" s="38"/>
      <c r="Q11" s="8"/>
      <c r="R11" s="16"/>
      <c r="S11" s="22"/>
    </row>
    <row r="12" spans="1:19" s="5" customFormat="1" ht="138.65" customHeight="1" x14ac:dyDescent="0.35">
      <c r="A12" s="8"/>
      <c r="B12" s="12"/>
      <c r="C12" s="123"/>
      <c r="D12" s="47"/>
      <c r="E12" s="8"/>
      <c r="F12" s="8"/>
      <c r="G12" s="8"/>
      <c r="H12" s="26"/>
      <c r="I12" s="26"/>
      <c r="J12" s="8"/>
      <c r="K12" s="8"/>
      <c r="L12" s="9"/>
      <c r="M12" s="9"/>
      <c r="N12" s="38"/>
      <c r="O12" s="38"/>
      <c r="P12" s="38"/>
      <c r="Q12" s="8"/>
      <c r="R12" s="16"/>
      <c r="S12" s="17"/>
    </row>
    <row r="13" spans="1:19" s="5" customFormat="1" ht="129.65" customHeight="1" x14ac:dyDescent="0.35">
      <c r="A13" s="8"/>
      <c r="B13" s="13"/>
      <c r="C13" s="102"/>
      <c r="D13" s="8"/>
      <c r="E13" s="8"/>
      <c r="F13" s="8"/>
      <c r="G13" s="8"/>
      <c r="H13" s="26"/>
      <c r="I13" s="26"/>
      <c r="J13" s="8"/>
      <c r="K13" s="8"/>
      <c r="L13" s="9"/>
      <c r="M13" s="9"/>
      <c r="N13" s="584"/>
      <c r="O13" s="577"/>
      <c r="P13" s="585"/>
      <c r="Q13" s="8"/>
      <c r="R13" s="16"/>
      <c r="S13" s="17"/>
    </row>
    <row r="14" spans="1:19" s="5" customFormat="1" ht="120.65" customHeight="1" x14ac:dyDescent="0.35">
      <c r="A14" s="8">
        <v>11</v>
      </c>
      <c r="B14" s="13"/>
      <c r="C14" s="8"/>
      <c r="D14" s="8"/>
      <c r="E14" s="8"/>
      <c r="F14" s="8"/>
      <c r="G14" s="8"/>
      <c r="H14" s="26"/>
      <c r="I14" s="26"/>
      <c r="J14" s="8"/>
      <c r="K14" s="8"/>
      <c r="L14" s="9"/>
      <c r="M14" s="9"/>
      <c r="N14" s="580"/>
      <c r="O14" s="545"/>
      <c r="P14" s="582"/>
      <c r="Q14" s="8"/>
      <c r="R14" s="16"/>
      <c r="S14" s="17"/>
    </row>
    <row r="15" spans="1:19" s="5" customFormat="1" ht="115.5" customHeight="1" x14ac:dyDescent="0.35">
      <c r="A15" s="8">
        <v>12</v>
      </c>
      <c r="B15" s="13"/>
      <c r="C15" s="8"/>
      <c r="D15" s="8"/>
      <c r="E15" s="8"/>
      <c r="F15" s="8"/>
      <c r="G15" s="8"/>
      <c r="H15" s="26"/>
      <c r="I15" s="26"/>
      <c r="J15" s="8"/>
      <c r="K15" s="8"/>
      <c r="L15" s="9"/>
      <c r="M15" s="9"/>
      <c r="N15" s="580"/>
      <c r="O15" s="545"/>
      <c r="P15" s="582"/>
      <c r="Q15" s="8"/>
      <c r="R15" s="16"/>
      <c r="S15" s="17"/>
    </row>
    <row r="16" spans="1:19" s="3" customFormat="1" ht="79.5" customHeight="1" x14ac:dyDescent="0.35">
      <c r="A16" s="8">
        <v>13</v>
      </c>
      <c r="B16" s="12"/>
      <c r="C16" s="8"/>
      <c r="D16" s="8"/>
      <c r="E16" s="8"/>
      <c r="F16" s="8"/>
      <c r="G16" s="8"/>
      <c r="H16" s="26"/>
      <c r="I16" s="26"/>
      <c r="J16" s="8"/>
      <c r="K16" s="8"/>
      <c r="L16" s="9"/>
      <c r="M16" s="9"/>
      <c r="N16" s="580"/>
      <c r="O16" s="545"/>
      <c r="P16" s="582"/>
      <c r="Q16" s="8"/>
      <c r="R16" s="16"/>
      <c r="S16" s="17"/>
    </row>
    <row r="17" spans="1:19" s="3" customFormat="1" ht="223.5" customHeight="1" x14ac:dyDescent="0.35">
      <c r="A17" s="8">
        <v>14</v>
      </c>
      <c r="B17" s="13"/>
      <c r="C17" s="8"/>
      <c r="D17" s="8"/>
      <c r="E17" s="8"/>
      <c r="F17" s="8"/>
      <c r="G17" s="8"/>
      <c r="H17" s="26"/>
      <c r="I17" s="26"/>
      <c r="J17" s="8"/>
      <c r="K17" s="8"/>
      <c r="L17" s="9"/>
      <c r="M17" s="9"/>
      <c r="N17" s="581"/>
      <c r="O17" s="546"/>
      <c r="P17" s="583"/>
      <c r="Q17" s="8"/>
      <c r="R17" s="16"/>
      <c r="S17" s="17"/>
    </row>
    <row r="18" spans="1:19" s="3" customFormat="1" ht="79.5" customHeight="1" x14ac:dyDescent="0.35">
      <c r="A18" s="8"/>
      <c r="B18" s="12"/>
      <c r="C18" s="8"/>
      <c r="D18" s="8"/>
      <c r="E18" s="8"/>
      <c r="F18" s="8"/>
      <c r="G18" s="8"/>
      <c r="H18" s="26"/>
      <c r="I18" s="27"/>
      <c r="J18" s="8"/>
      <c r="K18" s="8"/>
      <c r="L18" s="9"/>
      <c r="M18" s="9"/>
      <c r="N18" s="38"/>
      <c r="O18" s="38"/>
      <c r="P18" s="38"/>
      <c r="Q18" s="8"/>
      <c r="R18" s="16"/>
      <c r="S18" s="17"/>
    </row>
    <row r="19" spans="1:19" s="3" customFormat="1" ht="79.5" customHeight="1" x14ac:dyDescent="0.35">
      <c r="A19" s="8"/>
      <c r="B19" s="12"/>
      <c r="C19" s="8"/>
      <c r="D19" s="8"/>
      <c r="E19" s="8"/>
      <c r="F19" s="8"/>
      <c r="G19" s="8"/>
      <c r="H19" s="26"/>
      <c r="I19" s="26"/>
      <c r="J19" s="8"/>
      <c r="K19" s="8"/>
      <c r="L19" s="9"/>
      <c r="M19" s="9"/>
      <c r="N19" s="77"/>
      <c r="O19" s="77"/>
      <c r="P19" s="77"/>
      <c r="Q19" s="8"/>
      <c r="R19" s="16"/>
      <c r="S19" s="17"/>
    </row>
    <row r="20" spans="1:19" s="3" customFormat="1" ht="79.5" customHeight="1" x14ac:dyDescent="0.35">
      <c r="A20" s="8"/>
      <c r="B20" s="12"/>
      <c r="C20" s="8"/>
      <c r="D20" s="8"/>
      <c r="E20" s="8"/>
      <c r="F20" s="8"/>
      <c r="G20" s="8"/>
      <c r="H20" s="26"/>
      <c r="I20" s="26"/>
      <c r="J20" s="8"/>
      <c r="K20" s="8"/>
      <c r="L20" s="9"/>
      <c r="M20" s="9"/>
      <c r="N20" s="8"/>
      <c r="O20" s="8"/>
      <c r="P20" s="8"/>
      <c r="Q20" s="8"/>
      <c r="R20" s="16"/>
      <c r="S20" s="17"/>
    </row>
    <row r="21" spans="1:19" s="3" customFormat="1" ht="79.5" customHeight="1" x14ac:dyDescent="0.35">
      <c r="A21" s="8"/>
      <c r="B21" s="12"/>
      <c r="C21" s="8"/>
      <c r="D21" s="8"/>
      <c r="E21" s="8"/>
      <c r="F21" s="8"/>
      <c r="G21" s="8"/>
      <c r="H21" s="26"/>
      <c r="I21" s="26"/>
      <c r="J21" s="8"/>
      <c r="K21" s="8"/>
      <c r="L21" s="9"/>
      <c r="M21" s="9"/>
      <c r="N21" s="8"/>
      <c r="O21" s="8"/>
      <c r="P21" s="8"/>
      <c r="Q21" s="8"/>
      <c r="R21" s="16"/>
      <c r="S21" s="17"/>
    </row>
    <row r="22" spans="1:19" s="3" customFormat="1" ht="79.5" customHeight="1" x14ac:dyDescent="0.35">
      <c r="A22" s="8"/>
      <c r="B22" s="12"/>
      <c r="C22" s="8"/>
      <c r="D22" s="8"/>
      <c r="E22" s="8"/>
      <c r="F22" s="8"/>
      <c r="G22" s="8"/>
      <c r="H22" s="26"/>
      <c r="I22" s="26"/>
      <c r="J22" s="8"/>
      <c r="K22" s="8"/>
      <c r="L22" s="9"/>
      <c r="M22" s="9"/>
      <c r="N22" s="8"/>
      <c r="O22" s="8"/>
      <c r="P22" s="8"/>
      <c r="Q22" s="8"/>
      <c r="R22" s="16"/>
      <c r="S22" s="17"/>
    </row>
    <row r="23" spans="1:19" s="3" customFormat="1" ht="79.5" customHeight="1" x14ac:dyDescent="0.35">
      <c r="A23" s="8"/>
      <c r="B23" s="12"/>
      <c r="C23" s="8"/>
      <c r="D23" s="8"/>
      <c r="E23" s="8"/>
      <c r="F23" s="8"/>
      <c r="G23" s="8"/>
      <c r="H23" s="26"/>
      <c r="I23" s="26"/>
      <c r="J23" s="8"/>
      <c r="K23" s="8"/>
      <c r="L23" s="9"/>
      <c r="M23" s="9"/>
      <c r="N23" s="8"/>
      <c r="O23" s="8"/>
      <c r="P23" s="8"/>
      <c r="Q23" s="8"/>
      <c r="R23" s="16"/>
      <c r="S23" s="17"/>
    </row>
    <row r="24" spans="1:19" s="3" customFormat="1" ht="79.5" customHeight="1" x14ac:dyDescent="0.35">
      <c r="A24" s="8"/>
      <c r="B24" s="12"/>
      <c r="C24" s="8"/>
      <c r="D24" s="8"/>
      <c r="E24" s="8"/>
      <c r="F24" s="8"/>
      <c r="G24" s="8"/>
      <c r="H24" s="26"/>
      <c r="I24" s="26"/>
      <c r="J24" s="8"/>
      <c r="K24" s="8"/>
      <c r="L24" s="9"/>
      <c r="M24" s="9"/>
      <c r="N24" s="8"/>
      <c r="O24" s="8"/>
      <c r="P24" s="8"/>
      <c r="Q24" s="8"/>
      <c r="R24" s="16"/>
      <c r="S24" s="17"/>
    </row>
    <row r="25" spans="1:19" ht="79.5" customHeight="1" x14ac:dyDescent="0.4">
      <c r="A25" s="19"/>
      <c r="B25" s="20"/>
      <c r="C25" s="19"/>
      <c r="D25" s="19"/>
      <c r="E25" s="19"/>
      <c r="F25" s="19"/>
      <c r="G25" s="19"/>
      <c r="H25" s="28"/>
      <c r="I25" s="28"/>
      <c r="J25" s="19"/>
      <c r="K25" s="19"/>
      <c r="L25" s="21"/>
      <c r="M25" s="9"/>
      <c r="N25" s="8"/>
      <c r="O25" s="8"/>
      <c r="P25" s="8"/>
      <c r="Q25" s="19"/>
      <c r="R25" s="22"/>
    </row>
    <row r="26" spans="1:19" ht="16" x14ac:dyDescent="0.35">
      <c r="N26" s="79"/>
      <c r="O26" s="79"/>
      <c r="P26" s="79"/>
    </row>
    <row r="27" spans="1:19" ht="16" x14ac:dyDescent="0.35">
      <c r="N27" s="79"/>
      <c r="O27" s="79"/>
      <c r="P27" s="79"/>
    </row>
    <row r="28" spans="1:19" ht="16" x14ac:dyDescent="0.35">
      <c r="N28" s="79"/>
      <c r="O28" s="79"/>
      <c r="P28" s="79"/>
    </row>
    <row r="29" spans="1:19" ht="16" x14ac:dyDescent="0.35">
      <c r="N29" s="79"/>
      <c r="O29" s="79"/>
      <c r="P29" s="79"/>
    </row>
    <row r="30" spans="1:19" ht="16" x14ac:dyDescent="0.35">
      <c r="N30" s="79"/>
      <c r="O30" s="79"/>
      <c r="P30" s="79"/>
    </row>
    <row r="31" spans="1:19" ht="16" x14ac:dyDescent="0.35">
      <c r="N31" s="79"/>
      <c r="O31" s="79"/>
      <c r="P31" s="79"/>
    </row>
    <row r="32" spans="1:19" ht="16" x14ac:dyDescent="0.35">
      <c r="N32" s="79"/>
      <c r="O32" s="79"/>
      <c r="P32" s="79"/>
    </row>
    <row r="33" spans="14:16" ht="16" x14ac:dyDescent="0.35">
      <c r="N33" s="79"/>
      <c r="O33" s="79"/>
      <c r="P33" s="79"/>
    </row>
    <row r="34" spans="14:16" ht="16" x14ac:dyDescent="0.35">
      <c r="N34" s="79"/>
      <c r="O34" s="79"/>
      <c r="P34" s="79"/>
    </row>
    <row r="35" spans="14:16" ht="16" x14ac:dyDescent="0.35">
      <c r="N35" s="79"/>
      <c r="O35" s="79"/>
      <c r="P35" s="79"/>
    </row>
    <row r="36" spans="14:16" ht="16" x14ac:dyDescent="0.35">
      <c r="N36" s="79"/>
      <c r="O36" s="79"/>
      <c r="P36" s="79"/>
    </row>
    <row r="37" spans="14:16" ht="16" x14ac:dyDescent="0.35">
      <c r="N37" s="79"/>
      <c r="O37" s="79"/>
      <c r="P37" s="79"/>
    </row>
    <row r="38" spans="14:16" ht="16" x14ac:dyDescent="0.35">
      <c r="N38" s="79"/>
      <c r="O38" s="79"/>
      <c r="P38" s="79"/>
    </row>
    <row r="39" spans="14:16" ht="16" x14ac:dyDescent="0.35">
      <c r="N39" s="79"/>
      <c r="O39" s="79"/>
      <c r="P39" s="79"/>
    </row>
    <row r="40" spans="14:16" ht="16" x14ac:dyDescent="0.35">
      <c r="N40" s="79"/>
      <c r="O40" s="79"/>
      <c r="P40" s="79"/>
    </row>
    <row r="41" spans="14:16" ht="16" x14ac:dyDescent="0.35">
      <c r="N41" s="79"/>
      <c r="O41" s="79"/>
      <c r="P41" s="79"/>
    </row>
    <row r="42" spans="14:16" ht="16" x14ac:dyDescent="0.35">
      <c r="N42" s="79"/>
      <c r="O42" s="79"/>
      <c r="P42" s="79"/>
    </row>
    <row r="43" spans="14:16" ht="16" x14ac:dyDescent="0.35">
      <c r="N43" s="79"/>
      <c r="O43" s="79"/>
      <c r="P43" s="79"/>
    </row>
    <row r="44" spans="14:16" ht="16" x14ac:dyDescent="0.35">
      <c r="N44" s="79"/>
      <c r="O44" s="79"/>
      <c r="P44" s="79"/>
    </row>
    <row r="45" spans="14:16" ht="16" x14ac:dyDescent="0.35">
      <c r="N45" s="79"/>
      <c r="O45" s="79"/>
      <c r="P45" s="79"/>
    </row>
    <row r="46" spans="14:16" ht="16" x14ac:dyDescent="0.35">
      <c r="N46" s="79"/>
      <c r="O46" s="79"/>
      <c r="P46" s="79"/>
    </row>
    <row r="47" spans="14:16" ht="16" x14ac:dyDescent="0.35">
      <c r="N47" s="79"/>
      <c r="O47" s="79"/>
      <c r="P47" s="79"/>
    </row>
    <row r="48" spans="14:16" ht="16" x14ac:dyDescent="0.35">
      <c r="N48" s="79"/>
      <c r="O48" s="79"/>
      <c r="P48" s="79"/>
    </row>
    <row r="49" spans="14:16" ht="16" x14ac:dyDescent="0.35">
      <c r="N49" s="79"/>
      <c r="O49" s="79"/>
      <c r="P49" s="79"/>
    </row>
    <row r="50" spans="14:16" ht="16" x14ac:dyDescent="0.35">
      <c r="N50" s="79"/>
      <c r="O50" s="79"/>
      <c r="P50" s="79"/>
    </row>
    <row r="51" spans="14:16" ht="16" x14ac:dyDescent="0.35">
      <c r="N51" s="79"/>
      <c r="O51" s="79"/>
      <c r="P51" s="79"/>
    </row>
    <row r="52" spans="14:16" ht="16" x14ac:dyDescent="0.35">
      <c r="N52" s="79"/>
      <c r="O52" s="79"/>
      <c r="P52" s="79"/>
    </row>
    <row r="53" spans="14:16" ht="16" x14ac:dyDescent="0.35">
      <c r="N53" s="79"/>
      <c r="O53" s="79"/>
      <c r="P53" s="79"/>
    </row>
    <row r="54" spans="14:16" ht="16" x14ac:dyDescent="0.35">
      <c r="N54" s="79"/>
      <c r="O54" s="79"/>
      <c r="P54" s="79"/>
    </row>
    <row r="55" spans="14:16" ht="16" x14ac:dyDescent="0.35">
      <c r="N55" s="79"/>
      <c r="O55" s="79"/>
      <c r="P55" s="79"/>
    </row>
    <row r="56" spans="14:16" ht="16" x14ac:dyDescent="0.35">
      <c r="N56" s="79"/>
      <c r="O56" s="79"/>
      <c r="P56" s="79"/>
    </row>
    <row r="57" spans="14:16" ht="16" x14ac:dyDescent="0.35">
      <c r="N57" s="79"/>
      <c r="O57" s="79"/>
      <c r="P57" s="79"/>
    </row>
    <row r="58" spans="14:16" ht="16" x14ac:dyDescent="0.35">
      <c r="N58" s="79"/>
      <c r="O58" s="79"/>
      <c r="P58" s="79"/>
    </row>
    <row r="59" spans="14:16" ht="16" x14ac:dyDescent="0.35">
      <c r="N59" s="79"/>
      <c r="O59" s="79"/>
      <c r="P59" s="79"/>
    </row>
    <row r="60" spans="14:16" ht="16" x14ac:dyDescent="0.35">
      <c r="N60" s="79"/>
      <c r="O60" s="79"/>
      <c r="P60" s="79"/>
    </row>
    <row r="61" spans="14:16" ht="16" x14ac:dyDescent="0.35">
      <c r="N61" s="79"/>
      <c r="O61" s="79"/>
      <c r="P61" s="79"/>
    </row>
    <row r="62" spans="14:16" ht="16" x14ac:dyDescent="0.35">
      <c r="N62" s="79"/>
      <c r="O62" s="79"/>
      <c r="P62" s="79"/>
    </row>
    <row r="63" spans="14:16" ht="16" x14ac:dyDescent="0.35">
      <c r="N63" s="79"/>
      <c r="O63" s="79"/>
      <c r="P63" s="79"/>
    </row>
    <row r="64" spans="14:16" ht="16" x14ac:dyDescent="0.35">
      <c r="N64" s="79"/>
      <c r="O64" s="79"/>
      <c r="P64" s="79"/>
    </row>
    <row r="65" spans="14:16" ht="16" x14ac:dyDescent="0.35">
      <c r="N65" s="79"/>
      <c r="O65" s="79"/>
      <c r="P65" s="79"/>
    </row>
    <row r="66" spans="14:16" ht="16" x14ac:dyDescent="0.35">
      <c r="N66" s="79"/>
      <c r="O66" s="79"/>
      <c r="P66" s="79"/>
    </row>
    <row r="67" spans="14:16" ht="16" x14ac:dyDescent="0.35">
      <c r="N67" s="79"/>
      <c r="O67" s="79"/>
      <c r="P67" s="79"/>
    </row>
    <row r="68" spans="14:16" ht="16" x14ac:dyDescent="0.35">
      <c r="N68" s="79"/>
      <c r="O68" s="79"/>
      <c r="P68" s="79"/>
    </row>
    <row r="69" spans="14:16" ht="16" x14ac:dyDescent="0.35">
      <c r="N69" s="79"/>
      <c r="O69" s="79"/>
      <c r="P69" s="79"/>
    </row>
    <row r="70" spans="14:16" ht="16" x14ac:dyDescent="0.35">
      <c r="N70" s="79"/>
      <c r="O70" s="79"/>
      <c r="P70" s="79"/>
    </row>
    <row r="71" spans="14:16" ht="16" x14ac:dyDescent="0.35">
      <c r="N71" s="79"/>
      <c r="O71" s="79"/>
      <c r="P71" s="79"/>
    </row>
    <row r="72" spans="14:16" ht="16" x14ac:dyDescent="0.35">
      <c r="N72" s="79"/>
      <c r="O72" s="79"/>
      <c r="P72" s="79"/>
    </row>
    <row r="73" spans="14:16" ht="16" x14ac:dyDescent="0.35">
      <c r="N73" s="79"/>
      <c r="O73" s="79"/>
      <c r="P73" s="79"/>
    </row>
    <row r="74" spans="14:16" ht="16" x14ac:dyDescent="0.35">
      <c r="N74" s="79"/>
      <c r="O74" s="79"/>
      <c r="P74" s="79"/>
    </row>
    <row r="75" spans="14:16" ht="16" x14ac:dyDescent="0.35">
      <c r="N75" s="79"/>
      <c r="O75" s="79"/>
      <c r="P75" s="79"/>
    </row>
  </sheetData>
  <autoFilter ref="A1:R17"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16">
    <mergeCell ref="N5:N6"/>
    <mergeCell ref="O5:O6"/>
    <mergeCell ref="P5:P6"/>
    <mergeCell ref="A1:R1"/>
    <mergeCell ref="A2:R2"/>
    <mergeCell ref="A3:D3"/>
    <mergeCell ref="E3:K3"/>
    <mergeCell ref="L3:M3"/>
    <mergeCell ref="Q3:R3"/>
    <mergeCell ref="N3:P3"/>
    <mergeCell ref="N8:N10"/>
    <mergeCell ref="O8:O10"/>
    <mergeCell ref="P8:P10"/>
    <mergeCell ref="N13:N17"/>
    <mergeCell ref="O13:O17"/>
    <mergeCell ref="P13:P17"/>
  </mergeCells>
  <conditionalFormatting sqref="Q5:Q1048576">
    <cfRule type="containsText" dxfId="17" priority="1" operator="containsText" text="Rejected">
      <formula>NOT(ISERROR(SEARCH("Rejected",Q5)))</formula>
    </cfRule>
    <cfRule type="containsText" dxfId="16" priority="2" operator="containsText" text="Approved">
      <formula>NOT(ISERROR(SEARCH("Approved",Q5)))</formula>
    </cfRule>
    <cfRule type="containsText" dxfId="15" priority="3" operator="containsText" text="Revisions Needed">
      <formula>NOT(ISERROR(SEARCH("Revisions Needed",Q5)))</formula>
    </cfRule>
  </conditionalFormatting>
  <conditionalFormatting sqref="Q7:Q1048576">
    <cfRule type="containsText" dxfId="14" priority="7" operator="containsText" text="Approved">
      <formula>NOT(ISERROR(SEARCH("Approved",Q7)))</formula>
    </cfRule>
  </conditionalFormatting>
  <dataValidations count="2">
    <dataValidation type="list" allowBlank="1" sqref="Q5:Q1048576" xr:uid="{50BB5DEE-B7C8-46B7-ABD5-29CA645337C4}">
      <formula1>"Approved,Revisions Needed, Rejected"</formula1>
    </dataValidation>
    <dataValidation type="list" allowBlank="1" showInputMessage="1" showErrorMessage="1" sqref="N5:P1048576" xr:uid="{FE33362B-DA65-46D0-8357-D3F136602CA9}">
      <formula1>"No, Yes"</formula1>
    </dataValidation>
  </dataValidations>
  <pageMargins left="0.75" right="0.75" top="1" bottom="1" header="0.511811023622047" footer="0.511811023622047"/>
  <pageSetup paperSize="9" orientation="portrait"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S67"/>
  <sheetViews>
    <sheetView showGridLines="0" zoomScale="70" zoomScaleNormal="70" workbookViewId="0">
      <pane ySplit="4" topLeftCell="A6" activePane="bottomLeft" state="frozen"/>
      <selection pane="bottomLeft" activeCell="G8" sqref="G8"/>
    </sheetView>
  </sheetViews>
  <sheetFormatPr defaultColWidth="8.54296875" defaultRowHeight="14.5" x14ac:dyDescent="0.35"/>
  <cols>
    <col min="1" max="1" width="9" style="2" customWidth="1"/>
    <col min="2" max="2" width="12" style="14" customWidth="1"/>
    <col min="3" max="3" width="18.81640625" style="2" customWidth="1"/>
    <col min="4" max="4" width="20.453125" style="2" customWidth="1"/>
    <col min="5" max="5" width="11.54296875" style="2" customWidth="1"/>
    <col min="6" max="6" width="13.1796875" style="2" hidden="1" customWidth="1"/>
    <col min="7" max="7" width="11.1796875" style="2" customWidth="1"/>
    <col min="8" max="8" width="11.81640625" style="29" customWidth="1"/>
    <col min="9" max="9" width="11.453125" style="29" customWidth="1"/>
    <col min="10" max="10" width="15.54296875" style="2" customWidth="1"/>
    <col min="11" max="11" width="13.1796875" style="2" hidden="1" customWidth="1"/>
    <col min="12" max="12" width="36" style="1" customWidth="1"/>
    <col min="13" max="13" width="46.1796875" style="3" customWidth="1"/>
    <col min="14" max="14" width="12.81640625" style="76" customWidth="1"/>
    <col min="15" max="15" width="10.81640625" style="76" customWidth="1"/>
    <col min="16" max="16" width="13.1796875" style="76" customWidth="1"/>
    <col min="17" max="17" width="15.1796875" style="2" customWidth="1"/>
    <col min="18" max="19" width="76.54296875" style="17" customWidth="1"/>
    <col min="20" max="16384" width="8.54296875" style="1"/>
  </cols>
  <sheetData>
    <row r="1" spans="1:19" ht="37.5" customHeight="1" x14ac:dyDescent="0.35">
      <c r="A1" s="555" t="s">
        <v>0</v>
      </c>
      <c r="B1" s="555"/>
      <c r="C1" s="555"/>
      <c r="D1" s="555"/>
      <c r="E1" s="555"/>
      <c r="F1" s="555"/>
      <c r="G1" s="555"/>
      <c r="H1" s="555"/>
      <c r="I1" s="555"/>
      <c r="J1" s="555"/>
      <c r="K1" s="555"/>
      <c r="L1" s="555"/>
      <c r="M1" s="555"/>
      <c r="N1" s="555"/>
      <c r="O1" s="555"/>
      <c r="P1" s="555"/>
      <c r="Q1" s="555"/>
      <c r="R1" s="555"/>
      <c r="S1" s="81"/>
    </row>
    <row r="2" spans="1:19" ht="19.5" customHeight="1" thickBot="1" x14ac:dyDescent="0.4">
      <c r="A2" s="550" t="s">
        <v>2</v>
      </c>
      <c r="B2" s="550"/>
      <c r="C2" s="550"/>
      <c r="D2" s="550"/>
      <c r="E2" s="550"/>
      <c r="F2" s="550"/>
      <c r="G2" s="550"/>
      <c r="H2" s="550"/>
      <c r="I2" s="550"/>
      <c r="J2" s="550"/>
      <c r="K2" s="550"/>
      <c r="L2" s="550"/>
      <c r="M2" s="550"/>
      <c r="N2" s="550"/>
      <c r="O2" s="550"/>
      <c r="P2" s="550"/>
      <c r="Q2" s="550"/>
      <c r="R2" s="550"/>
      <c r="S2" s="82"/>
    </row>
    <row r="3" spans="1:19" s="4" customFormat="1" ht="27.75" customHeight="1" thickTop="1" thickBot="1" x14ac:dyDescent="0.45">
      <c r="A3" s="516" t="s">
        <v>3</v>
      </c>
      <c r="B3" s="516"/>
      <c r="C3" s="516"/>
      <c r="D3" s="516"/>
      <c r="E3" s="547" t="s">
        <v>4</v>
      </c>
      <c r="F3" s="548"/>
      <c r="G3" s="548"/>
      <c r="H3" s="548"/>
      <c r="I3" s="548"/>
      <c r="J3" s="548"/>
      <c r="K3" s="549"/>
      <c r="L3" s="516" t="s">
        <v>5</v>
      </c>
      <c r="M3" s="516"/>
      <c r="N3" s="547" t="s">
        <v>6</v>
      </c>
      <c r="O3" s="548"/>
      <c r="P3" s="549"/>
      <c r="Q3" s="516" t="s">
        <v>7</v>
      </c>
      <c r="R3" s="513"/>
      <c r="S3" s="84" t="s">
        <v>8</v>
      </c>
    </row>
    <row r="4" spans="1:19" ht="71.5" customHeight="1" thickTop="1" thickBot="1" x14ac:dyDescent="0.4">
      <c r="A4" s="10" t="s">
        <v>9</v>
      </c>
      <c r="B4" s="10" t="s">
        <v>10</v>
      </c>
      <c r="C4" s="10" t="s">
        <v>12</v>
      </c>
      <c r="D4" s="10" t="s">
        <v>13</v>
      </c>
      <c r="E4" s="10" t="s">
        <v>14</v>
      </c>
      <c r="F4" s="10" t="s">
        <v>228</v>
      </c>
      <c r="G4" s="10" t="s">
        <v>15</v>
      </c>
      <c r="H4" s="10" t="s">
        <v>16</v>
      </c>
      <c r="I4" s="10" t="s">
        <v>17</v>
      </c>
      <c r="J4" s="10" t="s">
        <v>18</v>
      </c>
      <c r="K4" s="10" t="s">
        <v>19</v>
      </c>
      <c r="L4" s="10" t="s">
        <v>20</v>
      </c>
      <c r="M4" s="10" t="s">
        <v>21</v>
      </c>
      <c r="N4" s="10" t="s">
        <v>22</v>
      </c>
      <c r="O4" s="10" t="s">
        <v>23</v>
      </c>
      <c r="P4" s="10" t="s">
        <v>24</v>
      </c>
      <c r="Q4" s="23" t="s">
        <v>470</v>
      </c>
      <c r="R4" s="83" t="s">
        <v>27</v>
      </c>
      <c r="S4" s="85" t="s">
        <v>30</v>
      </c>
    </row>
    <row r="5" spans="1:19" s="5" customFormat="1" ht="156.65" customHeight="1" thickTop="1" x14ac:dyDescent="0.35">
      <c r="A5" s="6">
        <v>1</v>
      </c>
      <c r="B5" s="11" t="s">
        <v>908</v>
      </c>
      <c r="C5" s="6" t="s">
        <v>950</v>
      </c>
      <c r="D5" s="6" t="s">
        <v>955</v>
      </c>
      <c r="E5" s="92" t="s">
        <v>49</v>
      </c>
      <c r="F5" s="6" t="s">
        <v>344</v>
      </c>
      <c r="G5" s="6" t="s">
        <v>71</v>
      </c>
      <c r="H5" s="93" t="s">
        <v>154</v>
      </c>
      <c r="I5" s="94" t="s">
        <v>52</v>
      </c>
      <c r="J5" s="6" t="s">
        <v>74</v>
      </c>
      <c r="K5" s="6"/>
      <c r="L5" s="7" t="s">
        <v>956</v>
      </c>
      <c r="M5" s="119" t="s">
        <v>957</v>
      </c>
      <c r="N5" s="98" t="s">
        <v>55</v>
      </c>
      <c r="O5" s="97" t="s">
        <v>55</v>
      </c>
      <c r="P5" s="96" t="s">
        <v>55</v>
      </c>
      <c r="Q5" s="6" t="s">
        <v>56</v>
      </c>
      <c r="R5" s="15" t="s">
        <v>958</v>
      </c>
      <c r="S5" s="87" t="s">
        <v>959</v>
      </c>
    </row>
    <row r="6" spans="1:19" s="5" customFormat="1" ht="254.15" customHeight="1" x14ac:dyDescent="0.35">
      <c r="A6" s="8">
        <v>3</v>
      </c>
      <c r="B6" s="12" t="s">
        <v>908</v>
      </c>
      <c r="C6" s="8" t="s">
        <v>960</v>
      </c>
      <c r="D6" s="8" t="s">
        <v>961</v>
      </c>
      <c r="E6" s="8" t="s">
        <v>49</v>
      </c>
      <c r="F6" s="8" t="s">
        <v>344</v>
      </c>
      <c r="G6" s="8" t="s">
        <v>50</v>
      </c>
      <c r="H6" s="26" t="s">
        <v>962</v>
      </c>
      <c r="I6" s="26" t="s">
        <v>52</v>
      </c>
      <c r="J6" s="8" t="s">
        <v>74</v>
      </c>
      <c r="K6" s="8"/>
      <c r="L6" s="9" t="s">
        <v>963</v>
      </c>
      <c r="M6" s="9" t="s">
        <v>964</v>
      </c>
      <c r="N6" s="584" t="s">
        <v>150</v>
      </c>
      <c r="O6" s="577" t="s">
        <v>55</v>
      </c>
      <c r="P6" s="585" t="s">
        <v>150</v>
      </c>
      <c r="Q6" s="8" t="s">
        <v>56</v>
      </c>
      <c r="R6" s="16" t="s">
        <v>965</v>
      </c>
      <c r="S6" s="86" t="s">
        <v>966</v>
      </c>
    </row>
    <row r="7" spans="1:19" s="5" customFormat="1" ht="294" customHeight="1" x14ac:dyDescent="0.35">
      <c r="A7" s="8">
        <v>4</v>
      </c>
      <c r="B7" s="12" t="s">
        <v>908</v>
      </c>
      <c r="C7" s="8" t="s">
        <v>960</v>
      </c>
      <c r="D7" s="8" t="s">
        <v>967</v>
      </c>
      <c r="E7" s="8" t="s">
        <v>49</v>
      </c>
      <c r="F7" s="8" t="s">
        <v>344</v>
      </c>
      <c r="G7" s="8" t="s">
        <v>50</v>
      </c>
      <c r="H7" s="26" t="s">
        <v>968</v>
      </c>
      <c r="I7" s="26" t="s">
        <v>52</v>
      </c>
      <c r="J7" s="8" t="s">
        <v>74</v>
      </c>
      <c r="K7" s="8"/>
      <c r="L7" s="9" t="s">
        <v>969</v>
      </c>
      <c r="M7" s="9" t="s">
        <v>964</v>
      </c>
      <c r="N7" s="580"/>
      <c r="O7" s="545"/>
      <c r="P7" s="582"/>
      <c r="Q7" s="8" t="s">
        <v>56</v>
      </c>
      <c r="R7" s="16" t="s">
        <v>965</v>
      </c>
      <c r="S7" s="86" t="s">
        <v>966</v>
      </c>
    </row>
    <row r="8" spans="1:19" s="5" customFormat="1" ht="257.14999999999998" customHeight="1" x14ac:dyDescent="0.35">
      <c r="A8" s="8">
        <v>7</v>
      </c>
      <c r="B8" s="12" t="s">
        <v>908</v>
      </c>
      <c r="C8" s="8" t="s">
        <v>960</v>
      </c>
      <c r="D8" s="8" t="s">
        <v>970</v>
      </c>
      <c r="E8" s="8" t="s">
        <v>49</v>
      </c>
      <c r="F8" s="8" t="s">
        <v>344</v>
      </c>
      <c r="G8" s="8" t="s">
        <v>88</v>
      </c>
      <c r="H8" s="26" t="s">
        <v>971</v>
      </c>
      <c r="I8" s="25" t="s">
        <v>52</v>
      </c>
      <c r="J8" s="8" t="s">
        <v>74</v>
      </c>
      <c r="K8" s="8"/>
      <c r="L8" s="9" t="s">
        <v>972</v>
      </c>
      <c r="M8" s="9" t="s">
        <v>973</v>
      </c>
      <c r="N8" s="581"/>
      <c r="O8" s="546"/>
      <c r="P8" s="583"/>
      <c r="Q8" s="8" t="s">
        <v>974</v>
      </c>
      <c r="R8" s="16" t="s">
        <v>975</v>
      </c>
      <c r="S8" s="88" t="s">
        <v>976</v>
      </c>
    </row>
    <row r="9" spans="1:19" s="5" customFormat="1" ht="120.65" customHeight="1" x14ac:dyDescent="0.35">
      <c r="A9" s="8">
        <v>12</v>
      </c>
      <c r="B9" s="13" t="s">
        <v>361</v>
      </c>
      <c r="C9" s="8" t="s">
        <v>977</v>
      </c>
      <c r="D9" s="8" t="s">
        <v>978</v>
      </c>
      <c r="E9" s="8" t="s">
        <v>70</v>
      </c>
      <c r="F9" s="8" t="s">
        <v>979</v>
      </c>
      <c r="G9" s="8" t="s">
        <v>457</v>
      </c>
      <c r="H9" s="26" t="s">
        <v>632</v>
      </c>
      <c r="I9" s="26"/>
      <c r="J9" s="8" t="s">
        <v>74</v>
      </c>
      <c r="K9" s="8"/>
      <c r="L9" s="9" t="s">
        <v>980</v>
      </c>
      <c r="M9" s="9" t="s">
        <v>957</v>
      </c>
      <c r="N9" s="89"/>
      <c r="O9" s="90"/>
      <c r="P9" s="91"/>
      <c r="Q9" s="8" t="s">
        <v>56</v>
      </c>
      <c r="R9" s="16" t="s">
        <v>981</v>
      </c>
      <c r="S9" s="88" t="s">
        <v>982</v>
      </c>
    </row>
    <row r="10" spans="1:19" s="3" customFormat="1" ht="79.5" customHeight="1" x14ac:dyDescent="0.35">
      <c r="A10" s="8"/>
      <c r="B10" s="12"/>
      <c r="C10" s="8"/>
      <c r="D10" s="8"/>
      <c r="E10" s="8"/>
      <c r="F10" s="8"/>
      <c r="G10" s="8"/>
      <c r="H10" s="26"/>
      <c r="I10" s="26"/>
      <c r="J10" s="8"/>
      <c r="K10" s="8"/>
      <c r="L10" s="9"/>
      <c r="M10" s="9"/>
      <c r="N10" s="38"/>
      <c r="O10" s="38"/>
      <c r="P10" s="38"/>
      <c r="Q10" s="8"/>
      <c r="R10" s="16"/>
      <c r="S10" s="16"/>
    </row>
    <row r="11" spans="1:19" s="3" customFormat="1" ht="79.5" customHeight="1" x14ac:dyDescent="0.35">
      <c r="A11" s="8"/>
      <c r="B11" s="12"/>
      <c r="C11" s="8"/>
      <c r="D11" s="8"/>
      <c r="E11" s="8"/>
      <c r="F11" s="8"/>
      <c r="G11" s="8"/>
      <c r="H11" s="26"/>
      <c r="I11" s="26"/>
      <c r="J11" s="8"/>
      <c r="K11" s="8"/>
      <c r="L11" s="9"/>
      <c r="M11" s="78"/>
      <c r="N11" s="77"/>
      <c r="O11" s="77"/>
      <c r="P11" s="77"/>
      <c r="Q11" s="80"/>
      <c r="R11" s="16"/>
      <c r="S11" s="16"/>
    </row>
    <row r="12" spans="1:19" ht="79.5" customHeight="1" x14ac:dyDescent="0.4">
      <c r="A12" s="19"/>
      <c r="B12" s="20"/>
      <c r="C12" s="19"/>
      <c r="D12" s="19"/>
      <c r="E12" s="19"/>
      <c r="F12" s="19"/>
      <c r="G12" s="19"/>
      <c r="H12" s="28"/>
      <c r="I12" s="28"/>
      <c r="J12" s="19"/>
      <c r="K12" s="19"/>
      <c r="L12" s="21"/>
      <c r="M12" s="9"/>
      <c r="N12" s="8"/>
      <c r="O12" s="8"/>
      <c r="P12" s="8"/>
      <c r="Q12" s="19"/>
      <c r="R12" s="22"/>
      <c r="S12" s="22"/>
    </row>
    <row r="13" spans="1:19" ht="16" x14ac:dyDescent="0.35">
      <c r="N13" s="79"/>
      <c r="O13" s="79"/>
      <c r="P13" s="79"/>
    </row>
    <row r="14" spans="1:19" ht="16" x14ac:dyDescent="0.35">
      <c r="N14" s="79"/>
      <c r="O14" s="79"/>
      <c r="P14" s="79"/>
    </row>
    <row r="15" spans="1:19" ht="16" x14ac:dyDescent="0.35">
      <c r="N15" s="79"/>
      <c r="O15" s="79"/>
      <c r="P15" s="79"/>
    </row>
    <row r="16" spans="1:19" ht="16" x14ac:dyDescent="0.35">
      <c r="N16" s="79"/>
      <c r="O16" s="79"/>
      <c r="P16" s="79"/>
    </row>
    <row r="17" spans="14:16" ht="16" x14ac:dyDescent="0.35">
      <c r="N17" s="79"/>
      <c r="O17" s="79"/>
      <c r="P17" s="79"/>
    </row>
    <row r="18" spans="14:16" ht="16" x14ac:dyDescent="0.35">
      <c r="N18" s="79"/>
      <c r="O18" s="79"/>
      <c r="P18" s="79"/>
    </row>
    <row r="19" spans="14:16" ht="16" x14ac:dyDescent="0.35">
      <c r="N19" s="79"/>
      <c r="O19" s="79"/>
      <c r="P19" s="79"/>
    </row>
    <row r="20" spans="14:16" ht="16" x14ac:dyDescent="0.35">
      <c r="N20" s="79"/>
      <c r="O20" s="79"/>
      <c r="P20" s="79"/>
    </row>
    <row r="21" spans="14:16" ht="16" x14ac:dyDescent="0.35">
      <c r="N21" s="79"/>
      <c r="O21" s="79"/>
      <c r="P21" s="79"/>
    </row>
    <row r="22" spans="14:16" ht="16" x14ac:dyDescent="0.35">
      <c r="N22" s="79"/>
      <c r="O22" s="79"/>
      <c r="P22" s="79"/>
    </row>
    <row r="23" spans="14:16" ht="16" x14ac:dyDescent="0.35">
      <c r="N23" s="79"/>
      <c r="O23" s="79"/>
      <c r="P23" s="79"/>
    </row>
    <row r="24" spans="14:16" ht="16" x14ac:dyDescent="0.35">
      <c r="N24" s="79"/>
      <c r="O24" s="79"/>
      <c r="P24" s="79"/>
    </row>
    <row r="25" spans="14:16" ht="16" x14ac:dyDescent="0.35">
      <c r="N25" s="79"/>
      <c r="O25" s="79"/>
      <c r="P25" s="79"/>
    </row>
    <row r="26" spans="14:16" ht="16" x14ac:dyDescent="0.35">
      <c r="N26" s="79"/>
      <c r="O26" s="79"/>
      <c r="P26" s="79"/>
    </row>
    <row r="27" spans="14:16" ht="16" x14ac:dyDescent="0.35">
      <c r="N27" s="79"/>
      <c r="O27" s="79"/>
      <c r="P27" s="79"/>
    </row>
    <row r="28" spans="14:16" ht="16" x14ac:dyDescent="0.35">
      <c r="N28" s="79"/>
      <c r="O28" s="79"/>
      <c r="P28" s="79"/>
    </row>
    <row r="29" spans="14:16" ht="16" x14ac:dyDescent="0.35">
      <c r="N29" s="79"/>
      <c r="O29" s="79"/>
      <c r="P29" s="79"/>
    </row>
    <row r="30" spans="14:16" ht="16" x14ac:dyDescent="0.35">
      <c r="N30" s="79"/>
      <c r="O30" s="79"/>
      <c r="P30" s="79"/>
    </row>
    <row r="31" spans="14:16" ht="16" x14ac:dyDescent="0.35">
      <c r="N31" s="79"/>
      <c r="O31" s="79"/>
      <c r="P31" s="79"/>
    </row>
    <row r="32" spans="14:16" ht="16" x14ac:dyDescent="0.35">
      <c r="N32" s="79"/>
      <c r="O32" s="79"/>
      <c r="P32" s="79"/>
    </row>
    <row r="33" spans="14:16" ht="16" x14ac:dyDescent="0.35">
      <c r="N33" s="79"/>
      <c r="O33" s="79"/>
      <c r="P33" s="79"/>
    </row>
    <row r="34" spans="14:16" ht="16" x14ac:dyDescent="0.35">
      <c r="N34" s="79"/>
      <c r="O34" s="79"/>
      <c r="P34" s="79"/>
    </row>
    <row r="35" spans="14:16" ht="16" x14ac:dyDescent="0.35">
      <c r="N35" s="79"/>
      <c r="O35" s="79"/>
      <c r="P35" s="79"/>
    </row>
    <row r="36" spans="14:16" ht="16" x14ac:dyDescent="0.35">
      <c r="N36" s="79"/>
      <c r="O36" s="79"/>
      <c r="P36" s="79"/>
    </row>
    <row r="37" spans="14:16" ht="16" x14ac:dyDescent="0.35">
      <c r="N37" s="79"/>
      <c r="O37" s="79"/>
      <c r="P37" s="79"/>
    </row>
    <row r="38" spans="14:16" ht="16" x14ac:dyDescent="0.35">
      <c r="N38" s="79"/>
      <c r="O38" s="79"/>
      <c r="P38" s="79"/>
    </row>
    <row r="39" spans="14:16" ht="16" x14ac:dyDescent="0.35">
      <c r="N39" s="79"/>
      <c r="O39" s="79"/>
      <c r="P39" s="79"/>
    </row>
    <row r="40" spans="14:16" ht="16" x14ac:dyDescent="0.35">
      <c r="N40" s="79"/>
      <c r="O40" s="79"/>
      <c r="P40" s="79"/>
    </row>
    <row r="41" spans="14:16" ht="16" x14ac:dyDescent="0.35">
      <c r="N41" s="79"/>
      <c r="O41" s="79"/>
      <c r="P41" s="79"/>
    </row>
    <row r="42" spans="14:16" ht="16" x14ac:dyDescent="0.35">
      <c r="N42" s="79"/>
      <c r="O42" s="79"/>
      <c r="P42" s="79"/>
    </row>
    <row r="43" spans="14:16" ht="16" x14ac:dyDescent="0.35">
      <c r="N43" s="79"/>
      <c r="O43" s="79"/>
      <c r="P43" s="79"/>
    </row>
    <row r="44" spans="14:16" ht="16" x14ac:dyDescent="0.35">
      <c r="N44" s="79"/>
      <c r="O44" s="79"/>
      <c r="P44" s="79"/>
    </row>
    <row r="45" spans="14:16" ht="16" x14ac:dyDescent="0.35">
      <c r="N45" s="79"/>
      <c r="O45" s="79"/>
      <c r="P45" s="79"/>
    </row>
    <row r="46" spans="14:16" ht="16" x14ac:dyDescent="0.35">
      <c r="N46" s="79"/>
      <c r="O46" s="79"/>
      <c r="P46" s="79"/>
    </row>
    <row r="47" spans="14:16" ht="16" x14ac:dyDescent="0.35">
      <c r="N47" s="79"/>
      <c r="O47" s="79"/>
      <c r="P47" s="79"/>
    </row>
    <row r="48" spans="14:16" ht="16" x14ac:dyDescent="0.35">
      <c r="N48" s="79"/>
      <c r="O48" s="79"/>
      <c r="P48" s="79"/>
    </row>
    <row r="49" spans="14:16" ht="16" x14ac:dyDescent="0.35">
      <c r="N49" s="79"/>
      <c r="O49" s="79"/>
      <c r="P49" s="79"/>
    </row>
    <row r="50" spans="14:16" ht="16" x14ac:dyDescent="0.35">
      <c r="N50" s="79"/>
      <c r="O50" s="79"/>
      <c r="P50" s="79"/>
    </row>
    <row r="51" spans="14:16" ht="16" x14ac:dyDescent="0.35">
      <c r="N51" s="79"/>
      <c r="O51" s="79"/>
      <c r="P51" s="79"/>
    </row>
    <row r="52" spans="14:16" ht="16" x14ac:dyDescent="0.35">
      <c r="N52" s="79"/>
      <c r="O52" s="79"/>
      <c r="P52" s="79"/>
    </row>
    <row r="53" spans="14:16" ht="16" x14ac:dyDescent="0.35">
      <c r="N53" s="79"/>
      <c r="O53" s="79"/>
      <c r="P53" s="79"/>
    </row>
    <row r="54" spans="14:16" ht="16" x14ac:dyDescent="0.35">
      <c r="N54" s="79"/>
      <c r="O54" s="79"/>
      <c r="P54" s="79"/>
    </row>
    <row r="55" spans="14:16" ht="16" x14ac:dyDescent="0.35">
      <c r="N55" s="79"/>
      <c r="O55" s="79"/>
      <c r="P55" s="79"/>
    </row>
    <row r="56" spans="14:16" ht="16" x14ac:dyDescent="0.35">
      <c r="N56" s="79"/>
      <c r="O56" s="79"/>
      <c r="P56" s="79"/>
    </row>
    <row r="57" spans="14:16" ht="16" x14ac:dyDescent="0.35">
      <c r="N57" s="79"/>
      <c r="O57" s="79"/>
      <c r="P57" s="79"/>
    </row>
    <row r="58" spans="14:16" ht="16" x14ac:dyDescent="0.35">
      <c r="N58" s="79"/>
      <c r="O58" s="79"/>
      <c r="P58" s="79"/>
    </row>
    <row r="59" spans="14:16" ht="16" x14ac:dyDescent="0.35">
      <c r="N59" s="79"/>
      <c r="O59" s="79"/>
      <c r="P59" s="79"/>
    </row>
    <row r="60" spans="14:16" ht="16" x14ac:dyDescent="0.35">
      <c r="N60" s="79"/>
      <c r="O60" s="79"/>
      <c r="P60" s="79"/>
    </row>
    <row r="61" spans="14:16" ht="16" x14ac:dyDescent="0.35">
      <c r="N61" s="79"/>
      <c r="O61" s="79"/>
      <c r="P61" s="79"/>
    </row>
    <row r="62" spans="14:16" ht="16" x14ac:dyDescent="0.35">
      <c r="N62" s="79"/>
      <c r="O62" s="79"/>
      <c r="P62" s="79"/>
    </row>
    <row r="63" spans="14:16" ht="16" x14ac:dyDescent="0.35">
      <c r="N63" s="79"/>
      <c r="O63" s="79"/>
      <c r="P63" s="79"/>
    </row>
    <row r="64" spans="14:16" ht="16" x14ac:dyDescent="0.35">
      <c r="N64" s="79"/>
      <c r="O64" s="79"/>
      <c r="P64" s="79"/>
    </row>
    <row r="65" spans="14:16" ht="16" x14ac:dyDescent="0.35">
      <c r="N65" s="79"/>
      <c r="O65" s="79"/>
      <c r="P65" s="79"/>
    </row>
    <row r="66" spans="14:16" ht="16" x14ac:dyDescent="0.35">
      <c r="N66" s="79"/>
      <c r="O66" s="79"/>
      <c r="P66" s="79"/>
    </row>
    <row r="67" spans="14:16" ht="16" x14ac:dyDescent="0.35">
      <c r="N67" s="79"/>
      <c r="O67" s="79"/>
      <c r="P67" s="79"/>
    </row>
  </sheetData>
  <autoFilter ref="A1:R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10">
    <mergeCell ref="N6:N8"/>
    <mergeCell ref="O6:O8"/>
    <mergeCell ref="P6:P8"/>
    <mergeCell ref="A1:R1"/>
    <mergeCell ref="A2:R2"/>
    <mergeCell ref="A3:D3"/>
    <mergeCell ref="Q3:R3"/>
    <mergeCell ref="L3:M3"/>
    <mergeCell ref="E3:K3"/>
    <mergeCell ref="N3:P3"/>
  </mergeCells>
  <conditionalFormatting sqref="Q5:Q1048576">
    <cfRule type="containsText" dxfId="13" priority="1" operator="containsText" text="Rejected">
      <formula>NOT(ISERROR(SEARCH("Rejected",Q5)))</formula>
    </cfRule>
    <cfRule type="containsText" dxfId="12" priority="2" operator="containsText" text="Revisions Needed">
      <formula>NOT(ISERROR(SEARCH("Revisions Needed",Q5)))</formula>
    </cfRule>
    <cfRule type="containsText" dxfId="11" priority="3" operator="containsText" text="Approved">
      <formula>NOT(ISERROR(SEARCH("Approved",Q5)))</formula>
    </cfRule>
  </conditionalFormatting>
  <dataValidations count="2">
    <dataValidation type="list" allowBlank="1" showInputMessage="1" showErrorMessage="1" sqref="N10:P1048576 N5:P6" xr:uid="{0AD6F15A-EED3-4F53-8451-37939445AF8E}">
      <formula1>"No, Yes"</formula1>
    </dataValidation>
    <dataValidation type="list" allowBlank="1" sqref="Q5:Q1048576" xr:uid="{1C66E699-91A9-4EFB-9333-45E466C1147A}">
      <formula1>"Approved,Revisions Needed, Rejected"</formula1>
    </dataValidation>
  </dataValidation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22986-5750-4476-A5DC-47A32F0632BA}">
  <sheetPr>
    <tabColor theme="6"/>
  </sheetPr>
  <dimension ref="A1:S76"/>
  <sheetViews>
    <sheetView showGridLines="0" topLeftCell="J1" zoomScale="70" zoomScaleNormal="70" workbookViewId="0">
      <pane ySplit="4" topLeftCell="A10" activePane="bottomLeft" state="frozen"/>
      <selection pane="bottomLeft" activeCell="R10" sqref="R10"/>
    </sheetView>
  </sheetViews>
  <sheetFormatPr defaultColWidth="8.54296875" defaultRowHeight="14.5" x14ac:dyDescent="0.35"/>
  <cols>
    <col min="1" max="1" width="9" style="2" customWidth="1"/>
    <col min="2" max="2" width="12" style="14" customWidth="1"/>
    <col min="3" max="3" width="18.81640625" style="2" customWidth="1"/>
    <col min="4" max="4" width="20.453125" style="2" customWidth="1"/>
    <col min="5" max="5" width="11.54296875" style="2" customWidth="1"/>
    <col min="6" max="6" width="13.1796875" style="2" hidden="1" customWidth="1"/>
    <col min="7" max="7" width="11.1796875" style="2" customWidth="1"/>
    <col min="8" max="8" width="11.81640625" style="29" customWidth="1"/>
    <col min="9" max="9" width="11.453125" style="29" customWidth="1"/>
    <col min="10" max="10" width="15.54296875" style="2" customWidth="1"/>
    <col min="11" max="11" width="13.1796875" style="2" hidden="1" customWidth="1"/>
    <col min="12" max="12" width="36" style="1" customWidth="1"/>
    <col min="13" max="13" width="46.1796875" style="3" customWidth="1"/>
    <col min="14" max="14" width="12.81640625" style="76" customWidth="1"/>
    <col min="15" max="15" width="10.81640625" style="76" customWidth="1"/>
    <col min="16" max="16" width="13.1796875" style="76" customWidth="1"/>
    <col min="17" max="17" width="15.1796875" style="2" customWidth="1"/>
    <col min="18" max="19" width="76.54296875" style="17" customWidth="1"/>
    <col min="20" max="16384" width="8.54296875" style="1"/>
  </cols>
  <sheetData>
    <row r="1" spans="1:19" ht="37.5" customHeight="1" x14ac:dyDescent="0.35">
      <c r="A1" s="555" t="s">
        <v>0</v>
      </c>
      <c r="B1" s="555"/>
      <c r="C1" s="555"/>
      <c r="D1" s="555"/>
      <c r="E1" s="555"/>
      <c r="F1" s="555"/>
      <c r="G1" s="555"/>
      <c r="H1" s="555"/>
      <c r="I1" s="555"/>
      <c r="J1" s="555"/>
      <c r="K1" s="555"/>
      <c r="L1" s="555"/>
      <c r="M1" s="555"/>
      <c r="N1" s="555"/>
      <c r="O1" s="555"/>
      <c r="P1" s="555"/>
      <c r="Q1" s="555"/>
      <c r="R1" s="555"/>
      <c r="S1" s="81"/>
    </row>
    <row r="2" spans="1:19" ht="19.5" customHeight="1" thickBot="1" x14ac:dyDescent="0.4">
      <c r="A2" s="550" t="s">
        <v>2</v>
      </c>
      <c r="B2" s="550"/>
      <c r="C2" s="550"/>
      <c r="D2" s="550"/>
      <c r="E2" s="550"/>
      <c r="F2" s="550"/>
      <c r="G2" s="550"/>
      <c r="H2" s="550"/>
      <c r="I2" s="550"/>
      <c r="J2" s="550"/>
      <c r="K2" s="550"/>
      <c r="L2" s="550"/>
      <c r="M2" s="550"/>
      <c r="N2" s="550"/>
      <c r="O2" s="550"/>
      <c r="P2" s="550"/>
      <c r="Q2" s="550"/>
      <c r="R2" s="550"/>
      <c r="S2" s="82"/>
    </row>
    <row r="3" spans="1:19" s="4" customFormat="1" ht="27.75" customHeight="1" thickTop="1" thickBot="1" x14ac:dyDescent="0.45">
      <c r="A3" s="516" t="s">
        <v>3</v>
      </c>
      <c r="B3" s="516"/>
      <c r="C3" s="516"/>
      <c r="D3" s="516"/>
      <c r="E3" s="547" t="s">
        <v>4</v>
      </c>
      <c r="F3" s="548"/>
      <c r="G3" s="548"/>
      <c r="H3" s="548"/>
      <c r="I3" s="548"/>
      <c r="J3" s="548"/>
      <c r="K3" s="549"/>
      <c r="L3" s="516" t="s">
        <v>5</v>
      </c>
      <c r="M3" s="516"/>
      <c r="N3" s="547" t="s">
        <v>6</v>
      </c>
      <c r="O3" s="548"/>
      <c r="P3" s="549"/>
      <c r="Q3" s="516" t="s">
        <v>7</v>
      </c>
      <c r="R3" s="513"/>
      <c r="S3" s="84" t="s">
        <v>8</v>
      </c>
    </row>
    <row r="4" spans="1:19" ht="71.5" customHeight="1" thickTop="1" thickBot="1" x14ac:dyDescent="0.4">
      <c r="A4" s="10" t="s">
        <v>9</v>
      </c>
      <c r="B4" s="10" t="s">
        <v>10</v>
      </c>
      <c r="C4" s="10" t="s">
        <v>12</v>
      </c>
      <c r="D4" s="10" t="s">
        <v>13</v>
      </c>
      <c r="E4" s="10" t="s">
        <v>14</v>
      </c>
      <c r="F4" s="10" t="s">
        <v>228</v>
      </c>
      <c r="G4" s="10" t="s">
        <v>15</v>
      </c>
      <c r="H4" s="10" t="s">
        <v>16</v>
      </c>
      <c r="I4" s="10" t="s">
        <v>17</v>
      </c>
      <c r="J4" s="10" t="s">
        <v>18</v>
      </c>
      <c r="K4" s="10" t="s">
        <v>19</v>
      </c>
      <c r="L4" s="10" t="s">
        <v>20</v>
      </c>
      <c r="M4" s="95" t="s">
        <v>21</v>
      </c>
      <c r="N4" s="10" t="s">
        <v>22</v>
      </c>
      <c r="O4" s="10" t="s">
        <v>23</v>
      </c>
      <c r="P4" s="10" t="s">
        <v>24</v>
      </c>
      <c r="Q4" s="23" t="s">
        <v>470</v>
      </c>
      <c r="R4" s="83" t="s">
        <v>27</v>
      </c>
      <c r="S4" s="85" t="s">
        <v>30</v>
      </c>
    </row>
    <row r="5" spans="1:19" s="5" customFormat="1" ht="331.5" customHeight="1" thickTop="1" x14ac:dyDescent="0.35">
      <c r="A5" s="8">
        <v>5</v>
      </c>
      <c r="B5" s="12" t="s">
        <v>908</v>
      </c>
      <c r="C5" s="8" t="s">
        <v>960</v>
      </c>
      <c r="D5" s="8" t="s">
        <v>983</v>
      </c>
      <c r="E5" s="8" t="s">
        <v>49</v>
      </c>
      <c r="F5" s="8" t="s">
        <v>344</v>
      </c>
      <c r="G5" s="8" t="s">
        <v>88</v>
      </c>
      <c r="H5" s="26" t="s">
        <v>984</v>
      </c>
      <c r="I5" s="26" t="s">
        <v>52</v>
      </c>
      <c r="J5" s="8" t="s">
        <v>74</v>
      </c>
      <c r="K5" s="8"/>
      <c r="L5" s="9" t="s">
        <v>972</v>
      </c>
      <c r="M5" s="9" t="s">
        <v>973</v>
      </c>
      <c r="N5" s="580"/>
      <c r="O5" s="545"/>
      <c r="P5" s="582"/>
      <c r="Q5" s="8" t="s">
        <v>56</v>
      </c>
      <c r="R5" s="16"/>
      <c r="S5" s="16"/>
    </row>
    <row r="6" spans="1:19" s="5" customFormat="1" ht="262" customHeight="1" x14ac:dyDescent="0.35">
      <c r="A6" s="8">
        <v>6</v>
      </c>
      <c r="B6" s="12" t="s">
        <v>908</v>
      </c>
      <c r="C6" s="8" t="s">
        <v>960</v>
      </c>
      <c r="D6" s="8" t="s">
        <v>985</v>
      </c>
      <c r="E6" s="8" t="s">
        <v>49</v>
      </c>
      <c r="F6" s="8" t="s">
        <v>344</v>
      </c>
      <c r="G6" s="8" t="s">
        <v>50</v>
      </c>
      <c r="H6" s="26" t="s">
        <v>154</v>
      </c>
      <c r="I6" s="26" t="s">
        <v>52</v>
      </c>
      <c r="J6" s="8" t="s">
        <v>74</v>
      </c>
      <c r="K6" s="8"/>
      <c r="L6" s="9" t="s">
        <v>963</v>
      </c>
      <c r="M6" s="9" t="s">
        <v>973</v>
      </c>
      <c r="N6" s="580"/>
      <c r="O6" s="545"/>
      <c r="P6" s="582"/>
      <c r="Q6" s="8" t="s">
        <v>56</v>
      </c>
      <c r="R6" s="16"/>
      <c r="S6" s="16"/>
    </row>
    <row r="7" spans="1:19" s="5" customFormat="1" ht="139" customHeight="1" x14ac:dyDescent="0.35">
      <c r="A7" s="8">
        <v>8</v>
      </c>
      <c r="B7" s="12" t="s">
        <v>908</v>
      </c>
      <c r="C7" s="8" t="s">
        <v>986</v>
      </c>
      <c r="D7" s="8" t="s">
        <v>987</v>
      </c>
      <c r="E7" s="8" t="s">
        <v>49</v>
      </c>
      <c r="F7" s="8" t="s">
        <v>344</v>
      </c>
      <c r="G7" s="8" t="s">
        <v>50</v>
      </c>
      <c r="H7" s="26" t="s">
        <v>154</v>
      </c>
      <c r="I7" s="25" t="s">
        <v>52</v>
      </c>
      <c r="J7" s="8" t="s">
        <v>74</v>
      </c>
      <c r="K7" s="8"/>
      <c r="L7" s="9" t="s">
        <v>988</v>
      </c>
      <c r="M7" s="9" t="s">
        <v>989</v>
      </c>
      <c r="N7" s="584" t="s">
        <v>55</v>
      </c>
      <c r="O7" s="577" t="s">
        <v>55</v>
      </c>
      <c r="P7" s="585" t="s">
        <v>55</v>
      </c>
      <c r="Q7" s="8" t="s">
        <v>56</v>
      </c>
      <c r="R7" s="16"/>
      <c r="S7" s="16"/>
    </row>
    <row r="8" spans="1:19" s="5" customFormat="1" ht="162" customHeight="1" x14ac:dyDescent="0.35">
      <c r="A8" s="8">
        <v>9</v>
      </c>
      <c r="B8" s="12" t="s">
        <v>908</v>
      </c>
      <c r="C8" s="8" t="s">
        <v>986</v>
      </c>
      <c r="D8" s="8" t="s">
        <v>990</v>
      </c>
      <c r="E8" s="8" t="s">
        <v>49</v>
      </c>
      <c r="F8" s="8" t="s">
        <v>344</v>
      </c>
      <c r="G8" s="8" t="s">
        <v>50</v>
      </c>
      <c r="H8" s="26" t="s">
        <v>154</v>
      </c>
      <c r="I8" s="25" t="s">
        <v>52</v>
      </c>
      <c r="J8" s="8" t="s">
        <v>74</v>
      </c>
      <c r="K8" s="8"/>
      <c r="L8" s="9" t="s">
        <v>972</v>
      </c>
      <c r="M8" s="9" t="s">
        <v>991</v>
      </c>
      <c r="N8" s="581"/>
      <c r="O8" s="546"/>
      <c r="P8" s="583"/>
      <c r="Q8" s="8" t="s">
        <v>56</v>
      </c>
      <c r="R8" s="16"/>
      <c r="S8" s="16"/>
    </row>
    <row r="9" spans="1:19" s="5" customFormat="1" ht="138.65" customHeight="1" x14ac:dyDescent="0.35">
      <c r="A9" s="8">
        <v>10</v>
      </c>
      <c r="B9" s="13" t="s">
        <v>361</v>
      </c>
      <c r="C9" s="8" t="s">
        <v>977</v>
      </c>
      <c r="D9" s="8" t="s">
        <v>992</v>
      </c>
      <c r="E9" s="8" t="s">
        <v>70</v>
      </c>
      <c r="F9" s="8" t="s">
        <v>979</v>
      </c>
      <c r="G9" s="8" t="s">
        <v>71</v>
      </c>
      <c r="H9" s="26" t="s">
        <v>993</v>
      </c>
      <c r="I9" s="26" t="s">
        <v>860</v>
      </c>
      <c r="J9" s="8" t="s">
        <v>74</v>
      </c>
      <c r="K9" s="8"/>
      <c r="L9" s="9" t="s">
        <v>994</v>
      </c>
      <c r="M9" s="9" t="s">
        <v>995</v>
      </c>
      <c r="N9" s="584" t="s">
        <v>55</v>
      </c>
      <c r="O9" s="577" t="s">
        <v>55</v>
      </c>
      <c r="P9" s="585" t="s">
        <v>55</v>
      </c>
      <c r="Q9" s="8" t="s">
        <v>56</v>
      </c>
      <c r="R9" s="16"/>
      <c r="S9" s="16"/>
    </row>
    <row r="10" spans="1:19" s="5" customFormat="1" ht="129.65" customHeight="1" x14ac:dyDescent="0.35">
      <c r="A10" s="8">
        <v>11</v>
      </c>
      <c r="B10" s="13" t="s">
        <v>361</v>
      </c>
      <c r="C10" s="8" t="s">
        <v>977</v>
      </c>
      <c r="D10" s="8" t="s">
        <v>996</v>
      </c>
      <c r="E10" s="8" t="s">
        <v>70</v>
      </c>
      <c r="F10" s="8" t="s">
        <v>979</v>
      </c>
      <c r="G10" s="8" t="s">
        <v>71</v>
      </c>
      <c r="H10" s="26" t="s">
        <v>860</v>
      </c>
      <c r="I10" s="26" t="s">
        <v>416</v>
      </c>
      <c r="J10" s="8" t="s">
        <v>74</v>
      </c>
      <c r="K10" s="8"/>
      <c r="L10" s="9" t="s">
        <v>997</v>
      </c>
      <c r="M10" s="9" t="s">
        <v>998</v>
      </c>
      <c r="N10" s="580"/>
      <c r="O10" s="545"/>
      <c r="P10" s="582"/>
      <c r="Q10" s="8" t="s">
        <v>56</v>
      </c>
      <c r="R10" s="16"/>
      <c r="S10" s="16"/>
    </row>
    <row r="11" spans="1:19" s="5" customFormat="1" ht="115.5" customHeight="1" x14ac:dyDescent="0.35">
      <c r="A11" s="8">
        <v>13</v>
      </c>
      <c r="B11" s="13" t="s">
        <v>361</v>
      </c>
      <c r="C11" s="8" t="s">
        <v>977</v>
      </c>
      <c r="D11" s="8" t="s">
        <v>999</v>
      </c>
      <c r="E11" s="8" t="s">
        <v>70</v>
      </c>
      <c r="F11" s="8" t="s">
        <v>979</v>
      </c>
      <c r="G11" s="8" t="s">
        <v>50</v>
      </c>
      <c r="H11" s="26" t="s">
        <v>416</v>
      </c>
      <c r="I11" s="26" t="s">
        <v>52</v>
      </c>
      <c r="J11" s="8" t="s">
        <v>74</v>
      </c>
      <c r="K11" s="8"/>
      <c r="L11" s="9" t="s">
        <v>994</v>
      </c>
      <c r="M11" s="9" t="s">
        <v>1000</v>
      </c>
      <c r="N11" s="581"/>
      <c r="O11" s="546"/>
      <c r="P11" s="583"/>
      <c r="Q11" s="8" t="s">
        <v>56</v>
      </c>
      <c r="R11" s="16"/>
      <c r="S11" s="16"/>
    </row>
    <row r="12" spans="1:19" s="3" customFormat="1" ht="79.5" customHeight="1" x14ac:dyDescent="0.35">
      <c r="A12" s="8">
        <v>14</v>
      </c>
      <c r="B12" s="12" t="s">
        <v>908</v>
      </c>
      <c r="C12" s="8" t="s">
        <v>1001</v>
      </c>
      <c r="D12" s="8" t="s">
        <v>1002</v>
      </c>
      <c r="E12" s="8" t="s">
        <v>1003</v>
      </c>
      <c r="F12" s="8"/>
      <c r="G12" s="8" t="s">
        <v>71</v>
      </c>
      <c r="H12" s="26" t="s">
        <v>103</v>
      </c>
      <c r="I12" s="26" t="s">
        <v>416</v>
      </c>
      <c r="J12" s="8" t="s">
        <v>74</v>
      </c>
      <c r="K12" s="8"/>
      <c r="L12" s="9" t="s">
        <v>1004</v>
      </c>
      <c r="M12" s="9" t="s">
        <v>1005</v>
      </c>
      <c r="N12" s="38" t="s">
        <v>55</v>
      </c>
      <c r="O12" s="38" t="s">
        <v>55</v>
      </c>
      <c r="P12" s="38" t="s">
        <v>55</v>
      </c>
      <c r="Q12" s="8" t="s">
        <v>56</v>
      </c>
      <c r="R12" s="16"/>
      <c r="S12" s="16"/>
    </row>
    <row r="13" spans="1:19" s="3" customFormat="1" ht="223.5" customHeight="1" x14ac:dyDescent="0.35">
      <c r="A13" s="8">
        <v>15</v>
      </c>
      <c r="B13" s="13" t="s">
        <v>361</v>
      </c>
      <c r="C13" s="8" t="s">
        <v>1006</v>
      </c>
      <c r="D13" s="8" t="s">
        <v>1007</v>
      </c>
      <c r="E13" s="8" t="s">
        <v>280</v>
      </c>
      <c r="F13" s="8"/>
      <c r="G13" s="8" t="s">
        <v>50</v>
      </c>
      <c r="H13" s="26" t="s">
        <v>154</v>
      </c>
      <c r="I13" s="26" t="s">
        <v>52</v>
      </c>
      <c r="J13" s="8" t="s">
        <v>53</v>
      </c>
      <c r="K13" s="8"/>
      <c r="L13" s="9" t="s">
        <v>1008</v>
      </c>
      <c r="M13" s="9" t="s">
        <v>1009</v>
      </c>
      <c r="N13" s="38" t="s">
        <v>55</v>
      </c>
      <c r="O13" s="38" t="s">
        <v>55</v>
      </c>
      <c r="P13" s="38" t="s">
        <v>55</v>
      </c>
      <c r="Q13" s="8" t="s">
        <v>56</v>
      </c>
      <c r="R13" s="16"/>
      <c r="S13" s="16"/>
    </row>
    <row r="14" spans="1:19" s="3" customFormat="1" ht="79.5" customHeight="1" x14ac:dyDescent="0.35">
      <c r="A14" s="8">
        <v>16</v>
      </c>
      <c r="B14" s="13" t="s">
        <v>361</v>
      </c>
      <c r="C14" s="8" t="s">
        <v>1010</v>
      </c>
      <c r="D14" s="30" t="s">
        <v>1011</v>
      </c>
      <c r="E14" s="8" t="s">
        <v>70</v>
      </c>
      <c r="F14" s="8"/>
      <c r="G14" s="8" t="s">
        <v>50</v>
      </c>
      <c r="H14" s="26" t="s">
        <v>1012</v>
      </c>
      <c r="I14" s="26" t="s">
        <v>52</v>
      </c>
      <c r="J14" s="8" t="s">
        <v>74</v>
      </c>
      <c r="K14" s="8"/>
      <c r="L14" s="9" t="s">
        <v>1013</v>
      </c>
      <c r="M14" s="9" t="s">
        <v>1014</v>
      </c>
      <c r="N14" s="584" t="s">
        <v>150</v>
      </c>
      <c r="O14" s="577" t="s">
        <v>150</v>
      </c>
      <c r="P14" s="585" t="s">
        <v>150</v>
      </c>
      <c r="Q14" s="8" t="s">
        <v>56</v>
      </c>
      <c r="R14" s="16"/>
      <c r="S14" s="16"/>
    </row>
    <row r="15" spans="1:19" s="3" customFormat="1" ht="79.5" customHeight="1" x14ac:dyDescent="0.35">
      <c r="A15" s="8">
        <v>17</v>
      </c>
      <c r="B15" s="13" t="s">
        <v>361</v>
      </c>
      <c r="C15" s="8" t="s">
        <v>1010</v>
      </c>
      <c r="D15" s="30" t="s">
        <v>1015</v>
      </c>
      <c r="E15" s="8" t="s">
        <v>70</v>
      </c>
      <c r="F15" s="8"/>
      <c r="G15" s="8" t="s">
        <v>50</v>
      </c>
      <c r="H15" s="26" t="s">
        <v>1016</v>
      </c>
      <c r="I15" s="26" t="s">
        <v>52</v>
      </c>
      <c r="J15" s="8" t="s">
        <v>74</v>
      </c>
      <c r="K15" s="8"/>
      <c r="L15" s="9" t="s">
        <v>1013</v>
      </c>
      <c r="M15" s="9" t="s">
        <v>1014</v>
      </c>
      <c r="N15" s="580"/>
      <c r="O15" s="545"/>
      <c r="P15" s="582"/>
      <c r="Q15" s="8" t="s">
        <v>56</v>
      </c>
      <c r="R15" s="16"/>
      <c r="S15" s="16"/>
    </row>
    <row r="16" spans="1:19" s="3" customFormat="1" ht="79.5" customHeight="1" x14ac:dyDescent="0.35">
      <c r="A16" s="8">
        <v>18</v>
      </c>
      <c r="B16" s="13" t="s">
        <v>361</v>
      </c>
      <c r="C16" s="8" t="s">
        <v>1010</v>
      </c>
      <c r="D16" s="8" t="s">
        <v>1017</v>
      </c>
      <c r="E16" s="8" t="s">
        <v>70</v>
      </c>
      <c r="F16" s="8"/>
      <c r="G16" s="8" t="s">
        <v>50</v>
      </c>
      <c r="H16" s="26" t="s">
        <v>1012</v>
      </c>
      <c r="I16" s="26" t="s">
        <v>52</v>
      </c>
      <c r="J16" s="8" t="s">
        <v>74</v>
      </c>
      <c r="K16" s="8"/>
      <c r="L16" s="9" t="s">
        <v>1013</v>
      </c>
      <c r="M16" s="9" t="s">
        <v>1014</v>
      </c>
      <c r="N16" s="580"/>
      <c r="O16" s="545"/>
      <c r="P16" s="582"/>
      <c r="Q16" s="8" t="s">
        <v>56</v>
      </c>
      <c r="R16" s="16"/>
      <c r="S16" s="16"/>
    </row>
    <row r="17" spans="1:19" s="3" customFormat="1" ht="79.5" customHeight="1" x14ac:dyDescent="0.35">
      <c r="A17" s="8">
        <v>19</v>
      </c>
      <c r="B17" s="13" t="s">
        <v>361</v>
      </c>
      <c r="C17" s="8" t="s">
        <v>1010</v>
      </c>
      <c r="D17" s="30" t="s">
        <v>1018</v>
      </c>
      <c r="E17" s="8" t="s">
        <v>70</v>
      </c>
      <c r="F17" s="8"/>
      <c r="G17" s="8" t="s">
        <v>50</v>
      </c>
      <c r="H17" s="26" t="s">
        <v>414</v>
      </c>
      <c r="I17" s="26" t="s">
        <v>52</v>
      </c>
      <c r="J17" s="8" t="s">
        <v>74</v>
      </c>
      <c r="K17" s="8"/>
      <c r="L17" s="9" t="s">
        <v>1013</v>
      </c>
      <c r="M17" s="9" t="s">
        <v>1014</v>
      </c>
      <c r="N17" s="580"/>
      <c r="O17" s="545"/>
      <c r="P17" s="582"/>
      <c r="Q17" s="8" t="s">
        <v>56</v>
      </c>
      <c r="R17" s="16"/>
      <c r="S17" s="16"/>
    </row>
    <row r="18" spans="1:19" s="3" customFormat="1" ht="79.5" customHeight="1" x14ac:dyDescent="0.35">
      <c r="A18" s="8">
        <v>20</v>
      </c>
      <c r="B18" s="13" t="s">
        <v>361</v>
      </c>
      <c r="C18" s="8" t="s">
        <v>1010</v>
      </c>
      <c r="D18" s="30" t="s">
        <v>1019</v>
      </c>
      <c r="E18" s="8" t="s">
        <v>70</v>
      </c>
      <c r="F18" s="8"/>
      <c r="G18" s="8" t="s">
        <v>50</v>
      </c>
      <c r="H18" s="26" t="s">
        <v>93</v>
      </c>
      <c r="I18" s="26" t="s">
        <v>52</v>
      </c>
      <c r="J18" s="8" t="s">
        <v>74</v>
      </c>
      <c r="K18" s="8"/>
      <c r="L18" s="9" t="s">
        <v>1013</v>
      </c>
      <c r="M18" s="9" t="s">
        <v>1014</v>
      </c>
      <c r="N18" s="581"/>
      <c r="O18" s="546"/>
      <c r="P18" s="583"/>
      <c r="Q18" s="8" t="s">
        <v>56</v>
      </c>
      <c r="R18" s="16"/>
      <c r="S18" s="16"/>
    </row>
    <row r="19" spans="1:19" s="3" customFormat="1" ht="79.5" customHeight="1" x14ac:dyDescent="0.35">
      <c r="A19" s="8"/>
      <c r="B19" s="12"/>
      <c r="C19" s="8"/>
      <c r="D19" s="8"/>
      <c r="E19" s="8"/>
      <c r="F19" s="8"/>
      <c r="G19" s="8"/>
      <c r="H19" s="26"/>
      <c r="I19" s="26"/>
      <c r="J19" s="8"/>
      <c r="K19" s="8"/>
      <c r="L19" s="9"/>
      <c r="M19" s="9"/>
      <c r="N19" s="38"/>
      <c r="O19" s="38"/>
      <c r="P19" s="38"/>
      <c r="Q19" s="8"/>
      <c r="R19" s="16"/>
      <c r="S19" s="16"/>
    </row>
    <row r="20" spans="1:19" s="3" customFormat="1" ht="79.5" customHeight="1" x14ac:dyDescent="0.35">
      <c r="A20" s="8"/>
      <c r="B20" s="12"/>
      <c r="C20" s="8"/>
      <c r="D20" s="8"/>
      <c r="E20" s="8"/>
      <c r="F20" s="8"/>
      <c r="G20" s="8"/>
      <c r="H20" s="26"/>
      <c r="I20" s="26"/>
      <c r="J20" s="8"/>
      <c r="K20" s="8"/>
      <c r="L20" s="9"/>
      <c r="M20" s="78"/>
      <c r="N20" s="77"/>
      <c r="O20" s="77"/>
      <c r="P20" s="77"/>
      <c r="Q20" s="80"/>
      <c r="R20" s="16"/>
      <c r="S20" s="16"/>
    </row>
    <row r="21" spans="1:19" ht="79.5" customHeight="1" x14ac:dyDescent="0.4">
      <c r="A21" s="19"/>
      <c r="B21" s="20"/>
      <c r="C21" s="19"/>
      <c r="D21" s="19"/>
      <c r="E21" s="19"/>
      <c r="F21" s="19"/>
      <c r="G21" s="19"/>
      <c r="H21" s="28"/>
      <c r="I21" s="28"/>
      <c r="J21" s="19"/>
      <c r="K21" s="19"/>
      <c r="L21" s="21"/>
      <c r="M21" s="9"/>
      <c r="N21" s="8"/>
      <c r="O21" s="8"/>
      <c r="P21" s="8"/>
      <c r="Q21" s="19"/>
      <c r="R21" s="22"/>
      <c r="S21" s="22"/>
    </row>
    <row r="22" spans="1:19" ht="16" x14ac:dyDescent="0.35">
      <c r="N22" s="79"/>
      <c r="O22" s="79"/>
      <c r="P22" s="79"/>
    </row>
    <row r="23" spans="1:19" ht="16" x14ac:dyDescent="0.35">
      <c r="N23" s="79"/>
      <c r="O23" s="79"/>
      <c r="P23" s="79"/>
    </row>
    <row r="24" spans="1:19" ht="16" x14ac:dyDescent="0.35">
      <c r="N24" s="79"/>
      <c r="O24" s="79"/>
      <c r="P24" s="79"/>
    </row>
    <row r="25" spans="1:19" ht="16" x14ac:dyDescent="0.35">
      <c r="N25" s="79"/>
      <c r="O25" s="79"/>
      <c r="P25" s="79"/>
    </row>
    <row r="26" spans="1:19" s="2" customFormat="1" ht="16" x14ac:dyDescent="0.35">
      <c r="B26" s="14"/>
      <c r="H26" s="29"/>
      <c r="I26" s="29"/>
      <c r="L26" s="1"/>
      <c r="M26" s="3"/>
      <c r="N26" s="79"/>
      <c r="O26" s="79"/>
      <c r="P26" s="79"/>
      <c r="R26" s="17"/>
      <c r="S26" s="17"/>
    </row>
    <row r="27" spans="1:19" s="2" customFormat="1" ht="16" x14ac:dyDescent="0.35">
      <c r="B27" s="14"/>
      <c r="H27" s="29"/>
      <c r="I27" s="29"/>
      <c r="L27" s="1"/>
      <c r="M27" s="3"/>
      <c r="N27" s="79"/>
      <c r="O27" s="79"/>
      <c r="P27" s="79"/>
      <c r="R27" s="17"/>
      <c r="S27" s="17"/>
    </row>
    <row r="28" spans="1:19" s="2" customFormat="1" ht="16" x14ac:dyDescent="0.35">
      <c r="B28" s="14"/>
      <c r="H28" s="29"/>
      <c r="I28" s="29"/>
      <c r="L28" s="1"/>
      <c r="M28" s="3"/>
      <c r="N28" s="79"/>
      <c r="O28" s="79"/>
      <c r="P28" s="79"/>
      <c r="R28" s="17"/>
      <c r="S28" s="17"/>
    </row>
    <row r="29" spans="1:19" s="2" customFormat="1" ht="16" x14ac:dyDescent="0.35">
      <c r="B29" s="14"/>
      <c r="H29" s="29"/>
      <c r="I29" s="29"/>
      <c r="L29" s="1"/>
      <c r="M29" s="3"/>
      <c r="N29" s="79"/>
      <c r="O29" s="79"/>
      <c r="P29" s="79"/>
      <c r="R29" s="17"/>
      <c r="S29" s="17"/>
    </row>
    <row r="30" spans="1:19" s="2" customFormat="1" ht="16" x14ac:dyDescent="0.35">
      <c r="B30" s="14"/>
      <c r="H30" s="29"/>
      <c r="I30" s="29"/>
      <c r="L30" s="1"/>
      <c r="M30" s="3"/>
      <c r="N30" s="79"/>
      <c r="O30" s="79"/>
      <c r="P30" s="79"/>
      <c r="R30" s="17"/>
      <c r="S30" s="17"/>
    </row>
    <row r="31" spans="1:19" s="2" customFormat="1" ht="16" x14ac:dyDescent="0.35">
      <c r="B31" s="14"/>
      <c r="H31" s="29"/>
      <c r="I31" s="29"/>
      <c r="L31" s="1"/>
      <c r="M31" s="3"/>
      <c r="N31" s="79"/>
      <c r="O31" s="79"/>
      <c r="P31" s="79"/>
      <c r="R31" s="17"/>
      <c r="S31" s="17"/>
    </row>
    <row r="32" spans="1:19" s="2" customFormat="1" ht="16" x14ac:dyDescent="0.35">
      <c r="B32" s="14"/>
      <c r="H32" s="29"/>
      <c r="I32" s="29"/>
      <c r="L32" s="1"/>
      <c r="M32" s="3"/>
      <c r="N32" s="79"/>
      <c r="O32" s="79"/>
      <c r="P32" s="79"/>
      <c r="R32" s="17"/>
      <c r="S32" s="17"/>
    </row>
    <row r="33" spans="2:19" s="2" customFormat="1" ht="16" x14ac:dyDescent="0.35">
      <c r="B33" s="14"/>
      <c r="H33" s="29"/>
      <c r="I33" s="29"/>
      <c r="L33" s="1"/>
      <c r="M33" s="3"/>
      <c r="N33" s="79"/>
      <c r="O33" s="79"/>
      <c r="P33" s="79"/>
      <c r="R33" s="17"/>
      <c r="S33" s="17"/>
    </row>
    <row r="34" spans="2:19" s="2" customFormat="1" ht="16" x14ac:dyDescent="0.35">
      <c r="B34" s="14"/>
      <c r="H34" s="29"/>
      <c r="I34" s="29"/>
      <c r="L34" s="1"/>
      <c r="M34" s="3"/>
      <c r="N34" s="79"/>
      <c r="O34" s="79"/>
      <c r="P34" s="79"/>
      <c r="R34" s="17"/>
      <c r="S34" s="17"/>
    </row>
    <row r="35" spans="2:19" s="2" customFormat="1" ht="16" x14ac:dyDescent="0.35">
      <c r="B35" s="14"/>
      <c r="H35" s="29"/>
      <c r="I35" s="29"/>
      <c r="L35" s="1"/>
      <c r="M35" s="3"/>
      <c r="N35" s="79"/>
      <c r="O35" s="79"/>
      <c r="P35" s="79"/>
      <c r="R35" s="17"/>
      <c r="S35" s="17"/>
    </row>
    <row r="36" spans="2:19" s="2" customFormat="1" ht="16" x14ac:dyDescent="0.35">
      <c r="B36" s="14"/>
      <c r="H36" s="29"/>
      <c r="I36" s="29"/>
      <c r="L36" s="1"/>
      <c r="M36" s="3"/>
      <c r="N36" s="79"/>
      <c r="O36" s="79"/>
      <c r="P36" s="79"/>
      <c r="R36" s="17"/>
      <c r="S36" s="17"/>
    </row>
    <row r="37" spans="2:19" s="2" customFormat="1" ht="16" x14ac:dyDescent="0.35">
      <c r="B37" s="14"/>
      <c r="H37" s="29"/>
      <c r="I37" s="29"/>
      <c r="L37" s="1"/>
      <c r="M37" s="3"/>
      <c r="N37" s="79"/>
      <c r="O37" s="79"/>
      <c r="P37" s="79"/>
      <c r="R37" s="17"/>
      <c r="S37" s="17"/>
    </row>
    <row r="38" spans="2:19" s="2" customFormat="1" ht="16" x14ac:dyDescent="0.35">
      <c r="B38" s="14"/>
      <c r="H38" s="29"/>
      <c r="I38" s="29"/>
      <c r="L38" s="1"/>
      <c r="M38" s="3"/>
      <c r="N38" s="79"/>
      <c r="O38" s="79"/>
      <c r="P38" s="79"/>
      <c r="R38" s="17"/>
      <c r="S38" s="17"/>
    </row>
    <row r="39" spans="2:19" s="2" customFormat="1" ht="16" x14ac:dyDescent="0.35">
      <c r="B39" s="14"/>
      <c r="H39" s="29"/>
      <c r="I39" s="29"/>
      <c r="L39" s="1"/>
      <c r="M39" s="3"/>
      <c r="N39" s="79"/>
      <c r="O39" s="79"/>
      <c r="P39" s="79"/>
      <c r="R39" s="17"/>
      <c r="S39" s="17"/>
    </row>
    <row r="40" spans="2:19" s="2" customFormat="1" ht="16" x14ac:dyDescent="0.35">
      <c r="B40" s="14"/>
      <c r="H40" s="29"/>
      <c r="I40" s="29"/>
      <c r="L40" s="1"/>
      <c r="M40" s="3"/>
      <c r="N40" s="79"/>
      <c r="O40" s="79"/>
      <c r="P40" s="79"/>
      <c r="R40" s="17"/>
      <c r="S40" s="17"/>
    </row>
    <row r="41" spans="2:19" s="2" customFormat="1" ht="16" x14ac:dyDescent="0.35">
      <c r="B41" s="14"/>
      <c r="H41" s="29"/>
      <c r="I41" s="29"/>
      <c r="L41" s="1"/>
      <c r="M41" s="3"/>
      <c r="N41" s="79"/>
      <c r="O41" s="79"/>
      <c r="P41" s="79"/>
      <c r="R41" s="17"/>
      <c r="S41" s="17"/>
    </row>
    <row r="42" spans="2:19" s="2" customFormat="1" ht="16" x14ac:dyDescent="0.35">
      <c r="B42" s="14"/>
      <c r="H42" s="29"/>
      <c r="I42" s="29"/>
      <c r="L42" s="1"/>
      <c r="M42" s="3"/>
      <c r="N42" s="79"/>
      <c r="O42" s="79"/>
      <c r="P42" s="79"/>
      <c r="R42" s="17"/>
      <c r="S42" s="17"/>
    </row>
    <row r="43" spans="2:19" s="2" customFormat="1" ht="16" x14ac:dyDescent="0.35">
      <c r="B43" s="14"/>
      <c r="H43" s="29"/>
      <c r="I43" s="29"/>
      <c r="L43" s="1"/>
      <c r="M43" s="3"/>
      <c r="N43" s="79"/>
      <c r="O43" s="79"/>
      <c r="P43" s="79"/>
      <c r="R43" s="17"/>
      <c r="S43" s="17"/>
    </row>
    <row r="44" spans="2:19" s="2" customFormat="1" ht="16" x14ac:dyDescent="0.35">
      <c r="B44" s="14"/>
      <c r="H44" s="29"/>
      <c r="I44" s="29"/>
      <c r="L44" s="1"/>
      <c r="M44" s="3"/>
      <c r="N44" s="79"/>
      <c r="O44" s="79"/>
      <c r="P44" s="79"/>
      <c r="R44" s="17"/>
      <c r="S44" s="17"/>
    </row>
    <row r="45" spans="2:19" s="2" customFormat="1" ht="16" x14ac:dyDescent="0.35">
      <c r="B45" s="14"/>
      <c r="H45" s="29"/>
      <c r="I45" s="29"/>
      <c r="L45" s="1"/>
      <c r="M45" s="3"/>
      <c r="N45" s="79"/>
      <c r="O45" s="79"/>
      <c r="P45" s="79"/>
      <c r="R45" s="17"/>
      <c r="S45" s="17"/>
    </row>
    <row r="46" spans="2:19" s="2" customFormat="1" ht="16" x14ac:dyDescent="0.35">
      <c r="B46" s="14"/>
      <c r="H46" s="29"/>
      <c r="I46" s="29"/>
      <c r="L46" s="1"/>
      <c r="M46" s="3"/>
      <c r="N46" s="79"/>
      <c r="O46" s="79"/>
      <c r="P46" s="79"/>
      <c r="R46" s="17"/>
      <c r="S46" s="17"/>
    </row>
    <row r="47" spans="2:19" s="2" customFormat="1" ht="16" x14ac:dyDescent="0.35">
      <c r="B47" s="14"/>
      <c r="H47" s="29"/>
      <c r="I47" s="29"/>
      <c r="L47" s="1"/>
      <c r="M47" s="3"/>
      <c r="N47" s="79"/>
      <c r="O47" s="79"/>
      <c r="P47" s="79"/>
      <c r="R47" s="17"/>
      <c r="S47" s="17"/>
    </row>
    <row r="48" spans="2:19" s="2" customFormat="1" ht="16" x14ac:dyDescent="0.35">
      <c r="B48" s="14"/>
      <c r="H48" s="29"/>
      <c r="I48" s="29"/>
      <c r="L48" s="1"/>
      <c r="M48" s="3"/>
      <c r="N48" s="79"/>
      <c r="O48" s="79"/>
      <c r="P48" s="79"/>
      <c r="R48" s="17"/>
      <c r="S48" s="17"/>
    </row>
    <row r="49" spans="2:19" s="2" customFormat="1" ht="16" x14ac:dyDescent="0.35">
      <c r="B49" s="14"/>
      <c r="H49" s="29"/>
      <c r="I49" s="29"/>
      <c r="L49" s="1"/>
      <c r="M49" s="3"/>
      <c r="N49" s="79"/>
      <c r="O49" s="79"/>
      <c r="P49" s="79"/>
      <c r="R49" s="17"/>
      <c r="S49" s="17"/>
    </row>
    <row r="50" spans="2:19" s="2" customFormat="1" ht="16" x14ac:dyDescent="0.35">
      <c r="B50" s="14"/>
      <c r="H50" s="29"/>
      <c r="I50" s="29"/>
      <c r="L50" s="1"/>
      <c r="M50" s="3"/>
      <c r="N50" s="79"/>
      <c r="O50" s="79"/>
      <c r="P50" s="79"/>
      <c r="R50" s="17"/>
      <c r="S50" s="17"/>
    </row>
    <row r="51" spans="2:19" s="2" customFormat="1" ht="16" x14ac:dyDescent="0.35">
      <c r="B51" s="14"/>
      <c r="H51" s="29"/>
      <c r="I51" s="29"/>
      <c r="L51" s="1"/>
      <c r="M51" s="3"/>
      <c r="N51" s="79"/>
      <c r="O51" s="79"/>
      <c r="P51" s="79"/>
      <c r="R51" s="17"/>
      <c r="S51" s="17"/>
    </row>
    <row r="52" spans="2:19" s="2" customFormat="1" ht="16" x14ac:dyDescent="0.35">
      <c r="B52" s="14"/>
      <c r="H52" s="29"/>
      <c r="I52" s="29"/>
      <c r="L52" s="1"/>
      <c r="M52" s="3"/>
      <c r="N52" s="79"/>
      <c r="O52" s="79"/>
      <c r="P52" s="79"/>
      <c r="R52" s="17"/>
      <c r="S52" s="17"/>
    </row>
    <row r="53" spans="2:19" s="2" customFormat="1" ht="16" x14ac:dyDescent="0.35">
      <c r="B53" s="14"/>
      <c r="H53" s="29"/>
      <c r="I53" s="29"/>
      <c r="L53" s="1"/>
      <c r="M53" s="3"/>
      <c r="N53" s="79"/>
      <c r="O53" s="79"/>
      <c r="P53" s="79"/>
      <c r="R53" s="17"/>
      <c r="S53" s="17"/>
    </row>
    <row r="54" spans="2:19" s="2" customFormat="1" ht="16" x14ac:dyDescent="0.35">
      <c r="B54" s="14"/>
      <c r="H54" s="29"/>
      <c r="I54" s="29"/>
      <c r="L54" s="1"/>
      <c r="M54" s="3"/>
      <c r="N54" s="79"/>
      <c r="O54" s="79"/>
      <c r="P54" s="79"/>
      <c r="R54" s="17"/>
      <c r="S54" s="17"/>
    </row>
    <row r="55" spans="2:19" s="2" customFormat="1" ht="16" x14ac:dyDescent="0.35">
      <c r="B55" s="14"/>
      <c r="H55" s="29"/>
      <c r="I55" s="29"/>
      <c r="L55" s="1"/>
      <c r="M55" s="3"/>
      <c r="N55" s="79"/>
      <c r="O55" s="79"/>
      <c r="P55" s="79"/>
      <c r="R55" s="17"/>
      <c r="S55" s="17"/>
    </row>
    <row r="56" spans="2:19" s="2" customFormat="1" ht="16" x14ac:dyDescent="0.35">
      <c r="B56" s="14"/>
      <c r="H56" s="29"/>
      <c r="I56" s="29"/>
      <c r="L56" s="1"/>
      <c r="M56" s="3"/>
      <c r="N56" s="79"/>
      <c r="O56" s="79"/>
      <c r="P56" s="79"/>
      <c r="R56" s="17"/>
      <c r="S56" s="17"/>
    </row>
    <row r="57" spans="2:19" s="2" customFormat="1" ht="16" x14ac:dyDescent="0.35">
      <c r="B57" s="14"/>
      <c r="H57" s="29"/>
      <c r="I57" s="29"/>
      <c r="L57" s="1"/>
      <c r="M57" s="3"/>
      <c r="N57" s="79"/>
      <c r="O57" s="79"/>
      <c r="P57" s="79"/>
      <c r="R57" s="17"/>
      <c r="S57" s="17"/>
    </row>
    <row r="58" spans="2:19" s="2" customFormat="1" ht="16" x14ac:dyDescent="0.35">
      <c r="B58" s="14"/>
      <c r="H58" s="29"/>
      <c r="I58" s="29"/>
      <c r="L58" s="1"/>
      <c r="M58" s="3"/>
      <c r="N58" s="79"/>
      <c r="O58" s="79"/>
      <c r="P58" s="79"/>
      <c r="R58" s="17"/>
      <c r="S58" s="17"/>
    </row>
    <row r="59" spans="2:19" s="2" customFormat="1" ht="16" x14ac:dyDescent="0.35">
      <c r="B59" s="14"/>
      <c r="H59" s="29"/>
      <c r="I59" s="29"/>
      <c r="L59" s="1"/>
      <c r="M59" s="3"/>
      <c r="N59" s="79"/>
      <c r="O59" s="79"/>
      <c r="P59" s="79"/>
      <c r="R59" s="17"/>
      <c r="S59" s="17"/>
    </row>
    <row r="60" spans="2:19" s="2" customFormat="1" ht="16" x14ac:dyDescent="0.35">
      <c r="B60" s="14"/>
      <c r="H60" s="29"/>
      <c r="I60" s="29"/>
      <c r="L60" s="1"/>
      <c r="M60" s="3"/>
      <c r="N60" s="79"/>
      <c r="O60" s="79"/>
      <c r="P60" s="79"/>
      <c r="R60" s="17"/>
      <c r="S60" s="17"/>
    </row>
    <row r="61" spans="2:19" s="2" customFormat="1" ht="16" x14ac:dyDescent="0.35">
      <c r="B61" s="14"/>
      <c r="H61" s="29"/>
      <c r="I61" s="29"/>
      <c r="L61" s="1"/>
      <c r="M61" s="3"/>
      <c r="N61" s="79"/>
      <c r="O61" s="79"/>
      <c r="P61" s="79"/>
      <c r="R61" s="17"/>
      <c r="S61" s="17"/>
    </row>
    <row r="62" spans="2:19" s="2" customFormat="1" ht="16" x14ac:dyDescent="0.35">
      <c r="B62" s="14"/>
      <c r="H62" s="29"/>
      <c r="I62" s="29"/>
      <c r="L62" s="1"/>
      <c r="M62" s="3"/>
      <c r="N62" s="79"/>
      <c r="O62" s="79"/>
      <c r="P62" s="79"/>
      <c r="R62" s="17"/>
      <c r="S62" s="17"/>
    </row>
    <row r="63" spans="2:19" s="2" customFormat="1" ht="16" x14ac:dyDescent="0.35">
      <c r="B63" s="14"/>
      <c r="H63" s="29"/>
      <c r="I63" s="29"/>
      <c r="L63" s="1"/>
      <c r="M63" s="3"/>
      <c r="N63" s="79"/>
      <c r="O63" s="79"/>
      <c r="P63" s="79"/>
      <c r="R63" s="17"/>
      <c r="S63" s="17"/>
    </row>
    <row r="64" spans="2:19" s="2" customFormat="1" ht="16" x14ac:dyDescent="0.35">
      <c r="B64" s="14"/>
      <c r="H64" s="29"/>
      <c r="I64" s="29"/>
      <c r="L64" s="1"/>
      <c r="M64" s="3"/>
      <c r="N64" s="79"/>
      <c r="O64" s="79"/>
      <c r="P64" s="79"/>
      <c r="R64" s="17"/>
      <c r="S64" s="17"/>
    </row>
    <row r="65" spans="2:19" s="2" customFormat="1" ht="16" x14ac:dyDescent="0.35">
      <c r="B65" s="14"/>
      <c r="H65" s="29"/>
      <c r="I65" s="29"/>
      <c r="L65" s="1"/>
      <c r="M65" s="3"/>
      <c r="N65" s="79"/>
      <c r="O65" s="79"/>
      <c r="P65" s="79"/>
      <c r="R65" s="17"/>
      <c r="S65" s="17"/>
    </row>
    <row r="66" spans="2:19" s="2" customFormat="1" ht="16" x14ac:dyDescent="0.35">
      <c r="B66" s="14"/>
      <c r="H66" s="29"/>
      <c r="I66" s="29"/>
      <c r="L66" s="1"/>
      <c r="M66" s="3"/>
      <c r="N66" s="79"/>
      <c r="O66" s="79"/>
      <c r="P66" s="79"/>
      <c r="R66" s="17"/>
      <c r="S66" s="17"/>
    </row>
    <row r="67" spans="2:19" s="2" customFormat="1" ht="16" x14ac:dyDescent="0.35">
      <c r="B67" s="14"/>
      <c r="H67" s="29"/>
      <c r="I67" s="29"/>
      <c r="L67" s="1"/>
      <c r="M67" s="3"/>
      <c r="N67" s="79"/>
      <c r="O67" s="79"/>
      <c r="P67" s="79"/>
      <c r="R67" s="17"/>
      <c r="S67" s="17"/>
    </row>
    <row r="68" spans="2:19" s="2" customFormat="1" ht="16" x14ac:dyDescent="0.35">
      <c r="B68" s="14"/>
      <c r="H68" s="29"/>
      <c r="I68" s="29"/>
      <c r="L68" s="1"/>
      <c r="M68" s="3"/>
      <c r="N68" s="79"/>
      <c r="O68" s="79"/>
      <c r="P68" s="79"/>
      <c r="R68" s="17"/>
      <c r="S68" s="17"/>
    </row>
    <row r="69" spans="2:19" s="2" customFormat="1" ht="16" x14ac:dyDescent="0.35">
      <c r="B69" s="14"/>
      <c r="H69" s="29"/>
      <c r="I69" s="29"/>
      <c r="L69" s="1"/>
      <c r="M69" s="3"/>
      <c r="N69" s="79"/>
      <c r="O69" s="79"/>
      <c r="P69" s="79"/>
      <c r="R69" s="17"/>
      <c r="S69" s="17"/>
    </row>
    <row r="70" spans="2:19" s="2" customFormat="1" ht="16" x14ac:dyDescent="0.35">
      <c r="B70" s="14"/>
      <c r="H70" s="29"/>
      <c r="I70" s="29"/>
      <c r="L70" s="1"/>
      <c r="M70" s="3"/>
      <c r="N70" s="79"/>
      <c r="O70" s="79"/>
      <c r="P70" s="79"/>
      <c r="R70" s="17"/>
      <c r="S70" s="17"/>
    </row>
    <row r="71" spans="2:19" s="2" customFormat="1" ht="16" x14ac:dyDescent="0.35">
      <c r="B71" s="14"/>
      <c r="H71" s="29"/>
      <c r="I71" s="29"/>
      <c r="L71" s="1"/>
      <c r="M71" s="3"/>
      <c r="N71" s="79"/>
      <c r="O71" s="79"/>
      <c r="P71" s="79"/>
      <c r="R71" s="17"/>
      <c r="S71" s="17"/>
    </row>
    <row r="72" spans="2:19" s="2" customFormat="1" ht="16" x14ac:dyDescent="0.35">
      <c r="B72" s="14"/>
      <c r="H72" s="29"/>
      <c r="I72" s="29"/>
      <c r="L72" s="1"/>
      <c r="M72" s="3"/>
      <c r="N72" s="79"/>
      <c r="O72" s="79"/>
      <c r="P72" s="79"/>
      <c r="R72" s="17"/>
      <c r="S72" s="17"/>
    </row>
    <row r="73" spans="2:19" s="2" customFormat="1" ht="16" x14ac:dyDescent="0.35">
      <c r="B73" s="14"/>
      <c r="H73" s="29"/>
      <c r="I73" s="29"/>
      <c r="L73" s="1"/>
      <c r="M73" s="3"/>
      <c r="N73" s="79"/>
      <c r="O73" s="79"/>
      <c r="P73" s="79"/>
      <c r="R73" s="17"/>
      <c r="S73" s="17"/>
    </row>
    <row r="74" spans="2:19" s="2" customFormat="1" ht="16" x14ac:dyDescent="0.35">
      <c r="B74" s="14"/>
      <c r="H74" s="29"/>
      <c r="I74" s="29"/>
      <c r="L74" s="1"/>
      <c r="M74" s="3"/>
      <c r="N74" s="79"/>
      <c r="O74" s="79"/>
      <c r="P74" s="79"/>
      <c r="R74" s="17"/>
      <c r="S74" s="17"/>
    </row>
    <row r="75" spans="2:19" s="2" customFormat="1" ht="16" x14ac:dyDescent="0.35">
      <c r="B75" s="14"/>
      <c r="H75" s="29"/>
      <c r="I75" s="29"/>
      <c r="L75" s="1"/>
      <c r="M75" s="3"/>
      <c r="N75" s="79"/>
      <c r="O75" s="79"/>
      <c r="P75" s="79"/>
      <c r="R75" s="17"/>
      <c r="S75" s="17"/>
    </row>
    <row r="76" spans="2:19" s="2" customFormat="1" ht="16" x14ac:dyDescent="0.35">
      <c r="B76" s="14"/>
      <c r="H76" s="29"/>
      <c r="I76" s="29"/>
      <c r="L76" s="1"/>
      <c r="M76" s="3"/>
      <c r="N76" s="79"/>
      <c r="O76" s="79"/>
      <c r="P76" s="79"/>
      <c r="R76" s="17"/>
      <c r="S76" s="17"/>
    </row>
  </sheetData>
  <autoFilter ref="A1:R13"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19">
    <mergeCell ref="N5:N6"/>
    <mergeCell ref="O5:O6"/>
    <mergeCell ref="P5:P6"/>
    <mergeCell ref="A1:R1"/>
    <mergeCell ref="A2:R2"/>
    <mergeCell ref="A3:D3"/>
    <mergeCell ref="E3:K3"/>
    <mergeCell ref="L3:M3"/>
    <mergeCell ref="N3:P3"/>
    <mergeCell ref="Q3:R3"/>
    <mergeCell ref="N14:N18"/>
    <mergeCell ref="O14:O18"/>
    <mergeCell ref="P14:P18"/>
    <mergeCell ref="N7:N8"/>
    <mergeCell ref="O7:O8"/>
    <mergeCell ref="P7:P8"/>
    <mergeCell ref="N9:N11"/>
    <mergeCell ref="O9:O11"/>
    <mergeCell ref="P9:P11"/>
  </mergeCells>
  <conditionalFormatting sqref="Q5:Q1048576">
    <cfRule type="containsText" dxfId="10" priority="1" operator="containsText" text="Revisions Needed">
      <formula>NOT(ISERROR(SEARCH("Revisions Needed",Q5)))</formula>
    </cfRule>
    <cfRule type="containsText" dxfId="9" priority="2" operator="containsText" text="Approved">
      <formula>NOT(ISERROR(SEARCH("Approved",Q5)))</formula>
    </cfRule>
  </conditionalFormatting>
  <dataValidations count="2">
    <dataValidation type="list" allowBlank="1" showInputMessage="1" showErrorMessage="1" sqref="N19:P1048576 N7:P7 N9:P9 N12:P14" xr:uid="{2BEB08E5-6528-4235-918D-DE25C3D369A8}">
      <formula1>"No, Yes"</formula1>
    </dataValidation>
    <dataValidation type="list" allowBlank="1" sqref="Q5:Q1048576" xr:uid="{C90138F3-876D-475F-9741-D0EEC7B9F472}">
      <formula1>"Approved,Revisions Needed"</formula1>
    </dataValidation>
  </dataValidation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67E16-146F-4417-B20F-BB3F05885374}">
  <sheetPr>
    <tabColor theme="6"/>
  </sheetPr>
  <dimension ref="A1:R81"/>
  <sheetViews>
    <sheetView showGridLines="0" topLeftCell="L31" zoomScale="90" zoomScaleNormal="90" workbookViewId="0">
      <selection activeCell="Q4" sqref="Q4"/>
    </sheetView>
  </sheetViews>
  <sheetFormatPr defaultColWidth="8.54296875" defaultRowHeight="76.5" customHeight="1" x14ac:dyDescent="0.35"/>
  <cols>
    <col min="1" max="1" width="9" style="2" customWidth="1"/>
    <col min="2" max="2" width="12" style="59" customWidth="1"/>
    <col min="3" max="3" width="18.81640625" style="2" customWidth="1"/>
    <col min="4" max="4" width="20.453125" style="2" customWidth="1"/>
    <col min="5" max="5" width="11.54296875" style="2" customWidth="1"/>
    <col min="6" max="6" width="3.26953125" style="2" hidden="1" customWidth="1"/>
    <col min="7" max="7" width="11.81640625" style="2" customWidth="1"/>
    <col min="8" max="8" width="11.81640625" style="56" customWidth="1"/>
    <col min="9" max="9" width="11.453125" style="29" customWidth="1"/>
    <col min="10" max="10" width="15.54296875" style="2" customWidth="1"/>
    <col min="11" max="11" width="13.1796875" style="2" hidden="1" customWidth="1"/>
    <col min="12" max="12" width="36" style="1" customWidth="1"/>
    <col min="13" max="13" width="46.1796875" style="3" customWidth="1"/>
    <col min="14" max="14" width="12.81640625" style="3" hidden="1" customWidth="1"/>
    <col min="15" max="15" width="10.81640625" style="3" hidden="1" customWidth="1"/>
    <col min="16" max="16" width="13.1796875" style="3" hidden="1" customWidth="1"/>
    <col min="17" max="17" width="16.81640625" style="2" customWidth="1"/>
    <col min="18" max="18" width="76.54296875" style="17" customWidth="1"/>
    <col min="19" max="16384" width="8.54296875" style="1"/>
  </cols>
  <sheetData>
    <row r="1" spans="1:18" ht="36" customHeight="1" x14ac:dyDescent="0.35">
      <c r="A1" s="555" t="s">
        <v>0</v>
      </c>
      <c r="B1" s="555"/>
      <c r="C1" s="555"/>
      <c r="D1" s="555"/>
      <c r="E1" s="555"/>
      <c r="F1" s="555"/>
      <c r="G1" s="555"/>
      <c r="H1" s="555"/>
      <c r="I1" s="555"/>
      <c r="J1" s="555"/>
      <c r="K1" s="555"/>
      <c r="L1" s="555"/>
      <c r="M1" s="555"/>
      <c r="N1" s="555"/>
      <c r="O1" s="555"/>
      <c r="P1" s="555"/>
      <c r="Q1" s="555"/>
      <c r="R1" s="555"/>
    </row>
    <row r="2" spans="1:18" ht="31.5" customHeight="1" thickBot="1" x14ac:dyDescent="0.4">
      <c r="A2" s="550" t="s">
        <v>2</v>
      </c>
      <c r="B2" s="550"/>
      <c r="C2" s="550"/>
      <c r="D2" s="550"/>
      <c r="E2" s="550"/>
      <c r="F2" s="550"/>
      <c r="G2" s="550"/>
      <c r="H2" s="550"/>
      <c r="I2" s="550"/>
      <c r="J2" s="550"/>
      <c r="K2" s="550"/>
      <c r="L2" s="550"/>
      <c r="M2" s="550"/>
      <c r="N2" s="550"/>
      <c r="O2" s="550"/>
      <c r="P2" s="550"/>
      <c r="Q2" s="550"/>
      <c r="R2" s="550"/>
    </row>
    <row r="3" spans="1:18" s="4" customFormat="1" ht="33" customHeight="1" thickTop="1" thickBot="1" x14ac:dyDescent="0.45">
      <c r="A3" s="516" t="s">
        <v>3</v>
      </c>
      <c r="B3" s="516"/>
      <c r="C3" s="516"/>
      <c r="D3" s="516"/>
      <c r="E3" s="547" t="s">
        <v>4</v>
      </c>
      <c r="F3" s="548"/>
      <c r="G3" s="548"/>
      <c r="H3" s="548"/>
      <c r="I3" s="548"/>
      <c r="J3" s="548"/>
      <c r="K3" s="549"/>
      <c r="L3" s="516" t="s">
        <v>5</v>
      </c>
      <c r="M3" s="516"/>
      <c r="N3" s="547" t="s">
        <v>6</v>
      </c>
      <c r="O3" s="548"/>
      <c r="P3" s="549"/>
      <c r="Q3" s="516" t="s">
        <v>7</v>
      </c>
      <c r="R3" s="516"/>
    </row>
    <row r="4" spans="1:18" ht="63" customHeight="1" thickTop="1" thickBot="1" x14ac:dyDescent="0.4">
      <c r="A4" s="10" t="s">
        <v>9</v>
      </c>
      <c r="B4" s="18" t="s">
        <v>10</v>
      </c>
      <c r="C4" s="10" t="s">
        <v>12</v>
      </c>
      <c r="D4" s="10" t="s">
        <v>13</v>
      </c>
      <c r="E4" s="10" t="s">
        <v>14</v>
      </c>
      <c r="F4" s="10" t="s">
        <v>228</v>
      </c>
      <c r="G4" s="10" t="s">
        <v>15</v>
      </c>
      <c r="H4" s="10" t="s">
        <v>16</v>
      </c>
      <c r="I4" s="10" t="s">
        <v>17</v>
      </c>
      <c r="J4" s="10" t="s">
        <v>18</v>
      </c>
      <c r="K4" s="10" t="s">
        <v>19</v>
      </c>
      <c r="L4" s="10" t="s">
        <v>20</v>
      </c>
      <c r="M4" s="10" t="s">
        <v>21</v>
      </c>
      <c r="N4" s="10" t="s">
        <v>22</v>
      </c>
      <c r="O4" s="10" t="s">
        <v>23</v>
      </c>
      <c r="P4" s="10" t="s">
        <v>24</v>
      </c>
      <c r="Q4" s="23" t="s">
        <v>470</v>
      </c>
      <c r="R4" s="18" t="s">
        <v>27</v>
      </c>
    </row>
    <row r="5" spans="1:18" s="5" customFormat="1" ht="76.5" customHeight="1" x14ac:dyDescent="0.35">
      <c r="A5" s="36">
        <v>1</v>
      </c>
      <c r="B5" s="57" t="s">
        <v>361</v>
      </c>
      <c r="C5" s="37" t="s">
        <v>1020</v>
      </c>
      <c r="D5" s="47" t="s">
        <v>1021</v>
      </c>
      <c r="E5" s="36" t="s">
        <v>49</v>
      </c>
      <c r="F5" s="40"/>
      <c r="G5" s="46" t="s">
        <v>399</v>
      </c>
      <c r="H5" s="49" t="s">
        <v>154</v>
      </c>
      <c r="I5" s="50"/>
      <c r="J5" s="36" t="s">
        <v>74</v>
      </c>
      <c r="K5" s="40"/>
      <c r="L5" s="60" t="s">
        <v>1022</v>
      </c>
      <c r="M5" s="61" t="s">
        <v>957</v>
      </c>
      <c r="N5" s="73"/>
      <c r="O5" s="73"/>
      <c r="P5" s="74"/>
      <c r="Q5" s="36" t="s">
        <v>56</v>
      </c>
      <c r="R5" s="69"/>
    </row>
    <row r="6" spans="1:18" s="5" customFormat="1" ht="76.5" customHeight="1" x14ac:dyDescent="0.35">
      <c r="A6" s="38">
        <v>2</v>
      </c>
      <c r="B6" s="58" t="s">
        <v>361</v>
      </c>
      <c r="C6" s="31" t="s">
        <v>1020</v>
      </c>
      <c r="D6" s="47" t="s">
        <v>1023</v>
      </c>
      <c r="E6" s="38" t="s">
        <v>49</v>
      </c>
      <c r="F6" s="41"/>
      <c r="G6" s="46" t="s">
        <v>399</v>
      </c>
      <c r="H6" s="49" t="s">
        <v>154</v>
      </c>
      <c r="I6" s="51"/>
      <c r="J6" s="38" t="s">
        <v>74</v>
      </c>
      <c r="K6" s="41"/>
      <c r="L6" s="62" t="s">
        <v>1022</v>
      </c>
      <c r="M6" s="63" t="s">
        <v>957</v>
      </c>
      <c r="N6" s="75"/>
      <c r="O6" s="75"/>
      <c r="P6" s="75"/>
      <c r="Q6" s="38" t="s">
        <v>56</v>
      </c>
      <c r="R6" s="70"/>
    </row>
    <row r="7" spans="1:18" s="5" customFormat="1" ht="76.5" customHeight="1" x14ac:dyDescent="0.35">
      <c r="A7" s="38">
        <v>3</v>
      </c>
      <c r="B7" s="58" t="s">
        <v>361</v>
      </c>
      <c r="C7" s="31" t="s">
        <v>1020</v>
      </c>
      <c r="D7" s="47" t="s">
        <v>1024</v>
      </c>
      <c r="E7" s="38" t="s">
        <v>49</v>
      </c>
      <c r="F7" s="41"/>
      <c r="G7" s="46" t="s">
        <v>399</v>
      </c>
      <c r="H7" s="49" t="s">
        <v>154</v>
      </c>
      <c r="I7" s="51"/>
      <c r="J7" s="38" t="s">
        <v>74</v>
      </c>
      <c r="K7" s="41"/>
      <c r="L7" s="62" t="s">
        <v>1022</v>
      </c>
      <c r="M7" s="63" t="s">
        <v>957</v>
      </c>
      <c r="N7" s="75"/>
      <c r="O7" s="75"/>
      <c r="P7" s="75"/>
      <c r="Q7" s="38" t="s">
        <v>56</v>
      </c>
      <c r="R7" s="70"/>
    </row>
    <row r="8" spans="1:18" s="5" customFormat="1" ht="76.5" customHeight="1" x14ac:dyDescent="0.35">
      <c r="A8" s="38">
        <v>4</v>
      </c>
      <c r="B8" s="58" t="s">
        <v>361</v>
      </c>
      <c r="C8" s="31" t="s">
        <v>1025</v>
      </c>
      <c r="D8" s="47" t="s">
        <v>1026</v>
      </c>
      <c r="E8" s="38" t="s">
        <v>49</v>
      </c>
      <c r="F8" s="41"/>
      <c r="G8" s="46" t="s">
        <v>399</v>
      </c>
      <c r="H8" s="49" t="s">
        <v>154</v>
      </c>
      <c r="I8" s="51"/>
      <c r="J8" s="38" t="s">
        <v>74</v>
      </c>
      <c r="K8" s="41"/>
      <c r="L8" s="62" t="s">
        <v>1022</v>
      </c>
      <c r="M8" s="63" t="s">
        <v>957</v>
      </c>
      <c r="N8" s="75"/>
      <c r="O8" s="75"/>
      <c r="P8" s="75"/>
      <c r="Q8" s="38" t="s">
        <v>56</v>
      </c>
      <c r="R8" s="70"/>
    </row>
    <row r="9" spans="1:18" s="5" customFormat="1" ht="76.5" customHeight="1" x14ac:dyDescent="0.35">
      <c r="A9" s="38">
        <v>5</v>
      </c>
      <c r="B9" s="58" t="s">
        <v>361</v>
      </c>
      <c r="C9" s="31" t="s">
        <v>1025</v>
      </c>
      <c r="D9" s="47" t="s">
        <v>1027</v>
      </c>
      <c r="E9" s="38" t="s">
        <v>49</v>
      </c>
      <c r="F9" s="41"/>
      <c r="G9" s="46" t="s">
        <v>399</v>
      </c>
      <c r="H9" s="49" t="s">
        <v>154</v>
      </c>
      <c r="I9" s="51"/>
      <c r="J9" s="38" t="s">
        <v>74</v>
      </c>
      <c r="K9" s="41"/>
      <c r="L9" s="62" t="s">
        <v>1022</v>
      </c>
      <c r="M9" s="63" t="s">
        <v>957</v>
      </c>
      <c r="N9" s="75"/>
      <c r="O9" s="75"/>
      <c r="P9" s="75"/>
      <c r="Q9" s="38"/>
      <c r="R9" s="70"/>
    </row>
    <row r="10" spans="1:18" s="5" customFormat="1" ht="76.5" customHeight="1" x14ac:dyDescent="0.35">
      <c r="A10" s="38">
        <v>6</v>
      </c>
      <c r="B10" s="58" t="s">
        <v>361</v>
      </c>
      <c r="C10" s="31" t="s">
        <v>1025</v>
      </c>
      <c r="D10" s="47" t="s">
        <v>1028</v>
      </c>
      <c r="E10" s="38" t="s">
        <v>49</v>
      </c>
      <c r="F10" s="41"/>
      <c r="G10" s="46" t="s">
        <v>399</v>
      </c>
      <c r="H10" s="49" t="s">
        <v>154</v>
      </c>
      <c r="I10" s="50"/>
      <c r="J10" s="38" t="s">
        <v>74</v>
      </c>
      <c r="K10" s="41"/>
      <c r="L10" s="62" t="s">
        <v>1022</v>
      </c>
      <c r="M10" s="63" t="s">
        <v>957</v>
      </c>
      <c r="N10" s="75"/>
      <c r="O10" s="75"/>
      <c r="P10" s="75"/>
      <c r="Q10" s="38"/>
      <c r="R10" s="70"/>
    </row>
    <row r="11" spans="1:18" s="5" customFormat="1" ht="76.5" customHeight="1" x14ac:dyDescent="0.35">
      <c r="A11" s="38">
        <v>7</v>
      </c>
      <c r="B11" s="58" t="s">
        <v>361</v>
      </c>
      <c r="C11" s="31" t="s">
        <v>1029</v>
      </c>
      <c r="D11" s="47" t="s">
        <v>1030</v>
      </c>
      <c r="E11" s="38" t="s">
        <v>49</v>
      </c>
      <c r="F11" s="41"/>
      <c r="G11" s="46" t="s">
        <v>399</v>
      </c>
      <c r="H11" s="49" t="s">
        <v>154</v>
      </c>
      <c r="I11" s="50"/>
      <c r="J11" s="38" t="s">
        <v>74</v>
      </c>
      <c r="K11" s="41"/>
      <c r="L11" s="62" t="s">
        <v>1022</v>
      </c>
      <c r="M11" s="63" t="s">
        <v>957</v>
      </c>
      <c r="N11" s="75"/>
      <c r="O11" s="75"/>
      <c r="P11" s="75"/>
      <c r="Q11" s="38"/>
      <c r="R11" s="70"/>
    </row>
    <row r="12" spans="1:18" s="5" customFormat="1" ht="76.5" customHeight="1" x14ac:dyDescent="0.35">
      <c r="A12" s="38">
        <v>8</v>
      </c>
      <c r="B12" s="58" t="s">
        <v>361</v>
      </c>
      <c r="C12" s="31" t="s">
        <v>1029</v>
      </c>
      <c r="D12" s="47" t="s">
        <v>1031</v>
      </c>
      <c r="E12" s="38" t="s">
        <v>49</v>
      </c>
      <c r="F12" s="41"/>
      <c r="G12" s="46" t="s">
        <v>399</v>
      </c>
      <c r="H12" s="49" t="s">
        <v>154</v>
      </c>
      <c r="I12" s="50"/>
      <c r="J12" s="38" t="s">
        <v>74</v>
      </c>
      <c r="K12" s="41"/>
      <c r="L12" s="62" t="s">
        <v>1022</v>
      </c>
      <c r="M12" s="63" t="s">
        <v>957</v>
      </c>
      <c r="N12" s="75"/>
      <c r="O12" s="75"/>
      <c r="P12" s="75"/>
      <c r="Q12" s="38"/>
      <c r="R12" s="70"/>
    </row>
    <row r="13" spans="1:18" s="5" customFormat="1" ht="76.5" customHeight="1" x14ac:dyDescent="0.35">
      <c r="A13" s="38">
        <v>9</v>
      </c>
      <c r="B13" s="58" t="s">
        <v>361</v>
      </c>
      <c r="C13" s="31" t="s">
        <v>1029</v>
      </c>
      <c r="D13" s="47" t="s">
        <v>1032</v>
      </c>
      <c r="E13" s="38" t="s">
        <v>49</v>
      </c>
      <c r="F13" s="41"/>
      <c r="G13" s="46" t="s">
        <v>399</v>
      </c>
      <c r="H13" s="49" t="s">
        <v>154</v>
      </c>
      <c r="I13" s="51"/>
      <c r="J13" s="38" t="s">
        <v>74</v>
      </c>
      <c r="K13" s="41"/>
      <c r="L13" s="62" t="s">
        <v>1022</v>
      </c>
      <c r="M13" s="63" t="s">
        <v>957</v>
      </c>
      <c r="N13" s="75"/>
      <c r="O13" s="75"/>
      <c r="P13" s="75"/>
      <c r="Q13" s="38"/>
      <c r="R13" s="70"/>
    </row>
    <row r="14" spans="1:18" s="5" customFormat="1" ht="76.5" customHeight="1" x14ac:dyDescent="0.35">
      <c r="A14" s="38">
        <v>10</v>
      </c>
      <c r="B14" s="58" t="s">
        <v>361</v>
      </c>
      <c r="C14" s="31" t="s">
        <v>1033</v>
      </c>
      <c r="D14" s="47" t="s">
        <v>1034</v>
      </c>
      <c r="E14" s="38" t="s">
        <v>49</v>
      </c>
      <c r="F14" s="41"/>
      <c r="G14" s="46" t="s">
        <v>399</v>
      </c>
      <c r="H14" s="49" t="s">
        <v>154</v>
      </c>
      <c r="I14" s="51"/>
      <c r="J14" s="38" t="s">
        <v>74</v>
      </c>
      <c r="K14" s="41"/>
      <c r="L14" s="62" t="s">
        <v>1022</v>
      </c>
      <c r="M14" s="63" t="s">
        <v>957</v>
      </c>
      <c r="N14" s="75"/>
      <c r="O14" s="75"/>
      <c r="P14" s="75"/>
      <c r="Q14" s="38"/>
      <c r="R14" s="70"/>
    </row>
    <row r="15" spans="1:18" s="5" customFormat="1" ht="76.5" customHeight="1" x14ac:dyDescent="0.35">
      <c r="A15" s="38">
        <v>11</v>
      </c>
      <c r="B15" s="58" t="s">
        <v>361</v>
      </c>
      <c r="C15" s="31" t="s">
        <v>1033</v>
      </c>
      <c r="D15" s="47" t="s">
        <v>1035</v>
      </c>
      <c r="E15" s="38" t="s">
        <v>49</v>
      </c>
      <c r="F15" s="41"/>
      <c r="G15" s="46" t="s">
        <v>399</v>
      </c>
      <c r="H15" s="49" t="s">
        <v>154</v>
      </c>
      <c r="I15" s="51"/>
      <c r="J15" s="38" t="s">
        <v>74</v>
      </c>
      <c r="K15" s="41"/>
      <c r="L15" s="62" t="s">
        <v>1022</v>
      </c>
      <c r="M15" s="63" t="s">
        <v>957</v>
      </c>
      <c r="N15" s="75"/>
      <c r="O15" s="75"/>
      <c r="P15" s="75"/>
      <c r="Q15" s="38"/>
      <c r="R15" s="70"/>
    </row>
    <row r="16" spans="1:18" s="5" customFormat="1" ht="76.5" customHeight="1" x14ac:dyDescent="0.35">
      <c r="A16" s="38">
        <v>12</v>
      </c>
      <c r="B16" s="58" t="s">
        <v>361</v>
      </c>
      <c r="C16" s="31" t="s">
        <v>1033</v>
      </c>
      <c r="D16" s="47" t="s">
        <v>1036</v>
      </c>
      <c r="E16" s="38" t="s">
        <v>49</v>
      </c>
      <c r="F16" s="41"/>
      <c r="G16" s="46" t="s">
        <v>399</v>
      </c>
      <c r="H16" s="49" t="s">
        <v>154</v>
      </c>
      <c r="I16" s="51"/>
      <c r="J16" s="38" t="s">
        <v>74</v>
      </c>
      <c r="K16" s="41"/>
      <c r="L16" s="62" t="s">
        <v>1022</v>
      </c>
      <c r="M16" s="63" t="s">
        <v>957</v>
      </c>
      <c r="N16" s="75"/>
      <c r="O16" s="75"/>
      <c r="P16" s="75"/>
      <c r="Q16" s="38"/>
      <c r="R16" s="70"/>
    </row>
    <row r="17" spans="1:18" s="3" customFormat="1" ht="76.5" customHeight="1" x14ac:dyDescent="0.35">
      <c r="A17" s="38">
        <v>13</v>
      </c>
      <c r="B17" s="58" t="s">
        <v>361</v>
      </c>
      <c r="C17" s="31" t="s">
        <v>1037</v>
      </c>
      <c r="D17" s="47" t="s">
        <v>1038</v>
      </c>
      <c r="E17" s="38" t="s">
        <v>49</v>
      </c>
      <c r="F17" s="41"/>
      <c r="G17" s="46" t="s">
        <v>399</v>
      </c>
      <c r="H17" s="49" t="s">
        <v>154</v>
      </c>
      <c r="I17" s="51"/>
      <c r="J17" s="38" t="s">
        <v>74</v>
      </c>
      <c r="K17" s="41"/>
      <c r="L17" s="62" t="s">
        <v>1022</v>
      </c>
      <c r="M17" s="63" t="s">
        <v>957</v>
      </c>
      <c r="N17" s="75"/>
      <c r="O17" s="75"/>
      <c r="P17" s="75"/>
      <c r="Q17" s="38"/>
      <c r="R17" s="70"/>
    </row>
    <row r="18" spans="1:18" s="3" customFormat="1" ht="76.5" customHeight="1" x14ac:dyDescent="0.35">
      <c r="A18" s="38">
        <v>14</v>
      </c>
      <c r="B18" s="58" t="s">
        <v>361</v>
      </c>
      <c r="C18" s="31" t="s">
        <v>1037</v>
      </c>
      <c r="D18" s="47" t="s">
        <v>1039</v>
      </c>
      <c r="E18" s="38" t="s">
        <v>49</v>
      </c>
      <c r="F18" s="41"/>
      <c r="G18" s="46" t="s">
        <v>399</v>
      </c>
      <c r="H18" s="49" t="s">
        <v>154</v>
      </c>
      <c r="I18" s="51"/>
      <c r="J18" s="38" t="s">
        <v>74</v>
      </c>
      <c r="K18" s="41"/>
      <c r="L18" s="62" t="s">
        <v>1022</v>
      </c>
      <c r="M18" s="63" t="s">
        <v>957</v>
      </c>
      <c r="N18" s="75"/>
      <c r="O18" s="75"/>
      <c r="P18" s="75"/>
      <c r="Q18" s="38"/>
      <c r="R18" s="70"/>
    </row>
    <row r="19" spans="1:18" s="3" customFormat="1" ht="76.5" customHeight="1" x14ac:dyDescent="0.35">
      <c r="A19" s="38">
        <v>15</v>
      </c>
      <c r="B19" s="58" t="s">
        <v>361</v>
      </c>
      <c r="C19" s="31" t="s">
        <v>1037</v>
      </c>
      <c r="D19" s="47" t="s">
        <v>1040</v>
      </c>
      <c r="E19" s="38" t="s">
        <v>49</v>
      </c>
      <c r="F19" s="41"/>
      <c r="G19" s="46" t="s">
        <v>399</v>
      </c>
      <c r="H19" s="49" t="s">
        <v>154</v>
      </c>
      <c r="I19" s="52"/>
      <c r="J19" s="38" t="s">
        <v>74</v>
      </c>
      <c r="K19" s="41"/>
      <c r="L19" s="62" t="s">
        <v>1022</v>
      </c>
      <c r="M19" s="63" t="s">
        <v>957</v>
      </c>
      <c r="N19" s="75"/>
      <c r="O19" s="75"/>
      <c r="P19" s="75"/>
      <c r="Q19" s="38"/>
      <c r="R19" s="70"/>
    </row>
    <row r="20" spans="1:18" s="3" customFormat="1" ht="76.5" customHeight="1" x14ac:dyDescent="0.35">
      <c r="A20" s="38">
        <v>16</v>
      </c>
      <c r="B20" s="58" t="s">
        <v>361</v>
      </c>
      <c r="C20" s="31" t="s">
        <v>1041</v>
      </c>
      <c r="D20" s="48" t="s">
        <v>1042</v>
      </c>
      <c r="E20" s="38" t="s">
        <v>49</v>
      </c>
      <c r="F20" s="41"/>
      <c r="G20" s="46" t="s">
        <v>399</v>
      </c>
      <c r="H20" s="49" t="s">
        <v>154</v>
      </c>
      <c r="I20" s="51"/>
      <c r="J20" s="38" t="s">
        <v>74</v>
      </c>
      <c r="K20" s="41"/>
      <c r="L20" s="62" t="s">
        <v>1022</v>
      </c>
      <c r="M20" s="63" t="s">
        <v>957</v>
      </c>
      <c r="N20" s="75"/>
      <c r="O20" s="75"/>
      <c r="P20" s="75"/>
      <c r="Q20" s="38"/>
      <c r="R20" s="70"/>
    </row>
    <row r="21" spans="1:18" s="3" customFormat="1" ht="76.5" customHeight="1" x14ac:dyDescent="0.35">
      <c r="A21" s="38">
        <v>17</v>
      </c>
      <c r="B21" s="58" t="s">
        <v>361</v>
      </c>
      <c r="C21" s="31" t="s">
        <v>1041</v>
      </c>
      <c r="D21" s="48" t="s">
        <v>1043</v>
      </c>
      <c r="E21" s="38" t="s">
        <v>49</v>
      </c>
      <c r="F21" s="41"/>
      <c r="G21" s="46" t="s">
        <v>399</v>
      </c>
      <c r="H21" s="49" t="s">
        <v>154</v>
      </c>
      <c r="I21" s="51"/>
      <c r="J21" s="38" t="s">
        <v>74</v>
      </c>
      <c r="K21" s="41"/>
      <c r="L21" s="62" t="s">
        <v>1022</v>
      </c>
      <c r="M21" s="63" t="s">
        <v>957</v>
      </c>
      <c r="N21" s="75"/>
      <c r="O21" s="75"/>
      <c r="P21" s="75"/>
      <c r="Q21" s="38"/>
      <c r="R21" s="70"/>
    </row>
    <row r="22" spans="1:18" s="3" customFormat="1" ht="76.5" customHeight="1" x14ac:dyDescent="0.35">
      <c r="A22" s="38">
        <v>18</v>
      </c>
      <c r="B22" s="58" t="s">
        <v>361</v>
      </c>
      <c r="C22" s="31" t="s">
        <v>1041</v>
      </c>
      <c r="D22" s="48" t="s">
        <v>1044</v>
      </c>
      <c r="E22" s="38" t="s">
        <v>49</v>
      </c>
      <c r="F22" s="41"/>
      <c r="G22" s="46" t="s">
        <v>399</v>
      </c>
      <c r="H22" s="49" t="s">
        <v>154</v>
      </c>
      <c r="I22" s="51"/>
      <c r="J22" s="38" t="s">
        <v>74</v>
      </c>
      <c r="K22" s="41"/>
      <c r="L22" s="62" t="s">
        <v>1022</v>
      </c>
      <c r="M22" s="63" t="s">
        <v>957</v>
      </c>
      <c r="N22" s="75"/>
      <c r="O22" s="75"/>
      <c r="P22" s="75"/>
      <c r="Q22" s="38"/>
      <c r="R22" s="70"/>
    </row>
    <row r="23" spans="1:18" s="3" customFormat="1" ht="76.5" customHeight="1" x14ac:dyDescent="0.35">
      <c r="A23" s="38">
        <v>19</v>
      </c>
      <c r="B23" s="58" t="s">
        <v>361</v>
      </c>
      <c r="C23" s="31" t="s">
        <v>1045</v>
      </c>
      <c r="D23" s="48" t="s">
        <v>1046</v>
      </c>
      <c r="E23" s="38" t="s">
        <v>49</v>
      </c>
      <c r="F23" s="41"/>
      <c r="G23" s="46" t="s">
        <v>399</v>
      </c>
      <c r="H23" s="49" t="s">
        <v>154</v>
      </c>
      <c r="I23" s="51"/>
      <c r="J23" s="38" t="s">
        <v>74</v>
      </c>
      <c r="K23" s="41"/>
      <c r="L23" s="62" t="s">
        <v>1022</v>
      </c>
      <c r="M23" s="63" t="s">
        <v>957</v>
      </c>
      <c r="N23" s="75"/>
      <c r="O23" s="75"/>
      <c r="P23" s="75"/>
      <c r="Q23" s="38"/>
      <c r="R23" s="70"/>
    </row>
    <row r="24" spans="1:18" s="3" customFormat="1" ht="76.5" customHeight="1" x14ac:dyDescent="0.35">
      <c r="A24" s="38">
        <v>20</v>
      </c>
      <c r="B24" s="58" t="s">
        <v>361</v>
      </c>
      <c r="C24" s="31" t="s">
        <v>1045</v>
      </c>
      <c r="D24" s="48" t="s">
        <v>1047</v>
      </c>
      <c r="E24" s="38" t="s">
        <v>49</v>
      </c>
      <c r="F24" s="41"/>
      <c r="G24" s="46" t="s">
        <v>399</v>
      </c>
      <c r="H24" s="49" t="s">
        <v>154</v>
      </c>
      <c r="I24" s="51"/>
      <c r="J24" s="38" t="s">
        <v>74</v>
      </c>
      <c r="K24" s="41"/>
      <c r="L24" s="62" t="s">
        <v>1022</v>
      </c>
      <c r="M24" s="63" t="s">
        <v>957</v>
      </c>
      <c r="N24" s="75"/>
      <c r="O24" s="75"/>
      <c r="P24" s="75"/>
      <c r="Q24" s="38"/>
      <c r="R24" s="70"/>
    </row>
    <row r="25" spans="1:18" s="3" customFormat="1" ht="76.5" customHeight="1" x14ac:dyDescent="0.35">
      <c r="A25" s="38">
        <v>21</v>
      </c>
      <c r="B25" s="58" t="s">
        <v>361</v>
      </c>
      <c r="C25" s="31" t="s">
        <v>1045</v>
      </c>
      <c r="D25" s="48" t="s">
        <v>1048</v>
      </c>
      <c r="E25" s="38" t="s">
        <v>49</v>
      </c>
      <c r="F25" s="41"/>
      <c r="G25" s="46" t="s">
        <v>399</v>
      </c>
      <c r="H25" s="49" t="s">
        <v>154</v>
      </c>
      <c r="I25" s="51"/>
      <c r="J25" s="38" t="s">
        <v>74</v>
      </c>
      <c r="K25" s="41"/>
      <c r="L25" s="62" t="s">
        <v>1022</v>
      </c>
      <c r="M25" s="63" t="s">
        <v>957</v>
      </c>
      <c r="N25" s="75"/>
      <c r="O25" s="75"/>
      <c r="P25" s="75"/>
      <c r="Q25" s="38"/>
      <c r="R25" s="70"/>
    </row>
    <row r="26" spans="1:18" ht="76.5" customHeight="1" x14ac:dyDescent="0.4">
      <c r="A26" s="38">
        <v>22</v>
      </c>
      <c r="B26" s="58" t="s">
        <v>361</v>
      </c>
      <c r="C26" s="31" t="s">
        <v>1049</v>
      </c>
      <c r="D26" s="48" t="s">
        <v>1050</v>
      </c>
      <c r="E26" s="38" t="s">
        <v>49</v>
      </c>
      <c r="F26" s="42"/>
      <c r="G26" s="46" t="s">
        <v>399</v>
      </c>
      <c r="H26" s="49" t="s">
        <v>154</v>
      </c>
      <c r="I26" s="53"/>
      <c r="J26" s="38" t="s">
        <v>74</v>
      </c>
      <c r="K26" s="42"/>
      <c r="L26" s="62" t="s">
        <v>1022</v>
      </c>
      <c r="M26" s="63" t="s">
        <v>957</v>
      </c>
      <c r="N26" s="75"/>
      <c r="O26" s="75"/>
      <c r="P26" s="75"/>
      <c r="Q26" s="39"/>
      <c r="R26" s="71"/>
    </row>
    <row r="27" spans="1:18" ht="76.5" customHeight="1" x14ac:dyDescent="0.35">
      <c r="A27" s="38">
        <v>23</v>
      </c>
      <c r="B27" s="58" t="s">
        <v>361</v>
      </c>
      <c r="C27" s="31" t="s">
        <v>1049</v>
      </c>
      <c r="D27" s="48" t="s">
        <v>1051</v>
      </c>
      <c r="E27" s="38" t="s">
        <v>49</v>
      </c>
      <c r="F27" s="43"/>
      <c r="G27" s="46" t="s">
        <v>399</v>
      </c>
      <c r="H27" s="49" t="s">
        <v>154</v>
      </c>
      <c r="I27" s="54"/>
      <c r="J27" s="38" t="s">
        <v>74</v>
      </c>
      <c r="K27" s="43"/>
      <c r="L27" s="62" t="s">
        <v>1022</v>
      </c>
      <c r="M27" s="63" t="s">
        <v>957</v>
      </c>
      <c r="N27" s="75"/>
      <c r="O27" s="75"/>
      <c r="P27" s="75"/>
      <c r="Q27" s="33"/>
      <c r="R27" s="72"/>
    </row>
    <row r="28" spans="1:18" ht="76.5" customHeight="1" x14ac:dyDescent="0.35">
      <c r="A28" s="38">
        <v>24</v>
      </c>
      <c r="B28" s="58" t="s">
        <v>361</v>
      </c>
      <c r="C28" s="31" t="s">
        <v>1049</v>
      </c>
      <c r="D28" s="48" t="s">
        <v>1052</v>
      </c>
      <c r="E28" s="38" t="s">
        <v>49</v>
      </c>
      <c r="F28" s="43"/>
      <c r="G28" s="46" t="s">
        <v>399</v>
      </c>
      <c r="H28" s="49" t="s">
        <v>154</v>
      </c>
      <c r="I28" s="54"/>
      <c r="J28" s="38" t="s">
        <v>74</v>
      </c>
      <c r="K28" s="43"/>
      <c r="L28" s="62" t="s">
        <v>1022</v>
      </c>
      <c r="M28" s="63" t="s">
        <v>957</v>
      </c>
      <c r="N28" s="75"/>
      <c r="O28" s="75"/>
      <c r="P28" s="75"/>
      <c r="Q28" s="33"/>
      <c r="R28" s="72"/>
    </row>
    <row r="29" spans="1:18" ht="76.5" customHeight="1" x14ac:dyDescent="0.35">
      <c r="A29" s="38">
        <v>25</v>
      </c>
      <c r="B29" s="58" t="s">
        <v>361</v>
      </c>
      <c r="C29" s="31" t="s">
        <v>1053</v>
      </c>
      <c r="D29" s="47" t="s">
        <v>1054</v>
      </c>
      <c r="E29" s="38" t="s">
        <v>49</v>
      </c>
      <c r="F29" s="43"/>
      <c r="G29" s="46" t="s">
        <v>399</v>
      </c>
      <c r="H29" s="49" t="s">
        <v>154</v>
      </c>
      <c r="I29" s="54"/>
      <c r="J29" s="38" t="s">
        <v>74</v>
      </c>
      <c r="K29" s="43"/>
      <c r="L29" s="62" t="s">
        <v>1022</v>
      </c>
      <c r="M29" s="63" t="s">
        <v>957</v>
      </c>
      <c r="N29" s="75"/>
      <c r="O29" s="75"/>
      <c r="P29" s="75"/>
      <c r="Q29" s="33"/>
      <c r="R29" s="72"/>
    </row>
    <row r="30" spans="1:18" ht="76.5" customHeight="1" x14ac:dyDescent="0.35">
      <c r="A30" s="38">
        <v>26</v>
      </c>
      <c r="B30" s="58" t="s">
        <v>361</v>
      </c>
      <c r="C30" s="31" t="s">
        <v>1053</v>
      </c>
      <c r="D30" s="47" t="s">
        <v>1055</v>
      </c>
      <c r="E30" s="38" t="s">
        <v>49</v>
      </c>
      <c r="F30" s="43"/>
      <c r="G30" s="46" t="s">
        <v>399</v>
      </c>
      <c r="H30" s="49" t="s">
        <v>154</v>
      </c>
      <c r="I30" s="54"/>
      <c r="J30" s="38" t="s">
        <v>74</v>
      </c>
      <c r="K30" s="43"/>
      <c r="L30" s="62" t="s">
        <v>1022</v>
      </c>
      <c r="M30" s="63" t="s">
        <v>957</v>
      </c>
      <c r="N30" s="75"/>
      <c r="O30" s="75"/>
      <c r="P30" s="75"/>
      <c r="Q30" s="33"/>
      <c r="R30" s="72"/>
    </row>
    <row r="31" spans="1:18" ht="76.5" customHeight="1" x14ac:dyDescent="0.35">
      <c r="A31" s="38">
        <v>27</v>
      </c>
      <c r="B31" s="58" t="s">
        <v>361</v>
      </c>
      <c r="C31" s="31" t="s">
        <v>1053</v>
      </c>
      <c r="D31" s="47" t="s">
        <v>1056</v>
      </c>
      <c r="E31" s="38" t="s">
        <v>49</v>
      </c>
      <c r="F31" s="43"/>
      <c r="G31" s="46" t="s">
        <v>399</v>
      </c>
      <c r="H31" s="49" t="s">
        <v>154</v>
      </c>
      <c r="I31" s="54"/>
      <c r="J31" s="38" t="s">
        <v>74</v>
      </c>
      <c r="K31" s="43"/>
      <c r="L31" s="62" t="s">
        <v>1022</v>
      </c>
      <c r="M31" s="63" t="s">
        <v>957</v>
      </c>
      <c r="N31" s="75"/>
      <c r="O31" s="75"/>
      <c r="P31" s="75"/>
      <c r="Q31" s="33"/>
      <c r="R31" s="72"/>
    </row>
    <row r="32" spans="1:18" ht="76.5" customHeight="1" x14ac:dyDescent="0.35">
      <c r="A32" s="38">
        <v>28</v>
      </c>
      <c r="B32" s="58" t="s">
        <v>361</v>
      </c>
      <c r="C32" s="31" t="s">
        <v>1057</v>
      </c>
      <c r="D32" s="47" t="s">
        <v>1058</v>
      </c>
      <c r="E32" s="38" t="s">
        <v>49</v>
      </c>
      <c r="F32" s="43"/>
      <c r="G32" s="46" t="s">
        <v>399</v>
      </c>
      <c r="H32" s="49" t="s">
        <v>154</v>
      </c>
      <c r="I32" s="54"/>
      <c r="J32" s="38" t="s">
        <v>74</v>
      </c>
      <c r="K32" s="43"/>
      <c r="L32" s="62" t="s">
        <v>1022</v>
      </c>
      <c r="M32" s="63" t="s">
        <v>957</v>
      </c>
      <c r="N32" s="75"/>
      <c r="O32" s="75"/>
      <c r="P32" s="75"/>
      <c r="Q32" s="33"/>
      <c r="R32" s="72"/>
    </row>
    <row r="33" spans="1:18" ht="76.5" customHeight="1" x14ac:dyDescent="0.35">
      <c r="A33" s="38">
        <v>29</v>
      </c>
      <c r="B33" s="58" t="s">
        <v>361</v>
      </c>
      <c r="C33" s="31" t="s">
        <v>1057</v>
      </c>
      <c r="D33" s="47" t="s">
        <v>1059</v>
      </c>
      <c r="E33" s="38" t="s">
        <v>49</v>
      </c>
      <c r="F33" s="43"/>
      <c r="G33" s="46" t="s">
        <v>399</v>
      </c>
      <c r="H33" s="49" t="s">
        <v>154</v>
      </c>
      <c r="I33" s="54"/>
      <c r="J33" s="38" t="s">
        <v>74</v>
      </c>
      <c r="K33" s="43"/>
      <c r="L33" s="62" t="s">
        <v>1022</v>
      </c>
      <c r="M33" s="63" t="s">
        <v>957</v>
      </c>
      <c r="N33" s="75"/>
      <c r="O33" s="75"/>
      <c r="P33" s="75"/>
      <c r="Q33" s="33"/>
      <c r="R33" s="72"/>
    </row>
    <row r="34" spans="1:18" ht="76.5" customHeight="1" x14ac:dyDescent="0.35">
      <c r="A34" s="38">
        <v>30</v>
      </c>
      <c r="B34" s="58" t="s">
        <v>361</v>
      </c>
      <c r="C34" s="31" t="s">
        <v>1057</v>
      </c>
      <c r="D34" s="47" t="s">
        <v>1060</v>
      </c>
      <c r="E34" s="38" t="s">
        <v>49</v>
      </c>
      <c r="F34" s="43"/>
      <c r="G34" s="46" t="s">
        <v>399</v>
      </c>
      <c r="H34" s="49" t="s">
        <v>154</v>
      </c>
      <c r="I34" s="54"/>
      <c r="J34" s="38" t="s">
        <v>74</v>
      </c>
      <c r="K34" s="43"/>
      <c r="L34" s="62" t="s">
        <v>1022</v>
      </c>
      <c r="M34" s="63" t="s">
        <v>957</v>
      </c>
      <c r="N34" s="75"/>
      <c r="O34" s="75"/>
      <c r="P34" s="75"/>
      <c r="Q34" s="33"/>
      <c r="R34" s="72"/>
    </row>
    <row r="35" spans="1:18" ht="76.5" customHeight="1" x14ac:dyDescent="0.35">
      <c r="A35" s="38">
        <v>31</v>
      </c>
      <c r="B35" s="58" t="s">
        <v>361</v>
      </c>
      <c r="C35" s="31" t="s">
        <v>1061</v>
      </c>
      <c r="D35" s="47" t="s">
        <v>1062</v>
      </c>
      <c r="E35" s="38" t="s">
        <v>49</v>
      </c>
      <c r="F35" s="43"/>
      <c r="G35" s="46" t="s">
        <v>399</v>
      </c>
      <c r="H35" s="49" t="s">
        <v>154</v>
      </c>
      <c r="I35" s="54"/>
      <c r="J35" s="38" t="s">
        <v>74</v>
      </c>
      <c r="K35" s="43"/>
      <c r="L35" s="62" t="s">
        <v>1022</v>
      </c>
      <c r="M35" s="63" t="s">
        <v>957</v>
      </c>
      <c r="N35" s="75"/>
      <c r="O35" s="75"/>
      <c r="P35" s="75"/>
      <c r="Q35" s="33"/>
      <c r="R35" s="72"/>
    </row>
    <row r="36" spans="1:18" ht="76.5" customHeight="1" x14ac:dyDescent="0.35">
      <c r="A36" s="38">
        <v>32</v>
      </c>
      <c r="B36" s="58" t="s">
        <v>361</v>
      </c>
      <c r="C36" s="31" t="s">
        <v>1061</v>
      </c>
      <c r="D36" s="47" t="s">
        <v>1063</v>
      </c>
      <c r="E36" s="38" t="s">
        <v>49</v>
      </c>
      <c r="F36" s="43"/>
      <c r="G36" s="46" t="s">
        <v>399</v>
      </c>
      <c r="H36" s="49" t="s">
        <v>154</v>
      </c>
      <c r="I36" s="54"/>
      <c r="J36" s="38" t="s">
        <v>74</v>
      </c>
      <c r="K36" s="43"/>
      <c r="L36" s="62" t="s">
        <v>1022</v>
      </c>
      <c r="M36" s="63" t="s">
        <v>957</v>
      </c>
      <c r="N36" s="75"/>
      <c r="O36" s="75"/>
      <c r="P36" s="75"/>
      <c r="Q36" s="33"/>
      <c r="R36" s="72"/>
    </row>
    <row r="37" spans="1:18" ht="76.5" customHeight="1" x14ac:dyDescent="0.35">
      <c r="A37" s="38">
        <v>33</v>
      </c>
      <c r="B37" s="58" t="s">
        <v>361</v>
      </c>
      <c r="C37" s="31" t="s">
        <v>1061</v>
      </c>
      <c r="D37" s="47" t="s">
        <v>1064</v>
      </c>
      <c r="E37" s="38" t="s">
        <v>49</v>
      </c>
      <c r="F37" s="43"/>
      <c r="G37" s="46" t="s">
        <v>399</v>
      </c>
      <c r="H37" s="49" t="s">
        <v>154</v>
      </c>
      <c r="I37" s="54"/>
      <c r="J37" s="38" t="s">
        <v>74</v>
      </c>
      <c r="K37" s="43"/>
      <c r="L37" s="62" t="s">
        <v>1022</v>
      </c>
      <c r="M37" s="63" t="s">
        <v>957</v>
      </c>
      <c r="N37" s="75"/>
      <c r="O37" s="75"/>
      <c r="P37" s="75"/>
      <c r="Q37" s="33"/>
      <c r="R37" s="72"/>
    </row>
    <row r="38" spans="1:18" ht="76.5" customHeight="1" x14ac:dyDescent="0.35">
      <c r="A38" s="38">
        <v>34</v>
      </c>
      <c r="B38" s="58" t="s">
        <v>361</v>
      </c>
      <c r="C38" s="31" t="s">
        <v>1065</v>
      </c>
      <c r="D38" s="48" t="s">
        <v>1066</v>
      </c>
      <c r="E38" s="38" t="s">
        <v>49</v>
      </c>
      <c r="F38" s="43"/>
      <c r="G38" s="46" t="s">
        <v>399</v>
      </c>
      <c r="H38" s="49" t="s">
        <v>154</v>
      </c>
      <c r="I38" s="54"/>
      <c r="J38" s="38" t="s">
        <v>74</v>
      </c>
      <c r="K38" s="43"/>
      <c r="L38" s="62" t="s">
        <v>1022</v>
      </c>
      <c r="M38" s="63" t="s">
        <v>957</v>
      </c>
      <c r="N38" s="75"/>
      <c r="O38" s="75"/>
      <c r="P38" s="75"/>
      <c r="Q38" s="33"/>
      <c r="R38" s="72"/>
    </row>
    <row r="39" spans="1:18" ht="76.5" customHeight="1" x14ac:dyDescent="0.35">
      <c r="A39" s="38">
        <v>35</v>
      </c>
      <c r="B39" s="58" t="s">
        <v>361</v>
      </c>
      <c r="C39" s="31" t="s">
        <v>1067</v>
      </c>
      <c r="D39" s="48" t="s">
        <v>1068</v>
      </c>
      <c r="E39" s="38" t="s">
        <v>49</v>
      </c>
      <c r="F39" s="43"/>
      <c r="G39" s="46" t="s">
        <v>399</v>
      </c>
      <c r="H39" s="49" t="s">
        <v>154</v>
      </c>
      <c r="I39" s="54"/>
      <c r="J39" s="38" t="s">
        <v>74</v>
      </c>
      <c r="K39" s="43"/>
      <c r="L39" s="62" t="s">
        <v>1022</v>
      </c>
      <c r="M39" s="63" t="s">
        <v>957</v>
      </c>
      <c r="N39" s="75"/>
      <c r="O39" s="75"/>
      <c r="P39" s="75"/>
      <c r="Q39" s="33"/>
      <c r="R39" s="72"/>
    </row>
    <row r="40" spans="1:18" ht="76.5" customHeight="1" x14ac:dyDescent="0.35">
      <c r="A40" s="38">
        <v>36</v>
      </c>
      <c r="B40" s="58" t="s">
        <v>361</v>
      </c>
      <c r="C40" s="31" t="s">
        <v>1069</v>
      </c>
      <c r="D40" s="48" t="s">
        <v>1070</v>
      </c>
      <c r="E40" s="38" t="s">
        <v>49</v>
      </c>
      <c r="F40" s="43"/>
      <c r="G40" s="46" t="s">
        <v>399</v>
      </c>
      <c r="H40" s="49" t="s">
        <v>154</v>
      </c>
      <c r="I40" s="54"/>
      <c r="J40" s="38" t="s">
        <v>74</v>
      </c>
      <c r="K40" s="43"/>
      <c r="L40" s="62" t="s">
        <v>1022</v>
      </c>
      <c r="M40" s="63" t="s">
        <v>957</v>
      </c>
      <c r="N40" s="75"/>
      <c r="O40" s="75"/>
      <c r="P40" s="75"/>
      <c r="Q40" s="33"/>
      <c r="R40" s="72"/>
    </row>
    <row r="41" spans="1:18" ht="76.5" customHeight="1" x14ac:dyDescent="0.35">
      <c r="A41" s="38">
        <v>37</v>
      </c>
      <c r="B41" s="58" t="s">
        <v>361</v>
      </c>
      <c r="C41" s="31" t="s">
        <v>1071</v>
      </c>
      <c r="D41" s="48" t="s">
        <v>1072</v>
      </c>
      <c r="E41" s="38" t="s">
        <v>49</v>
      </c>
      <c r="F41" s="43"/>
      <c r="G41" s="46" t="s">
        <v>399</v>
      </c>
      <c r="H41" s="49" t="s">
        <v>154</v>
      </c>
      <c r="I41" s="54"/>
      <c r="J41" s="38" t="s">
        <v>74</v>
      </c>
      <c r="K41" s="43"/>
      <c r="L41" s="62" t="s">
        <v>1022</v>
      </c>
      <c r="M41" s="63" t="s">
        <v>957</v>
      </c>
      <c r="N41" s="75"/>
      <c r="O41" s="75"/>
      <c r="P41" s="75"/>
      <c r="Q41" s="33"/>
      <c r="R41" s="72"/>
    </row>
    <row r="42" spans="1:18" ht="76.5" customHeight="1" x14ac:dyDescent="0.35">
      <c r="A42" s="38">
        <v>38</v>
      </c>
      <c r="B42" s="58" t="s">
        <v>361</v>
      </c>
      <c r="C42" s="31" t="s">
        <v>1073</v>
      </c>
      <c r="D42" s="48" t="s">
        <v>1074</v>
      </c>
      <c r="E42" s="38" t="s">
        <v>49</v>
      </c>
      <c r="F42" s="43"/>
      <c r="G42" s="46" t="s">
        <v>399</v>
      </c>
      <c r="H42" s="49" t="s">
        <v>154</v>
      </c>
      <c r="I42" s="54"/>
      <c r="J42" s="38" t="s">
        <v>74</v>
      </c>
      <c r="K42" s="43"/>
      <c r="L42" s="62" t="s">
        <v>1022</v>
      </c>
      <c r="M42" s="63" t="s">
        <v>957</v>
      </c>
      <c r="N42" s="75"/>
      <c r="O42" s="75"/>
      <c r="P42" s="75"/>
      <c r="Q42" s="33"/>
      <c r="R42" s="72"/>
    </row>
    <row r="43" spans="1:18" ht="76.5" customHeight="1" x14ac:dyDescent="0.35">
      <c r="A43" s="38">
        <v>39</v>
      </c>
      <c r="B43" s="58" t="s">
        <v>361</v>
      </c>
      <c r="C43" s="31" t="s">
        <v>1075</v>
      </c>
      <c r="D43" s="47" t="s">
        <v>1076</v>
      </c>
      <c r="E43" s="38" t="s">
        <v>49</v>
      </c>
      <c r="F43" s="43"/>
      <c r="G43" s="46" t="s">
        <v>399</v>
      </c>
      <c r="H43" s="49" t="s">
        <v>154</v>
      </c>
      <c r="I43" s="54"/>
      <c r="J43" s="38" t="s">
        <v>74</v>
      </c>
      <c r="K43" s="43"/>
      <c r="L43" s="62" t="s">
        <v>1022</v>
      </c>
      <c r="M43" s="63" t="s">
        <v>957</v>
      </c>
      <c r="N43" s="75"/>
      <c r="O43" s="75"/>
      <c r="P43" s="75"/>
      <c r="Q43" s="33"/>
      <c r="R43" s="72"/>
    </row>
    <row r="44" spans="1:18" ht="76.5" customHeight="1" x14ac:dyDescent="0.35">
      <c r="A44" s="38">
        <v>40</v>
      </c>
      <c r="B44" s="58" t="s">
        <v>361</v>
      </c>
      <c r="C44" s="31" t="s">
        <v>1077</v>
      </c>
      <c r="D44" s="47" t="s">
        <v>1078</v>
      </c>
      <c r="E44" s="38" t="s">
        <v>49</v>
      </c>
      <c r="F44" s="43"/>
      <c r="G44" s="46" t="s">
        <v>399</v>
      </c>
      <c r="H44" s="49" t="s">
        <v>154</v>
      </c>
      <c r="I44" s="54"/>
      <c r="J44" s="38" t="s">
        <v>74</v>
      </c>
      <c r="K44" s="43"/>
      <c r="L44" s="62" t="s">
        <v>1022</v>
      </c>
      <c r="M44" s="63" t="s">
        <v>957</v>
      </c>
      <c r="N44" s="75"/>
      <c r="O44" s="75"/>
      <c r="P44" s="75"/>
      <c r="Q44" s="33"/>
      <c r="R44" s="72"/>
    </row>
    <row r="45" spans="1:18" ht="76.5" customHeight="1" x14ac:dyDescent="0.35">
      <c r="A45" s="38">
        <v>41</v>
      </c>
      <c r="B45" s="58" t="s">
        <v>361</v>
      </c>
      <c r="C45" s="31" t="s">
        <v>1079</v>
      </c>
      <c r="D45" s="47" t="s">
        <v>1080</v>
      </c>
      <c r="E45" s="38" t="s">
        <v>49</v>
      </c>
      <c r="F45" s="43"/>
      <c r="G45" s="46" t="s">
        <v>399</v>
      </c>
      <c r="H45" s="49" t="s">
        <v>154</v>
      </c>
      <c r="I45" s="54"/>
      <c r="J45" s="38" t="s">
        <v>74</v>
      </c>
      <c r="K45" s="43"/>
      <c r="L45" s="62" t="s">
        <v>1022</v>
      </c>
      <c r="M45" s="63" t="s">
        <v>957</v>
      </c>
      <c r="N45" s="75"/>
      <c r="O45" s="75"/>
      <c r="P45" s="75"/>
      <c r="Q45" s="33"/>
      <c r="R45" s="72"/>
    </row>
    <row r="46" spans="1:18" ht="76.5" customHeight="1" x14ac:dyDescent="0.35">
      <c r="A46" s="38">
        <v>42</v>
      </c>
      <c r="B46" s="58" t="s">
        <v>361</v>
      </c>
      <c r="C46" s="31" t="s">
        <v>1079</v>
      </c>
      <c r="D46" s="47" t="s">
        <v>1081</v>
      </c>
      <c r="E46" s="38" t="s">
        <v>49</v>
      </c>
      <c r="F46" s="43"/>
      <c r="G46" s="46" t="s">
        <v>399</v>
      </c>
      <c r="H46" s="49" t="s">
        <v>154</v>
      </c>
      <c r="I46" s="54"/>
      <c r="J46" s="38" t="s">
        <v>74</v>
      </c>
      <c r="K46" s="43"/>
      <c r="L46" s="62" t="s">
        <v>1022</v>
      </c>
      <c r="M46" s="63" t="s">
        <v>957</v>
      </c>
      <c r="N46" s="75"/>
      <c r="O46" s="75"/>
      <c r="P46" s="75"/>
      <c r="Q46" s="33"/>
      <c r="R46" s="72"/>
    </row>
    <row r="47" spans="1:18" ht="76.5" customHeight="1" x14ac:dyDescent="0.35">
      <c r="A47" s="38">
        <v>43</v>
      </c>
      <c r="B47" s="58" t="s">
        <v>361</v>
      </c>
      <c r="C47" s="31" t="s">
        <v>1082</v>
      </c>
      <c r="D47" s="47" t="s">
        <v>1083</v>
      </c>
      <c r="E47" s="38" t="s">
        <v>49</v>
      </c>
      <c r="F47" s="43"/>
      <c r="G47" s="46" t="s">
        <v>399</v>
      </c>
      <c r="H47" s="49" t="s">
        <v>154</v>
      </c>
      <c r="I47" s="54"/>
      <c r="J47" s="38" t="s">
        <v>74</v>
      </c>
      <c r="K47" s="43"/>
      <c r="L47" s="62" t="s">
        <v>1022</v>
      </c>
      <c r="M47" s="63" t="s">
        <v>957</v>
      </c>
      <c r="N47" s="75"/>
      <c r="O47" s="75"/>
      <c r="P47" s="75"/>
      <c r="Q47" s="33"/>
      <c r="R47" s="72"/>
    </row>
    <row r="48" spans="1:18" ht="76.5" customHeight="1" x14ac:dyDescent="0.35">
      <c r="A48" s="38">
        <v>44</v>
      </c>
      <c r="B48" s="58" t="s">
        <v>361</v>
      </c>
      <c r="C48" s="31" t="s">
        <v>1082</v>
      </c>
      <c r="D48" s="47" t="s">
        <v>1084</v>
      </c>
      <c r="E48" s="38" t="s">
        <v>49</v>
      </c>
      <c r="F48" s="43"/>
      <c r="G48" s="46" t="s">
        <v>399</v>
      </c>
      <c r="H48" s="49" t="s">
        <v>154</v>
      </c>
      <c r="I48" s="54"/>
      <c r="J48" s="38" t="s">
        <v>74</v>
      </c>
      <c r="K48" s="43"/>
      <c r="L48" s="62" t="s">
        <v>1022</v>
      </c>
      <c r="M48" s="63" t="s">
        <v>957</v>
      </c>
      <c r="N48" s="75"/>
      <c r="O48" s="75"/>
      <c r="P48" s="75"/>
      <c r="Q48" s="33"/>
      <c r="R48" s="72"/>
    </row>
    <row r="49" spans="1:18" ht="76.5" customHeight="1" x14ac:dyDescent="0.35">
      <c r="A49" s="38">
        <v>45</v>
      </c>
      <c r="B49" s="58" t="s">
        <v>361</v>
      </c>
      <c r="C49" s="31" t="s">
        <v>1085</v>
      </c>
      <c r="D49" s="47" t="s">
        <v>1086</v>
      </c>
      <c r="E49" s="38" t="s">
        <v>49</v>
      </c>
      <c r="F49" s="43"/>
      <c r="G49" s="46" t="s">
        <v>399</v>
      </c>
      <c r="H49" s="49" t="s">
        <v>154</v>
      </c>
      <c r="I49" s="54"/>
      <c r="J49" s="38" t="s">
        <v>74</v>
      </c>
      <c r="K49" s="43"/>
      <c r="L49" s="62" t="s">
        <v>1022</v>
      </c>
      <c r="M49" s="63" t="s">
        <v>957</v>
      </c>
      <c r="N49" s="75"/>
      <c r="O49" s="75"/>
      <c r="P49" s="75"/>
      <c r="Q49" s="33"/>
      <c r="R49" s="72"/>
    </row>
    <row r="50" spans="1:18" ht="76.5" customHeight="1" x14ac:dyDescent="0.35">
      <c r="A50" s="38">
        <v>46</v>
      </c>
      <c r="B50" s="58" t="s">
        <v>361</v>
      </c>
      <c r="C50" s="31" t="s">
        <v>1085</v>
      </c>
      <c r="D50" s="47" t="s">
        <v>1087</v>
      </c>
      <c r="E50" s="38" t="s">
        <v>49</v>
      </c>
      <c r="F50" s="43"/>
      <c r="G50" s="46" t="s">
        <v>399</v>
      </c>
      <c r="H50" s="49" t="s">
        <v>154</v>
      </c>
      <c r="I50" s="54"/>
      <c r="J50" s="38" t="s">
        <v>74</v>
      </c>
      <c r="K50" s="43"/>
      <c r="L50" s="62" t="s">
        <v>1022</v>
      </c>
      <c r="M50" s="63" t="s">
        <v>957</v>
      </c>
      <c r="N50" s="75"/>
      <c r="O50" s="75"/>
      <c r="P50" s="75"/>
      <c r="Q50" s="33"/>
      <c r="R50" s="72"/>
    </row>
    <row r="51" spans="1:18" ht="76.5" customHeight="1" x14ac:dyDescent="0.35">
      <c r="A51" s="38">
        <v>47</v>
      </c>
      <c r="B51" s="58" t="s">
        <v>361</v>
      </c>
      <c r="C51" s="31" t="s">
        <v>1088</v>
      </c>
      <c r="D51" s="47" t="s">
        <v>1089</v>
      </c>
      <c r="E51" s="38" t="s">
        <v>49</v>
      </c>
      <c r="F51" s="43"/>
      <c r="G51" s="46" t="s">
        <v>399</v>
      </c>
      <c r="H51" s="49" t="s">
        <v>154</v>
      </c>
      <c r="I51" s="54"/>
      <c r="J51" s="38" t="s">
        <v>74</v>
      </c>
      <c r="K51" s="43"/>
      <c r="L51" s="62" t="s">
        <v>1022</v>
      </c>
      <c r="M51" s="63" t="s">
        <v>957</v>
      </c>
      <c r="N51" s="75"/>
      <c r="O51" s="75"/>
      <c r="P51" s="75"/>
      <c r="Q51" s="33"/>
      <c r="R51" s="72"/>
    </row>
    <row r="52" spans="1:18" ht="76.5" customHeight="1" x14ac:dyDescent="0.35">
      <c r="A52" s="38">
        <v>48</v>
      </c>
      <c r="B52" s="58" t="s">
        <v>361</v>
      </c>
      <c r="C52" s="31" t="s">
        <v>1088</v>
      </c>
      <c r="D52" s="47" t="s">
        <v>1090</v>
      </c>
      <c r="E52" s="38" t="s">
        <v>49</v>
      </c>
      <c r="F52" s="43"/>
      <c r="G52" s="46" t="s">
        <v>399</v>
      </c>
      <c r="H52" s="49" t="s">
        <v>154</v>
      </c>
      <c r="I52" s="54"/>
      <c r="J52" s="38" t="s">
        <v>74</v>
      </c>
      <c r="K52" s="43"/>
      <c r="L52" s="62" t="s">
        <v>1022</v>
      </c>
      <c r="M52" s="63" t="s">
        <v>957</v>
      </c>
      <c r="N52" s="75"/>
      <c r="O52" s="75"/>
      <c r="P52" s="75"/>
      <c r="Q52" s="33"/>
      <c r="R52" s="72"/>
    </row>
    <row r="53" spans="1:18" ht="76.5" customHeight="1" x14ac:dyDescent="0.35">
      <c r="A53" s="38">
        <v>49</v>
      </c>
      <c r="B53" s="58" t="s">
        <v>361</v>
      </c>
      <c r="C53" s="31" t="s">
        <v>1091</v>
      </c>
      <c r="D53" s="47" t="s">
        <v>1092</v>
      </c>
      <c r="E53" s="38" t="s">
        <v>49</v>
      </c>
      <c r="F53" s="43"/>
      <c r="G53" s="46" t="s">
        <v>399</v>
      </c>
      <c r="H53" s="49" t="s">
        <v>154</v>
      </c>
      <c r="I53" s="54"/>
      <c r="J53" s="38" t="s">
        <v>74</v>
      </c>
      <c r="K53" s="43"/>
      <c r="L53" s="62" t="s">
        <v>1022</v>
      </c>
      <c r="M53" s="63" t="s">
        <v>957</v>
      </c>
      <c r="N53" s="75"/>
      <c r="O53" s="75"/>
      <c r="P53" s="75"/>
      <c r="Q53" s="33"/>
      <c r="R53" s="72"/>
    </row>
    <row r="54" spans="1:18" ht="76.5" customHeight="1" x14ac:dyDescent="0.35">
      <c r="A54" s="38">
        <v>50</v>
      </c>
      <c r="B54" s="58" t="s">
        <v>361</v>
      </c>
      <c r="C54" s="31" t="s">
        <v>1091</v>
      </c>
      <c r="D54" s="47" t="s">
        <v>1093</v>
      </c>
      <c r="E54" s="38" t="s">
        <v>49</v>
      </c>
      <c r="F54" s="43"/>
      <c r="G54" s="46" t="s">
        <v>399</v>
      </c>
      <c r="H54" s="49" t="s">
        <v>154</v>
      </c>
      <c r="I54" s="54"/>
      <c r="J54" s="38" t="s">
        <v>74</v>
      </c>
      <c r="K54" s="43"/>
      <c r="L54" s="62" t="s">
        <v>1022</v>
      </c>
      <c r="M54" s="63" t="s">
        <v>957</v>
      </c>
      <c r="N54" s="75"/>
      <c r="O54" s="75"/>
      <c r="P54" s="75"/>
      <c r="Q54" s="33"/>
      <c r="R54" s="72"/>
    </row>
    <row r="55" spans="1:18" ht="76.5" customHeight="1" x14ac:dyDescent="0.35">
      <c r="A55" s="38">
        <v>51</v>
      </c>
      <c r="B55" s="58" t="s">
        <v>361</v>
      </c>
      <c r="C55" s="31" t="s">
        <v>1094</v>
      </c>
      <c r="D55" s="47" t="s">
        <v>1095</v>
      </c>
      <c r="E55" s="38" t="s">
        <v>49</v>
      </c>
      <c r="F55" s="43"/>
      <c r="G55" s="46" t="s">
        <v>399</v>
      </c>
      <c r="H55" s="49" t="s">
        <v>154</v>
      </c>
      <c r="I55" s="54"/>
      <c r="J55" s="38" t="s">
        <v>74</v>
      </c>
      <c r="K55" s="43"/>
      <c r="L55" s="62" t="s">
        <v>1022</v>
      </c>
      <c r="M55" s="63" t="s">
        <v>957</v>
      </c>
      <c r="N55" s="75"/>
      <c r="O55" s="75"/>
      <c r="P55" s="75"/>
      <c r="Q55" s="33"/>
      <c r="R55" s="72"/>
    </row>
    <row r="56" spans="1:18" ht="76.5" customHeight="1" x14ac:dyDescent="0.35">
      <c r="A56" s="38">
        <v>52</v>
      </c>
      <c r="B56" s="58" t="s">
        <v>361</v>
      </c>
      <c r="C56" s="31" t="s">
        <v>1096</v>
      </c>
      <c r="D56" s="47" t="s">
        <v>1097</v>
      </c>
      <c r="E56" s="38" t="s">
        <v>49</v>
      </c>
      <c r="F56" s="43"/>
      <c r="G56" s="46" t="s">
        <v>399</v>
      </c>
      <c r="H56" s="49" t="s">
        <v>154</v>
      </c>
      <c r="I56" s="54"/>
      <c r="J56" s="38" t="s">
        <v>74</v>
      </c>
      <c r="K56" s="43"/>
      <c r="L56" s="62" t="s">
        <v>1022</v>
      </c>
      <c r="M56" s="63" t="s">
        <v>957</v>
      </c>
      <c r="N56" s="75"/>
      <c r="O56" s="75"/>
      <c r="P56" s="75"/>
      <c r="Q56" s="33"/>
      <c r="R56" s="72"/>
    </row>
    <row r="57" spans="1:18" ht="76.5" customHeight="1" x14ac:dyDescent="0.35">
      <c r="A57" s="38">
        <v>53</v>
      </c>
      <c r="B57" s="58" t="s">
        <v>361</v>
      </c>
      <c r="C57" s="31" t="s">
        <v>1098</v>
      </c>
      <c r="D57" s="48" t="s">
        <v>1099</v>
      </c>
      <c r="E57" s="38" t="s">
        <v>49</v>
      </c>
      <c r="F57" s="43"/>
      <c r="G57" s="46" t="s">
        <v>399</v>
      </c>
      <c r="H57" s="49" t="s">
        <v>154</v>
      </c>
      <c r="I57" s="54"/>
      <c r="J57" s="38" t="s">
        <v>74</v>
      </c>
      <c r="K57" s="43"/>
      <c r="L57" s="62" t="s">
        <v>1022</v>
      </c>
      <c r="M57" s="63" t="s">
        <v>957</v>
      </c>
      <c r="N57" s="75"/>
      <c r="O57" s="75"/>
      <c r="P57" s="75"/>
      <c r="Q57" s="33"/>
      <c r="R57" s="72"/>
    </row>
    <row r="58" spans="1:18" ht="76.5" customHeight="1" x14ac:dyDescent="0.35">
      <c r="A58" s="38">
        <v>54</v>
      </c>
      <c r="B58" s="58" t="s">
        <v>361</v>
      </c>
      <c r="C58" s="31" t="s">
        <v>1100</v>
      </c>
      <c r="D58" s="47" t="s">
        <v>1101</v>
      </c>
      <c r="E58" s="38" t="s">
        <v>49</v>
      </c>
      <c r="F58" s="43"/>
      <c r="G58" s="46" t="s">
        <v>399</v>
      </c>
      <c r="H58" s="49" t="s">
        <v>154</v>
      </c>
      <c r="I58" s="54"/>
      <c r="J58" s="38" t="s">
        <v>74</v>
      </c>
      <c r="K58" s="43"/>
      <c r="L58" s="62" t="s">
        <v>1022</v>
      </c>
      <c r="M58" s="63" t="s">
        <v>957</v>
      </c>
      <c r="N58" s="75"/>
      <c r="O58" s="75"/>
      <c r="P58" s="75"/>
      <c r="Q58" s="33"/>
      <c r="R58" s="72"/>
    </row>
    <row r="59" spans="1:18" ht="76.5" customHeight="1" x14ac:dyDescent="0.35">
      <c r="A59" s="38">
        <v>55</v>
      </c>
      <c r="B59" s="58" t="s">
        <v>361</v>
      </c>
      <c r="C59" s="32" t="s">
        <v>1102</v>
      </c>
      <c r="D59" s="47" t="s">
        <v>1103</v>
      </c>
      <c r="E59" s="38" t="s">
        <v>49</v>
      </c>
      <c r="F59" s="43"/>
      <c r="G59" s="46" t="s">
        <v>399</v>
      </c>
      <c r="H59" s="49" t="s">
        <v>154</v>
      </c>
      <c r="I59" s="54"/>
      <c r="J59" s="38" t="s">
        <v>74</v>
      </c>
      <c r="K59" s="43"/>
      <c r="L59" s="62" t="s">
        <v>1022</v>
      </c>
      <c r="M59" s="63" t="s">
        <v>957</v>
      </c>
      <c r="N59" s="75"/>
      <c r="O59" s="75"/>
      <c r="P59" s="75"/>
      <c r="Q59" s="33"/>
      <c r="R59" s="72"/>
    </row>
    <row r="60" spans="1:18" ht="76.5" customHeight="1" x14ac:dyDescent="0.35">
      <c r="A60" s="38">
        <v>56</v>
      </c>
      <c r="B60" s="58" t="s">
        <v>361</v>
      </c>
      <c r="C60" s="32" t="s">
        <v>1102</v>
      </c>
      <c r="D60" s="47" t="s">
        <v>1104</v>
      </c>
      <c r="E60" s="38" t="s">
        <v>49</v>
      </c>
      <c r="F60" s="43"/>
      <c r="G60" s="46" t="s">
        <v>399</v>
      </c>
      <c r="H60" s="49" t="s">
        <v>154</v>
      </c>
      <c r="I60" s="54"/>
      <c r="J60" s="38" t="s">
        <v>74</v>
      </c>
      <c r="K60" s="43"/>
      <c r="L60" s="62" t="s">
        <v>1022</v>
      </c>
      <c r="M60" s="63" t="s">
        <v>957</v>
      </c>
      <c r="N60" s="75"/>
      <c r="O60" s="75"/>
      <c r="P60" s="75"/>
      <c r="Q60" s="33"/>
      <c r="R60" s="72"/>
    </row>
    <row r="61" spans="1:18" ht="76.5" customHeight="1" x14ac:dyDescent="0.35">
      <c r="A61" s="38">
        <v>57</v>
      </c>
      <c r="B61" s="58" t="s">
        <v>361</v>
      </c>
      <c r="C61" s="31" t="s">
        <v>1105</v>
      </c>
      <c r="D61" s="47" t="s">
        <v>1106</v>
      </c>
      <c r="E61" s="38" t="s">
        <v>49</v>
      </c>
      <c r="F61" s="43"/>
      <c r="G61" s="46" t="s">
        <v>399</v>
      </c>
      <c r="H61" s="49" t="s">
        <v>154</v>
      </c>
      <c r="I61" s="54"/>
      <c r="J61" s="38" t="s">
        <v>74</v>
      </c>
      <c r="K61" s="43"/>
      <c r="L61" s="62" t="s">
        <v>1022</v>
      </c>
      <c r="M61" s="63" t="s">
        <v>957</v>
      </c>
      <c r="N61" s="75"/>
      <c r="O61" s="75"/>
      <c r="P61" s="75"/>
      <c r="Q61" s="33"/>
      <c r="R61" s="72"/>
    </row>
    <row r="62" spans="1:18" ht="76.5" customHeight="1" x14ac:dyDescent="0.35">
      <c r="A62" s="38">
        <v>58</v>
      </c>
      <c r="B62" s="58" t="s">
        <v>361</v>
      </c>
      <c r="C62" s="31" t="s">
        <v>1105</v>
      </c>
      <c r="D62" s="47" t="s">
        <v>1107</v>
      </c>
      <c r="E62" s="38" t="s">
        <v>49</v>
      </c>
      <c r="F62" s="43"/>
      <c r="G62" s="46" t="s">
        <v>399</v>
      </c>
      <c r="H62" s="49" t="s">
        <v>154</v>
      </c>
      <c r="I62" s="54"/>
      <c r="J62" s="38" t="s">
        <v>74</v>
      </c>
      <c r="K62" s="43"/>
      <c r="L62" s="62" t="s">
        <v>1022</v>
      </c>
      <c r="M62" s="63" t="s">
        <v>957</v>
      </c>
      <c r="N62" s="75"/>
      <c r="O62" s="75"/>
      <c r="P62" s="75"/>
      <c r="Q62" s="33"/>
      <c r="R62" s="72"/>
    </row>
    <row r="63" spans="1:18" ht="76.5" customHeight="1" x14ac:dyDescent="0.35">
      <c r="A63" s="38">
        <v>59</v>
      </c>
      <c r="B63" s="58" t="s">
        <v>361</v>
      </c>
      <c r="C63" s="31" t="s">
        <v>1105</v>
      </c>
      <c r="D63" s="48" t="s">
        <v>1108</v>
      </c>
      <c r="E63" s="38" t="s">
        <v>49</v>
      </c>
      <c r="F63" s="43"/>
      <c r="G63" s="46" t="s">
        <v>399</v>
      </c>
      <c r="H63" s="49" t="s">
        <v>154</v>
      </c>
      <c r="I63" s="54"/>
      <c r="J63" s="38" t="s">
        <v>74</v>
      </c>
      <c r="K63" s="43"/>
      <c r="L63" s="62" t="s">
        <v>1022</v>
      </c>
      <c r="M63" s="63" t="s">
        <v>957</v>
      </c>
      <c r="N63" s="75"/>
      <c r="O63" s="75"/>
      <c r="P63" s="75"/>
      <c r="Q63" s="33"/>
      <c r="R63" s="72"/>
    </row>
    <row r="64" spans="1:18" ht="76.5" customHeight="1" x14ac:dyDescent="0.35">
      <c r="A64" s="38">
        <v>60</v>
      </c>
      <c r="B64" s="58" t="s">
        <v>361</v>
      </c>
      <c r="C64" s="31" t="s">
        <v>1109</v>
      </c>
      <c r="D64" s="48" t="s">
        <v>1110</v>
      </c>
      <c r="E64" s="38" t="s">
        <v>49</v>
      </c>
      <c r="F64" s="43"/>
      <c r="G64" s="46" t="s">
        <v>399</v>
      </c>
      <c r="H64" s="49" t="s">
        <v>154</v>
      </c>
      <c r="I64" s="54"/>
      <c r="J64" s="38" t="s">
        <v>74</v>
      </c>
      <c r="K64" s="43"/>
      <c r="L64" s="62" t="s">
        <v>1022</v>
      </c>
      <c r="M64" s="63" t="s">
        <v>957</v>
      </c>
      <c r="N64" s="75"/>
      <c r="O64" s="75"/>
      <c r="P64" s="75"/>
      <c r="Q64" s="33"/>
      <c r="R64" s="72"/>
    </row>
    <row r="65" spans="1:18" ht="76.5" customHeight="1" x14ac:dyDescent="0.35">
      <c r="A65" s="38">
        <v>61</v>
      </c>
      <c r="B65" s="58" t="s">
        <v>361</v>
      </c>
      <c r="C65" s="31" t="s">
        <v>1111</v>
      </c>
      <c r="D65" s="48" t="s">
        <v>1112</v>
      </c>
      <c r="E65" s="38" t="s">
        <v>49</v>
      </c>
      <c r="F65" s="43"/>
      <c r="G65" s="46" t="s">
        <v>399</v>
      </c>
      <c r="H65" s="49" t="s">
        <v>154</v>
      </c>
      <c r="I65" s="54"/>
      <c r="J65" s="38" t="s">
        <v>74</v>
      </c>
      <c r="K65" s="43"/>
      <c r="L65" s="62" t="s">
        <v>1022</v>
      </c>
      <c r="M65" s="63" t="s">
        <v>957</v>
      </c>
      <c r="N65" s="75"/>
      <c r="O65" s="75"/>
      <c r="P65" s="75"/>
      <c r="Q65" s="33"/>
      <c r="R65" s="72"/>
    </row>
    <row r="66" spans="1:18" ht="76.5" customHeight="1" x14ac:dyDescent="0.35">
      <c r="A66" s="38">
        <v>62</v>
      </c>
      <c r="B66" s="58" t="s">
        <v>361</v>
      </c>
      <c r="C66" s="31" t="s">
        <v>1113</v>
      </c>
      <c r="D66" s="48" t="s">
        <v>1114</v>
      </c>
      <c r="E66" s="38" t="s">
        <v>49</v>
      </c>
      <c r="F66" s="43"/>
      <c r="G66" s="46" t="s">
        <v>399</v>
      </c>
      <c r="H66" s="49" t="s">
        <v>154</v>
      </c>
      <c r="I66" s="54"/>
      <c r="J66" s="38" t="s">
        <v>74</v>
      </c>
      <c r="K66" s="43"/>
      <c r="L66" s="62" t="s">
        <v>1022</v>
      </c>
      <c r="M66" s="63" t="s">
        <v>957</v>
      </c>
      <c r="N66" s="75"/>
      <c r="O66" s="75"/>
      <c r="P66" s="75"/>
      <c r="Q66" s="33"/>
      <c r="R66" s="72"/>
    </row>
    <row r="67" spans="1:18" ht="76.5" customHeight="1" x14ac:dyDescent="0.35">
      <c r="A67" s="38">
        <v>63</v>
      </c>
      <c r="B67" s="58" t="s">
        <v>361</v>
      </c>
      <c r="C67" s="31" t="s">
        <v>1115</v>
      </c>
      <c r="D67" s="48" t="s">
        <v>1116</v>
      </c>
      <c r="E67" s="38" t="s">
        <v>49</v>
      </c>
      <c r="F67" s="43"/>
      <c r="G67" s="46" t="s">
        <v>399</v>
      </c>
      <c r="H67" s="49" t="s">
        <v>1117</v>
      </c>
      <c r="I67" s="54"/>
      <c r="J67" s="38" t="s">
        <v>74</v>
      </c>
      <c r="K67" s="43"/>
      <c r="L67" s="62" t="s">
        <v>1022</v>
      </c>
      <c r="M67" s="63" t="s">
        <v>957</v>
      </c>
      <c r="N67" s="75"/>
      <c r="O67" s="75"/>
      <c r="P67" s="75"/>
      <c r="Q67" s="33"/>
      <c r="R67" s="72"/>
    </row>
    <row r="68" spans="1:18" ht="76.5" customHeight="1" x14ac:dyDescent="0.35">
      <c r="A68" s="38">
        <v>64</v>
      </c>
      <c r="B68" s="58" t="s">
        <v>361</v>
      </c>
      <c r="C68" s="31" t="s">
        <v>1115</v>
      </c>
      <c r="D68" s="48" t="s">
        <v>1118</v>
      </c>
      <c r="E68" s="38" t="s">
        <v>49</v>
      </c>
      <c r="F68" s="43"/>
      <c r="G68" s="46" t="s">
        <v>399</v>
      </c>
      <c r="H68" s="49" t="s">
        <v>1119</v>
      </c>
      <c r="I68" s="54"/>
      <c r="J68" s="38" t="s">
        <v>74</v>
      </c>
      <c r="K68" s="43"/>
      <c r="L68" s="62" t="s">
        <v>1022</v>
      </c>
      <c r="M68" s="63" t="s">
        <v>957</v>
      </c>
      <c r="N68" s="75"/>
      <c r="O68" s="75"/>
      <c r="P68" s="75"/>
      <c r="Q68" s="33"/>
      <c r="R68" s="72"/>
    </row>
    <row r="69" spans="1:18" ht="76.5" customHeight="1" x14ac:dyDescent="0.35">
      <c r="A69" s="38">
        <v>65</v>
      </c>
      <c r="B69" s="58" t="s">
        <v>361</v>
      </c>
      <c r="C69" s="31" t="s">
        <v>1115</v>
      </c>
      <c r="D69" s="48" t="s">
        <v>1120</v>
      </c>
      <c r="E69" s="38" t="s">
        <v>49</v>
      </c>
      <c r="F69" s="43"/>
      <c r="G69" s="46" t="s">
        <v>399</v>
      </c>
      <c r="H69" s="49" t="s">
        <v>971</v>
      </c>
      <c r="I69" s="54"/>
      <c r="J69" s="38" t="s">
        <v>74</v>
      </c>
      <c r="K69" s="43"/>
      <c r="L69" s="62" t="s">
        <v>1022</v>
      </c>
      <c r="M69" s="63" t="s">
        <v>957</v>
      </c>
      <c r="N69" s="75"/>
      <c r="O69" s="75"/>
      <c r="P69" s="75"/>
      <c r="Q69" s="33"/>
      <c r="R69" s="72"/>
    </row>
    <row r="70" spans="1:18" ht="76.5" customHeight="1" x14ac:dyDescent="0.35">
      <c r="A70" s="38">
        <v>66</v>
      </c>
      <c r="B70" s="58" t="s">
        <v>361</v>
      </c>
      <c r="C70" s="31" t="s">
        <v>1115</v>
      </c>
      <c r="D70" s="48" t="s">
        <v>1121</v>
      </c>
      <c r="E70" s="38" t="s">
        <v>49</v>
      </c>
      <c r="F70" s="43"/>
      <c r="G70" s="46" t="s">
        <v>399</v>
      </c>
      <c r="H70" s="49" t="s">
        <v>971</v>
      </c>
      <c r="I70" s="54"/>
      <c r="J70" s="38" t="s">
        <v>74</v>
      </c>
      <c r="K70" s="43"/>
      <c r="L70" s="62" t="s">
        <v>1022</v>
      </c>
      <c r="M70" s="63" t="s">
        <v>957</v>
      </c>
      <c r="N70" s="75"/>
      <c r="O70" s="75"/>
      <c r="P70" s="75"/>
      <c r="Q70" s="33"/>
      <c r="R70" s="72"/>
    </row>
    <row r="71" spans="1:18" ht="76.5" customHeight="1" x14ac:dyDescent="0.35">
      <c r="A71" s="38">
        <v>67</v>
      </c>
      <c r="B71" s="58" t="s">
        <v>361</v>
      </c>
      <c r="C71" s="31" t="s">
        <v>1122</v>
      </c>
      <c r="D71" s="47" t="s">
        <v>1123</v>
      </c>
      <c r="E71" s="38" t="s">
        <v>49</v>
      </c>
      <c r="F71" s="43"/>
      <c r="G71" s="46" t="s">
        <v>71</v>
      </c>
      <c r="H71" s="49" t="s">
        <v>243</v>
      </c>
      <c r="I71" s="55" t="s">
        <v>535</v>
      </c>
      <c r="J71" s="38" t="s">
        <v>74</v>
      </c>
      <c r="K71" s="43"/>
      <c r="L71" s="62" t="s">
        <v>1022</v>
      </c>
      <c r="M71" s="63" t="s">
        <v>957</v>
      </c>
      <c r="N71" s="75"/>
      <c r="O71" s="75"/>
      <c r="P71" s="75"/>
      <c r="Q71" s="33"/>
      <c r="R71" s="72"/>
    </row>
    <row r="72" spans="1:18" ht="76.5" customHeight="1" x14ac:dyDescent="0.35">
      <c r="A72" s="38">
        <v>68</v>
      </c>
      <c r="B72" s="58" t="s">
        <v>361</v>
      </c>
      <c r="C72" s="31" t="s">
        <v>1122</v>
      </c>
      <c r="D72" s="48" t="s">
        <v>1124</v>
      </c>
      <c r="E72" s="38" t="s">
        <v>49</v>
      </c>
      <c r="F72" s="43"/>
      <c r="G72" s="46" t="s">
        <v>457</v>
      </c>
      <c r="H72" s="49" t="s">
        <v>416</v>
      </c>
      <c r="I72" s="54"/>
      <c r="J72" s="38" t="s">
        <v>74</v>
      </c>
      <c r="K72" s="43"/>
      <c r="L72" s="62" t="s">
        <v>1022</v>
      </c>
      <c r="M72" s="63" t="s">
        <v>957</v>
      </c>
      <c r="N72" s="75"/>
      <c r="O72" s="75"/>
      <c r="P72" s="75"/>
      <c r="Q72" s="33"/>
      <c r="R72" s="72"/>
    </row>
    <row r="73" spans="1:18" ht="76.5" customHeight="1" x14ac:dyDescent="0.35">
      <c r="A73" s="38">
        <v>69</v>
      </c>
      <c r="B73" s="58" t="s">
        <v>361</v>
      </c>
      <c r="C73" s="31" t="s">
        <v>1122</v>
      </c>
      <c r="D73" s="48" t="s">
        <v>1125</v>
      </c>
      <c r="E73" s="38" t="s">
        <v>49</v>
      </c>
      <c r="F73" s="43"/>
      <c r="G73" s="46" t="s">
        <v>457</v>
      </c>
      <c r="H73" s="49" t="s">
        <v>659</v>
      </c>
      <c r="I73" s="54"/>
      <c r="J73" s="38" t="s">
        <v>74</v>
      </c>
      <c r="K73" s="43"/>
      <c r="L73" s="62" t="s">
        <v>1022</v>
      </c>
      <c r="M73" s="63" t="s">
        <v>957</v>
      </c>
      <c r="N73" s="75"/>
      <c r="O73" s="75"/>
      <c r="P73" s="75"/>
      <c r="Q73" s="33"/>
      <c r="R73" s="72"/>
    </row>
    <row r="74" spans="1:18" ht="76.5" customHeight="1" x14ac:dyDescent="0.35">
      <c r="A74" s="38">
        <v>70</v>
      </c>
      <c r="B74" s="58" t="s">
        <v>361</v>
      </c>
      <c r="C74" s="31" t="s">
        <v>1126</v>
      </c>
      <c r="D74" s="48" t="s">
        <v>1127</v>
      </c>
      <c r="E74" s="38" t="s">
        <v>49</v>
      </c>
      <c r="F74" s="43"/>
      <c r="G74" s="46" t="s">
        <v>399</v>
      </c>
      <c r="H74" s="49" t="s">
        <v>551</v>
      </c>
      <c r="I74" s="54"/>
      <c r="J74" s="38" t="s">
        <v>74</v>
      </c>
      <c r="K74" s="43"/>
      <c r="L74" s="62" t="s">
        <v>1022</v>
      </c>
      <c r="M74" s="63" t="s">
        <v>957</v>
      </c>
      <c r="N74" s="75"/>
      <c r="O74" s="75"/>
      <c r="P74" s="75"/>
      <c r="Q74" s="33"/>
      <c r="R74" s="72"/>
    </row>
    <row r="75" spans="1:18" ht="76.5" customHeight="1" x14ac:dyDescent="0.35">
      <c r="A75" s="38">
        <v>71</v>
      </c>
      <c r="B75" s="58" t="s">
        <v>361</v>
      </c>
      <c r="C75" s="31" t="s">
        <v>1126</v>
      </c>
      <c r="D75" s="48" t="s">
        <v>1128</v>
      </c>
      <c r="E75" s="38" t="s">
        <v>49</v>
      </c>
      <c r="F75" s="43"/>
      <c r="G75" s="46" t="s">
        <v>399</v>
      </c>
      <c r="H75" s="49" t="s">
        <v>1129</v>
      </c>
      <c r="I75" s="54"/>
      <c r="J75" s="38" t="s">
        <v>74</v>
      </c>
      <c r="K75" s="43"/>
      <c r="L75" s="62" t="s">
        <v>1022</v>
      </c>
      <c r="M75" s="63" t="s">
        <v>957</v>
      </c>
      <c r="N75" s="75"/>
      <c r="O75" s="75"/>
      <c r="P75" s="75"/>
      <c r="Q75" s="33"/>
      <c r="R75" s="72"/>
    </row>
    <row r="76" spans="1:18" ht="76.5" customHeight="1" x14ac:dyDescent="0.35">
      <c r="A76" s="38">
        <v>72</v>
      </c>
      <c r="B76" s="58" t="s">
        <v>361</v>
      </c>
      <c r="C76" s="31" t="s">
        <v>1130</v>
      </c>
      <c r="D76" s="47" t="s">
        <v>1131</v>
      </c>
      <c r="E76" s="38" t="s">
        <v>49</v>
      </c>
      <c r="F76" s="43"/>
      <c r="G76" s="46" t="s">
        <v>71</v>
      </c>
      <c r="H76" s="49" t="s">
        <v>1119</v>
      </c>
      <c r="I76" s="66" t="s">
        <v>557</v>
      </c>
      <c r="J76" s="38" t="s">
        <v>74</v>
      </c>
      <c r="K76" s="43"/>
      <c r="L76" s="62" t="s">
        <v>1022</v>
      </c>
      <c r="M76" s="63" t="s">
        <v>957</v>
      </c>
      <c r="N76" s="67"/>
      <c r="O76" s="67"/>
      <c r="P76" s="67"/>
      <c r="Q76" s="35"/>
      <c r="R76" s="34"/>
    </row>
    <row r="77" spans="1:18" ht="76.5" customHeight="1" x14ac:dyDescent="0.35">
      <c r="A77" s="38">
        <v>73</v>
      </c>
      <c r="B77" s="58" t="s">
        <v>361</v>
      </c>
      <c r="C77" s="31" t="s">
        <v>1130</v>
      </c>
      <c r="D77" s="48" t="s">
        <v>1124</v>
      </c>
      <c r="E77" s="38" t="s">
        <v>49</v>
      </c>
      <c r="F77" s="43"/>
      <c r="G77" s="46" t="s">
        <v>457</v>
      </c>
      <c r="H77" s="49" t="s">
        <v>416</v>
      </c>
      <c r="I77" s="54"/>
      <c r="J77" s="38" t="s">
        <v>74</v>
      </c>
      <c r="K77" s="43"/>
      <c r="L77" s="62" t="s">
        <v>1022</v>
      </c>
      <c r="M77" s="63" t="s">
        <v>957</v>
      </c>
      <c r="N77" s="67"/>
      <c r="O77" s="67"/>
      <c r="P77" s="67"/>
      <c r="Q77" s="35"/>
      <c r="R77" s="34"/>
    </row>
    <row r="78" spans="1:18" ht="76.5" customHeight="1" x14ac:dyDescent="0.35">
      <c r="A78" s="38">
        <v>74</v>
      </c>
      <c r="B78" s="58" t="s">
        <v>361</v>
      </c>
      <c r="C78" s="31" t="s">
        <v>1130</v>
      </c>
      <c r="D78" s="48" t="s">
        <v>1125</v>
      </c>
      <c r="E78" s="38" t="s">
        <v>49</v>
      </c>
      <c r="F78" s="44"/>
      <c r="G78" s="46" t="s">
        <v>457</v>
      </c>
      <c r="H78" s="49" t="s">
        <v>659</v>
      </c>
      <c r="I78" s="54"/>
      <c r="J78" s="38" t="s">
        <v>74</v>
      </c>
      <c r="K78" s="43"/>
      <c r="L78" s="62" t="s">
        <v>1022</v>
      </c>
      <c r="M78" s="63" t="s">
        <v>957</v>
      </c>
      <c r="N78" s="67"/>
      <c r="O78" s="67"/>
      <c r="P78" s="67"/>
      <c r="Q78" s="35"/>
      <c r="R78" s="34"/>
    </row>
    <row r="79" spans="1:18" ht="76.5" customHeight="1" x14ac:dyDescent="0.35">
      <c r="A79" s="38">
        <v>75</v>
      </c>
      <c r="B79" s="58" t="s">
        <v>361</v>
      </c>
      <c r="C79" s="31" t="s">
        <v>1132</v>
      </c>
      <c r="D79" s="47" t="s">
        <v>1133</v>
      </c>
      <c r="E79" s="38" t="s">
        <v>49</v>
      </c>
      <c r="F79" s="44"/>
      <c r="G79" s="46" t="s">
        <v>71</v>
      </c>
      <c r="H79" s="49" t="s">
        <v>416</v>
      </c>
      <c r="I79" s="55" t="s">
        <v>524</v>
      </c>
      <c r="J79" s="38" t="s">
        <v>74</v>
      </c>
      <c r="K79" s="43"/>
      <c r="L79" s="62" t="s">
        <v>1022</v>
      </c>
      <c r="M79" s="63" t="s">
        <v>957</v>
      </c>
      <c r="N79" s="67"/>
      <c r="O79" s="67"/>
      <c r="P79" s="67"/>
      <c r="Q79" s="35"/>
      <c r="R79" s="34"/>
    </row>
    <row r="80" spans="1:18" ht="76.5" customHeight="1" x14ac:dyDescent="0.35">
      <c r="A80" s="38">
        <v>76</v>
      </c>
      <c r="B80" s="58" t="s">
        <v>361</v>
      </c>
      <c r="C80" s="31" t="s">
        <v>1132</v>
      </c>
      <c r="D80" s="47" t="s">
        <v>1134</v>
      </c>
      <c r="E80" s="38" t="s">
        <v>49</v>
      </c>
      <c r="F80" s="44"/>
      <c r="G80" s="46" t="s">
        <v>399</v>
      </c>
      <c r="H80" s="49" t="s">
        <v>154</v>
      </c>
      <c r="I80" s="54"/>
      <c r="J80" s="38" t="s">
        <v>74</v>
      </c>
      <c r="K80" s="43"/>
      <c r="L80" s="62" t="s">
        <v>1022</v>
      </c>
      <c r="M80" s="63" t="s">
        <v>957</v>
      </c>
      <c r="N80" s="67"/>
      <c r="O80" s="67"/>
      <c r="P80" s="67"/>
      <c r="Q80" s="35"/>
      <c r="R80" s="34"/>
    </row>
    <row r="81" spans="1:18" ht="76.5" customHeight="1" x14ac:dyDescent="0.35">
      <c r="A81" s="38">
        <v>77</v>
      </c>
      <c r="B81" s="58" t="s">
        <v>361</v>
      </c>
      <c r="C81" s="31" t="s">
        <v>1132</v>
      </c>
      <c r="D81" s="47" t="s">
        <v>1135</v>
      </c>
      <c r="E81" s="38" t="s">
        <v>49</v>
      </c>
      <c r="F81" s="44"/>
      <c r="G81" s="46" t="s">
        <v>457</v>
      </c>
      <c r="H81" s="49" t="s">
        <v>104</v>
      </c>
      <c r="I81" s="54"/>
      <c r="J81" s="45" t="s">
        <v>74</v>
      </c>
      <c r="K81" s="43"/>
      <c r="L81" s="64" t="s">
        <v>1022</v>
      </c>
      <c r="M81" s="65" t="s">
        <v>957</v>
      </c>
      <c r="N81" s="68"/>
      <c r="O81" s="68"/>
      <c r="P81" s="68"/>
      <c r="Q81" s="35"/>
      <c r="R81" s="34"/>
    </row>
  </sheetData>
  <autoFilter ref="A1:R18"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7">
    <mergeCell ref="A1:R1"/>
    <mergeCell ref="A2:R2"/>
    <mergeCell ref="A3:D3"/>
    <mergeCell ref="E3:K3"/>
    <mergeCell ref="L3:M3"/>
    <mergeCell ref="Q3:R3"/>
    <mergeCell ref="N3:P3"/>
  </mergeCells>
  <phoneticPr fontId="17" type="noConversion"/>
  <conditionalFormatting sqref="Q5:Q1048576">
    <cfRule type="containsText" dxfId="8" priority="1" operator="containsText" text="Revisions Needed">
      <formula>NOT(ISERROR(SEARCH("Revisions Needed",Q5)))</formula>
    </cfRule>
    <cfRule type="containsText" dxfId="7" priority="2" operator="containsText" text="Approved">
      <formula>NOT(ISERROR(SEARCH("Approved",Q5)))</formula>
    </cfRule>
  </conditionalFormatting>
  <dataValidations count="1">
    <dataValidation type="list" allowBlank="1" sqref="Q5:Q1048576" xr:uid="{FC2D80B0-A254-4F77-A265-04551EBF7912}">
      <formula1>"Approved,Revisions Needed"</formula1>
    </dataValidation>
  </dataValidation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5178-9B02-443E-AEEF-F561D88D912A}">
  <sheetPr>
    <tabColor theme="9" tint="0.39997558519241921"/>
  </sheetPr>
  <dimension ref="A1:W359"/>
  <sheetViews>
    <sheetView showGridLines="0" topLeftCell="A9" zoomScale="70" zoomScaleNormal="50" workbookViewId="0">
      <selection activeCell="A10" sqref="A10"/>
    </sheetView>
  </sheetViews>
  <sheetFormatPr defaultColWidth="8.54296875" defaultRowHeight="14.5" x14ac:dyDescent="0.35"/>
  <cols>
    <col min="1" max="1" width="9" style="2" customWidth="1"/>
    <col min="2" max="3" width="12" style="14" customWidth="1"/>
    <col min="4" max="4" width="18.81640625" style="2" customWidth="1"/>
    <col min="5" max="5" width="21.453125" style="2" customWidth="1"/>
    <col min="6" max="6" width="15.54296875" style="2" customWidth="1"/>
    <col min="7" max="7" width="13.1796875" style="2" hidden="1" customWidth="1"/>
    <col min="8" max="8" width="12.453125" style="2" customWidth="1"/>
    <col min="9" max="9" width="11.81640625" style="29" customWidth="1"/>
    <col min="10" max="10" width="11.453125" style="29" customWidth="1"/>
    <col min="11" max="11" width="15.54296875" style="2" customWidth="1"/>
    <col min="12" max="12" width="12.81640625" style="2" customWidth="1"/>
    <col min="13" max="13" width="36" style="1" customWidth="1"/>
    <col min="14" max="14" width="91.1796875" style="143" customWidth="1"/>
    <col min="15" max="15" width="12.81640625" style="76" customWidth="1"/>
    <col min="16" max="16" width="10.81640625" style="76" customWidth="1"/>
    <col min="17" max="17" width="13.1796875" style="76" customWidth="1"/>
    <col min="18" max="18" width="45.26953125" style="76" customWidth="1"/>
    <col min="19" max="19" width="20.54296875" style="2" customWidth="1"/>
    <col min="20" max="20" width="69.453125" style="17" customWidth="1"/>
    <col min="21" max="21" width="48.54296875" style="236" customWidth="1"/>
    <col min="22" max="22" width="16.26953125" style="159" customWidth="1"/>
    <col min="23" max="23" width="76.54296875" style="17" customWidth="1"/>
    <col min="24" max="16384" width="8.54296875" style="1"/>
  </cols>
  <sheetData>
    <row r="1" spans="1:23" ht="37.5" customHeight="1" thickTop="1" thickBot="1" x14ac:dyDescent="0.4">
      <c r="A1" s="509" t="s">
        <v>0</v>
      </c>
      <c r="B1" s="510"/>
      <c r="C1" s="510"/>
      <c r="D1" s="510"/>
      <c r="E1" s="510"/>
      <c r="F1" s="510"/>
      <c r="G1" s="510"/>
      <c r="H1" s="510"/>
      <c r="I1" s="510"/>
      <c r="J1" s="510"/>
      <c r="K1" s="510"/>
      <c r="L1" s="510"/>
      <c r="M1" s="510"/>
      <c r="N1" s="510"/>
      <c r="O1" s="510"/>
      <c r="P1" s="510"/>
      <c r="Q1" s="510"/>
      <c r="R1" s="510"/>
      <c r="S1" s="510"/>
      <c r="T1" s="510"/>
      <c r="U1" s="510"/>
      <c r="V1" s="510"/>
      <c r="W1" s="511"/>
    </row>
    <row r="2" spans="1:23" ht="37.5" customHeight="1" thickTop="1" thickBot="1" x14ac:dyDescent="0.4">
      <c r="A2" s="509" t="s">
        <v>1136</v>
      </c>
      <c r="B2" s="510"/>
      <c r="C2" s="510"/>
      <c r="D2" s="510"/>
      <c r="E2" s="510"/>
      <c r="F2" s="510"/>
      <c r="G2" s="510"/>
      <c r="H2" s="510"/>
      <c r="I2" s="510"/>
      <c r="J2" s="510"/>
      <c r="K2" s="510"/>
      <c r="L2" s="510"/>
      <c r="M2" s="510"/>
      <c r="N2" s="510"/>
      <c r="O2" s="510"/>
      <c r="P2" s="510"/>
      <c r="Q2" s="510"/>
      <c r="R2" s="510"/>
      <c r="S2" s="510"/>
      <c r="T2" s="510"/>
      <c r="U2" s="510"/>
      <c r="V2" s="510"/>
      <c r="W2" s="511"/>
    </row>
    <row r="3" spans="1:23" ht="19.5" customHeight="1" thickTop="1" thickBot="1" x14ac:dyDescent="0.4">
      <c r="A3" s="550" t="s">
        <v>2</v>
      </c>
      <c r="B3" s="550"/>
      <c r="C3" s="550"/>
      <c r="D3" s="550"/>
      <c r="E3" s="550"/>
      <c r="F3" s="550"/>
      <c r="G3" s="550"/>
      <c r="H3" s="550"/>
      <c r="I3" s="550"/>
      <c r="J3" s="550"/>
      <c r="K3" s="550"/>
      <c r="L3" s="550"/>
      <c r="M3" s="550"/>
      <c r="N3" s="550"/>
      <c r="O3" s="550"/>
      <c r="P3" s="550"/>
      <c r="Q3" s="550"/>
      <c r="R3" s="550"/>
      <c r="S3" s="550"/>
      <c r="T3" s="550"/>
      <c r="U3" s="82"/>
      <c r="V3" s="82"/>
      <c r="W3" s="82"/>
    </row>
    <row r="4" spans="1:23" s="4" customFormat="1" ht="27.75" customHeight="1" thickTop="1" thickBot="1" x14ac:dyDescent="0.45">
      <c r="A4" s="516" t="s">
        <v>3</v>
      </c>
      <c r="B4" s="516"/>
      <c r="C4" s="516"/>
      <c r="D4" s="516"/>
      <c r="E4" s="516"/>
      <c r="F4" s="547" t="s">
        <v>4</v>
      </c>
      <c r="G4" s="548"/>
      <c r="H4" s="548"/>
      <c r="I4" s="548"/>
      <c r="J4" s="548"/>
      <c r="K4" s="548"/>
      <c r="L4" s="549"/>
      <c r="M4" s="516" t="s">
        <v>5</v>
      </c>
      <c r="N4" s="516"/>
      <c r="O4" s="547" t="s">
        <v>6</v>
      </c>
      <c r="P4" s="548"/>
      <c r="Q4" s="549"/>
      <c r="R4" s="154"/>
      <c r="S4" s="513" t="s">
        <v>7</v>
      </c>
      <c r="T4" s="514"/>
      <c r="U4" s="515"/>
      <c r="V4" s="513" t="s">
        <v>396</v>
      </c>
      <c r="W4" s="515"/>
    </row>
    <row r="5" spans="1:23" ht="71.5" customHeight="1" thickTop="1" thickBot="1" x14ac:dyDescent="0.4">
      <c r="A5" s="10" t="s">
        <v>9</v>
      </c>
      <c r="B5" s="10" t="s">
        <v>10</v>
      </c>
      <c r="C5" s="10" t="s">
        <v>11</v>
      </c>
      <c r="D5" s="10" t="s">
        <v>12</v>
      </c>
      <c r="E5" s="10" t="s">
        <v>13</v>
      </c>
      <c r="F5" s="10" t="s">
        <v>14</v>
      </c>
      <c r="G5" s="10" t="s">
        <v>228</v>
      </c>
      <c r="H5" s="10" t="s">
        <v>15</v>
      </c>
      <c r="I5" s="10" t="s">
        <v>16</v>
      </c>
      <c r="J5" s="10" t="s">
        <v>17</v>
      </c>
      <c r="K5" s="10" t="s">
        <v>18</v>
      </c>
      <c r="L5" s="10" t="s">
        <v>19</v>
      </c>
      <c r="M5" s="10" t="s">
        <v>20</v>
      </c>
      <c r="N5" s="10" t="s">
        <v>21</v>
      </c>
      <c r="O5" s="10" t="s">
        <v>22</v>
      </c>
      <c r="P5" s="10" t="s">
        <v>23</v>
      </c>
      <c r="Q5" s="10" t="s">
        <v>24</v>
      </c>
      <c r="R5" s="191" t="s">
        <v>25</v>
      </c>
      <c r="S5" s="165" t="s">
        <v>26</v>
      </c>
      <c r="T5" s="18" t="s">
        <v>27</v>
      </c>
      <c r="U5" s="18" t="s">
        <v>28</v>
      </c>
      <c r="V5" s="85" t="s">
        <v>29</v>
      </c>
      <c r="W5" s="85" t="s">
        <v>30</v>
      </c>
    </row>
    <row r="6" spans="1:23" s="5" customFormat="1" ht="205.5" hidden="1" customHeight="1" x14ac:dyDescent="0.35">
      <c r="A6" s="145">
        <v>1</v>
      </c>
      <c r="B6" s="146" t="s">
        <v>908</v>
      </c>
      <c r="C6" s="144" t="s">
        <v>67</v>
      </c>
      <c r="D6" s="147" t="s">
        <v>909</v>
      </c>
      <c r="E6" s="148" t="s">
        <v>910</v>
      </c>
      <c r="F6" s="92" t="s">
        <v>590</v>
      </c>
      <c r="G6" s="92"/>
      <c r="H6" s="92" t="s">
        <v>399</v>
      </c>
      <c r="I6" s="93" t="s">
        <v>416</v>
      </c>
      <c r="J6" s="93" t="s">
        <v>52</v>
      </c>
      <c r="K6" s="92" t="s">
        <v>53</v>
      </c>
      <c r="L6" s="6">
        <v>3</v>
      </c>
      <c r="M6" s="133" t="s">
        <v>911</v>
      </c>
      <c r="N6" s="152" t="s">
        <v>912</v>
      </c>
      <c r="O6" s="544" t="s">
        <v>150</v>
      </c>
      <c r="P6" s="544" t="s">
        <v>150</v>
      </c>
      <c r="Q6" s="544" t="s">
        <v>150</v>
      </c>
      <c r="R6" s="517" t="s">
        <v>913</v>
      </c>
      <c r="S6" s="130" t="s">
        <v>201</v>
      </c>
      <c r="T6" s="193" t="s">
        <v>914</v>
      </c>
      <c r="U6" s="174"/>
      <c r="V6" s="155" t="s">
        <v>352</v>
      </c>
      <c r="W6" s="195" t="s">
        <v>915</v>
      </c>
    </row>
    <row r="7" spans="1:23" s="5" customFormat="1" ht="17.5" hidden="1" customHeight="1" thickTop="1" x14ac:dyDescent="0.4">
      <c r="A7" s="38">
        <v>2</v>
      </c>
      <c r="B7" s="144" t="s">
        <v>908</v>
      </c>
      <c r="C7" s="144" t="s">
        <v>67</v>
      </c>
      <c r="D7" s="38" t="s">
        <v>909</v>
      </c>
      <c r="E7" s="150" t="s">
        <v>916</v>
      </c>
      <c r="F7" s="38" t="s">
        <v>590</v>
      </c>
      <c r="G7" s="38"/>
      <c r="H7" s="38" t="s">
        <v>399</v>
      </c>
      <c r="I7" s="151" t="s">
        <v>917</v>
      </c>
      <c r="J7" s="151" t="s">
        <v>52</v>
      </c>
      <c r="K7" s="38" t="s">
        <v>53</v>
      </c>
      <c r="L7" s="41">
        <v>3</v>
      </c>
      <c r="M7" s="75" t="s">
        <v>911</v>
      </c>
      <c r="N7" s="153" t="s">
        <v>912</v>
      </c>
      <c r="O7" s="546"/>
      <c r="P7" s="546"/>
      <c r="Q7" s="546"/>
      <c r="R7" s="518"/>
      <c r="S7" s="102" t="s">
        <v>201</v>
      </c>
      <c r="T7" s="171" t="s">
        <v>914</v>
      </c>
      <c r="U7" s="174"/>
      <c r="V7" s="194" t="s">
        <v>352</v>
      </c>
      <c r="W7" s="196" t="s">
        <v>918</v>
      </c>
    </row>
    <row r="8" spans="1:23" s="5" customFormat="1" ht="409.6" customHeight="1" thickTop="1" x14ac:dyDescent="0.35">
      <c r="A8" s="8">
        <v>3</v>
      </c>
      <c r="B8" s="13" t="s">
        <v>361</v>
      </c>
      <c r="C8" s="144" t="s">
        <v>46</v>
      </c>
      <c r="D8" s="122" t="s">
        <v>919</v>
      </c>
      <c r="E8" s="47" t="s">
        <v>920</v>
      </c>
      <c r="F8" s="8" t="s">
        <v>590</v>
      </c>
      <c r="G8" s="8"/>
      <c r="H8" s="8" t="s">
        <v>71</v>
      </c>
      <c r="I8" s="26" t="s">
        <v>921</v>
      </c>
      <c r="J8" s="26" t="s">
        <v>922</v>
      </c>
      <c r="K8" s="8" t="s">
        <v>74</v>
      </c>
      <c r="L8" s="8"/>
      <c r="M8" s="9" t="s">
        <v>616</v>
      </c>
      <c r="N8" s="9" t="s">
        <v>923</v>
      </c>
      <c r="O8" s="223" t="s">
        <v>150</v>
      </c>
      <c r="P8" s="223" t="s">
        <v>150</v>
      </c>
      <c r="Q8" s="223" t="s">
        <v>150</v>
      </c>
      <c r="R8" s="578" t="s">
        <v>924</v>
      </c>
      <c r="S8" s="102" t="s">
        <v>201</v>
      </c>
      <c r="T8" s="296" t="s">
        <v>1137</v>
      </c>
      <c r="U8" s="266" t="s">
        <v>1138</v>
      </c>
      <c r="V8" s="226" t="s">
        <v>352</v>
      </c>
      <c r="W8" s="195" t="s">
        <v>1139</v>
      </c>
    </row>
    <row r="9" spans="1:23" s="5" customFormat="1" ht="409" customHeight="1" x14ac:dyDescent="0.35">
      <c r="A9" s="8">
        <v>4</v>
      </c>
      <c r="B9" s="13" t="s">
        <v>361</v>
      </c>
      <c r="C9" s="144" t="s">
        <v>67</v>
      </c>
      <c r="D9" s="122" t="s">
        <v>919</v>
      </c>
      <c r="E9" s="117" t="s">
        <v>927</v>
      </c>
      <c r="F9" s="8" t="s">
        <v>590</v>
      </c>
      <c r="G9" s="117"/>
      <c r="H9" s="117" t="s">
        <v>71</v>
      </c>
      <c r="I9" s="26" t="s">
        <v>860</v>
      </c>
      <c r="J9" s="26" t="s">
        <v>928</v>
      </c>
      <c r="K9" s="117" t="s">
        <v>74</v>
      </c>
      <c r="L9" s="117"/>
      <c r="M9" s="9" t="s">
        <v>616</v>
      </c>
      <c r="N9" s="9" t="s">
        <v>929</v>
      </c>
      <c r="O9" s="197" t="s">
        <v>150</v>
      </c>
      <c r="P9" s="223" t="s">
        <v>150</v>
      </c>
      <c r="Q9" s="223" t="s">
        <v>150</v>
      </c>
      <c r="R9" s="579"/>
      <c r="S9" s="102" t="s">
        <v>201</v>
      </c>
      <c r="T9" s="171" t="s">
        <v>1140</v>
      </c>
      <c r="U9" s="174"/>
      <c r="V9" s="174" t="s">
        <v>352</v>
      </c>
      <c r="W9" s="172" t="s">
        <v>926</v>
      </c>
    </row>
    <row r="10" spans="1:23" s="5" customFormat="1" ht="262" customHeight="1" x14ac:dyDescent="0.35">
      <c r="A10" s="8" t="s">
        <v>1141</v>
      </c>
      <c r="B10" s="12"/>
      <c r="C10" s="144"/>
      <c r="D10" s="128"/>
      <c r="E10" s="99"/>
      <c r="F10" s="130"/>
      <c r="G10" s="8"/>
      <c r="H10" s="8"/>
      <c r="I10" s="26"/>
      <c r="J10" s="26"/>
      <c r="K10" s="8"/>
      <c r="L10" s="8"/>
      <c r="M10" s="135"/>
      <c r="N10" s="38"/>
      <c r="O10" s="197"/>
      <c r="P10" s="38"/>
      <c r="Q10" s="38"/>
      <c r="R10" s="131"/>
      <c r="S10" s="102"/>
      <c r="T10" s="192"/>
      <c r="U10" s="174"/>
      <c r="V10" s="155"/>
      <c r="W10" s="192"/>
    </row>
    <row r="11" spans="1:23" s="5" customFormat="1" ht="257.14999999999998" customHeight="1" x14ac:dyDescent="0.4">
      <c r="A11" s="8"/>
      <c r="B11" s="12"/>
      <c r="C11" s="144"/>
      <c r="D11" s="101"/>
      <c r="E11" s="99"/>
      <c r="F11" s="130"/>
      <c r="G11" s="8"/>
      <c r="H11" s="8"/>
      <c r="I11" s="26"/>
      <c r="J11" s="25"/>
      <c r="K11" s="8"/>
      <c r="L11" s="8"/>
      <c r="M11" s="135"/>
      <c r="N11" s="142"/>
      <c r="O11" s="569"/>
      <c r="P11" s="543"/>
      <c r="Q11" s="543"/>
      <c r="R11" s="75"/>
      <c r="S11" s="102"/>
      <c r="T11" s="16"/>
      <c r="U11" s="174"/>
      <c r="V11" s="183"/>
      <c r="W11" s="188"/>
    </row>
    <row r="12" spans="1:23" s="5" customFormat="1" ht="202.5" customHeight="1" x14ac:dyDescent="0.35">
      <c r="A12" s="8"/>
      <c r="B12" s="12"/>
      <c r="C12" s="144"/>
      <c r="D12" s="101"/>
      <c r="E12" s="99"/>
      <c r="F12" s="130"/>
      <c r="G12" s="8"/>
      <c r="H12" s="8"/>
      <c r="I12" s="26"/>
      <c r="J12" s="25"/>
      <c r="K12" s="8"/>
      <c r="L12" s="8"/>
      <c r="M12" s="135"/>
      <c r="N12" s="142"/>
      <c r="O12" s="569"/>
      <c r="P12" s="543"/>
      <c r="Q12" s="543"/>
      <c r="R12" s="75"/>
      <c r="S12" s="102"/>
      <c r="T12" s="169"/>
      <c r="U12" s="265"/>
      <c r="V12" s="174"/>
      <c r="W12" s="34"/>
    </row>
    <row r="13" spans="1:23" s="5" customFormat="1" ht="187" customHeight="1" x14ac:dyDescent="0.35">
      <c r="A13" s="8"/>
      <c r="B13" s="12"/>
      <c r="C13" s="144"/>
      <c r="D13" s="101"/>
      <c r="E13" s="99"/>
      <c r="F13" s="130"/>
      <c r="G13" s="8"/>
      <c r="H13" s="8"/>
      <c r="I13" s="26"/>
      <c r="J13" s="25"/>
      <c r="K13" s="8"/>
      <c r="L13" s="8"/>
      <c r="M13" s="135"/>
      <c r="N13" s="38"/>
      <c r="O13" s="569"/>
      <c r="P13" s="543"/>
      <c r="Q13" s="543"/>
      <c r="R13" s="75"/>
      <c r="S13" s="102"/>
      <c r="T13" s="169"/>
      <c r="U13" s="265"/>
      <c r="V13" s="174"/>
      <c r="W13" s="34"/>
    </row>
    <row r="14" spans="1:23" s="5" customFormat="1" ht="173.5" customHeight="1" x14ac:dyDescent="0.35">
      <c r="A14" s="8"/>
      <c r="B14" s="12"/>
      <c r="C14" s="144"/>
      <c r="D14" s="139"/>
      <c r="E14" s="99"/>
      <c r="F14" s="130"/>
      <c r="G14" s="8"/>
      <c r="H14" s="8"/>
      <c r="I14" s="26"/>
      <c r="J14" s="26"/>
      <c r="K14" s="8"/>
      <c r="L14" s="8"/>
      <c r="M14" s="135"/>
      <c r="N14" s="142"/>
      <c r="O14" s="569"/>
      <c r="P14" s="543"/>
      <c r="Q14" s="543"/>
      <c r="R14" s="75"/>
      <c r="S14" s="102"/>
      <c r="T14" s="169"/>
      <c r="U14" s="174"/>
      <c r="V14" s="174"/>
      <c r="W14" s="34"/>
    </row>
    <row r="15" spans="1:23" s="5" customFormat="1" ht="166" customHeight="1" x14ac:dyDescent="0.35">
      <c r="A15" s="8"/>
      <c r="B15" s="12"/>
      <c r="C15" s="144"/>
      <c r="D15" s="139"/>
      <c r="E15" s="99"/>
      <c r="F15" s="130"/>
      <c r="G15" s="8"/>
      <c r="H15" s="8"/>
      <c r="I15" s="26"/>
      <c r="J15" s="26"/>
      <c r="K15" s="8"/>
      <c r="L15" s="8"/>
      <c r="M15" s="135"/>
      <c r="N15" s="142"/>
      <c r="O15" s="569"/>
      <c r="P15" s="543"/>
      <c r="Q15" s="543"/>
      <c r="R15" s="75"/>
      <c r="S15" s="102"/>
      <c r="T15" s="169"/>
      <c r="U15" s="174"/>
      <c r="V15" s="174"/>
      <c r="W15" s="34"/>
    </row>
    <row r="16" spans="1:23" s="5" customFormat="1" ht="173.15" customHeight="1" x14ac:dyDescent="0.35">
      <c r="A16" s="8"/>
      <c r="B16" s="12"/>
      <c r="C16" s="144"/>
      <c r="D16" s="139"/>
      <c r="E16" s="99"/>
      <c r="F16" s="130"/>
      <c r="G16" s="8"/>
      <c r="H16" s="8"/>
      <c r="I16" s="26"/>
      <c r="J16" s="26"/>
      <c r="K16" s="8"/>
      <c r="L16" s="8"/>
      <c r="M16" s="135"/>
      <c r="N16" s="38"/>
      <c r="O16" s="569"/>
      <c r="P16" s="543"/>
      <c r="Q16" s="543"/>
      <c r="R16" s="75"/>
      <c r="S16" s="102"/>
      <c r="T16" s="169"/>
      <c r="U16" s="174"/>
      <c r="V16" s="174"/>
      <c r="W16" s="34"/>
    </row>
    <row r="17" spans="1:23" s="5" customFormat="1" ht="115.5" customHeight="1" x14ac:dyDescent="0.35">
      <c r="A17" s="8"/>
      <c r="B17" s="13"/>
      <c r="C17" s="144"/>
      <c r="D17" s="8"/>
      <c r="E17" s="8"/>
      <c r="F17" s="8"/>
      <c r="G17" s="8"/>
      <c r="H17" s="8"/>
      <c r="I17" s="26"/>
      <c r="J17" s="26"/>
      <c r="K17" s="8"/>
      <c r="L17" s="8"/>
      <c r="M17" s="138"/>
      <c r="N17" s="75"/>
      <c r="O17" s="221"/>
      <c r="P17" s="120"/>
      <c r="Q17" s="121"/>
      <c r="R17" s="75"/>
      <c r="S17" s="102"/>
      <c r="T17" s="169"/>
      <c r="U17" s="174"/>
      <c r="V17" s="174"/>
      <c r="W17" s="34"/>
    </row>
    <row r="18" spans="1:23" s="3" customFormat="1" ht="79.5" customHeight="1" x14ac:dyDescent="0.35">
      <c r="A18" s="8"/>
      <c r="B18" s="12"/>
      <c r="C18" s="144"/>
      <c r="D18" s="8"/>
      <c r="E18" s="8"/>
      <c r="F18" s="8"/>
      <c r="G18" s="8"/>
      <c r="H18" s="8"/>
      <c r="I18" s="26"/>
      <c r="J18" s="26"/>
      <c r="K18" s="8"/>
      <c r="L18" s="8"/>
      <c r="M18" s="9"/>
      <c r="N18" s="119"/>
      <c r="O18" s="38"/>
      <c r="P18" s="38"/>
      <c r="Q18" s="38"/>
      <c r="R18" s="38"/>
      <c r="S18" s="102"/>
      <c r="T18" s="169"/>
      <c r="U18" s="174"/>
      <c r="V18" s="174"/>
      <c r="W18" s="34"/>
    </row>
    <row r="19" spans="1:23" s="3" customFormat="1" ht="223.5" customHeight="1" x14ac:dyDescent="0.35">
      <c r="A19" s="8"/>
      <c r="B19" s="13"/>
      <c r="C19" s="144"/>
      <c r="D19" s="8"/>
      <c r="E19" s="8"/>
      <c r="F19" s="8"/>
      <c r="G19" s="8"/>
      <c r="H19" s="8"/>
      <c r="I19" s="26"/>
      <c r="J19" s="26"/>
      <c r="K19" s="8"/>
      <c r="L19" s="8"/>
      <c r="M19" s="9"/>
      <c r="N19" s="9"/>
      <c r="O19" s="77"/>
      <c r="P19" s="77"/>
      <c r="Q19" s="77"/>
      <c r="R19" s="38"/>
      <c r="S19" s="102"/>
      <c r="T19" s="169"/>
      <c r="U19" s="174"/>
      <c r="V19" s="174"/>
      <c r="W19" s="34"/>
    </row>
    <row r="20" spans="1:23" s="3" customFormat="1" ht="79.5" customHeight="1" x14ac:dyDescent="0.35">
      <c r="A20" s="8"/>
      <c r="B20" s="12"/>
      <c r="C20" s="144"/>
      <c r="D20" s="8"/>
      <c r="E20" s="8"/>
      <c r="F20" s="8"/>
      <c r="G20" s="8"/>
      <c r="H20" s="8"/>
      <c r="I20" s="26"/>
      <c r="J20" s="27"/>
      <c r="K20" s="8"/>
      <c r="L20" s="8"/>
      <c r="M20" s="9"/>
      <c r="N20" s="9"/>
      <c r="O20" s="8"/>
      <c r="P20" s="8"/>
      <c r="Q20" s="8"/>
      <c r="R20" s="38"/>
      <c r="S20" s="102"/>
      <c r="T20" s="169"/>
      <c r="U20" s="174"/>
      <c r="V20" s="174"/>
      <c r="W20" s="34"/>
    </row>
    <row r="21" spans="1:23" s="3" customFormat="1" ht="79.5" customHeight="1" x14ac:dyDescent="0.35">
      <c r="A21" s="8"/>
      <c r="B21" s="12"/>
      <c r="C21" s="144"/>
      <c r="D21" s="8"/>
      <c r="E21" s="8"/>
      <c r="F21" s="8"/>
      <c r="G21" s="8"/>
      <c r="H21" s="8"/>
      <c r="I21" s="26"/>
      <c r="J21" s="26"/>
      <c r="K21" s="8"/>
      <c r="L21" s="8"/>
      <c r="M21" s="9"/>
      <c r="N21" s="9"/>
      <c r="O21" s="8"/>
      <c r="P21" s="8"/>
      <c r="Q21" s="8"/>
      <c r="R21" s="38"/>
      <c r="S21" s="102"/>
      <c r="T21" s="169"/>
      <c r="U21" s="174"/>
      <c r="V21" s="174"/>
      <c r="W21" s="34"/>
    </row>
    <row r="22" spans="1:23" s="3" customFormat="1" ht="79.5" customHeight="1" x14ac:dyDescent="0.35">
      <c r="A22" s="8"/>
      <c r="B22" s="12"/>
      <c r="C22" s="144"/>
      <c r="D22" s="8"/>
      <c r="E22" s="8"/>
      <c r="F22" s="8"/>
      <c r="G22" s="8"/>
      <c r="H22" s="8"/>
      <c r="I22" s="26"/>
      <c r="J22" s="26"/>
      <c r="K22" s="8"/>
      <c r="L22" s="8"/>
      <c r="M22" s="9"/>
      <c r="N22" s="9"/>
      <c r="O22" s="8"/>
      <c r="P22" s="8"/>
      <c r="Q22" s="8"/>
      <c r="R22" s="38"/>
      <c r="S22" s="102"/>
      <c r="T22" s="169"/>
      <c r="U22" s="174"/>
      <c r="V22" s="174"/>
      <c r="W22" s="34"/>
    </row>
    <row r="23" spans="1:23" s="3" customFormat="1" ht="79.5" customHeight="1" x14ac:dyDescent="0.35">
      <c r="A23" s="8"/>
      <c r="B23" s="12"/>
      <c r="C23" s="144"/>
      <c r="D23" s="8"/>
      <c r="E23" s="8"/>
      <c r="F23" s="8"/>
      <c r="G23" s="8"/>
      <c r="H23" s="8"/>
      <c r="I23" s="26"/>
      <c r="J23" s="26"/>
      <c r="K23" s="8"/>
      <c r="L23" s="8"/>
      <c r="M23" s="9"/>
      <c r="N23" s="9"/>
      <c r="O23" s="8"/>
      <c r="P23" s="8"/>
      <c r="Q23" s="8"/>
      <c r="R23" s="38"/>
      <c r="S23" s="102"/>
      <c r="T23" s="169"/>
      <c r="U23" s="174"/>
      <c r="V23" s="174"/>
      <c r="W23" s="34"/>
    </row>
    <row r="24" spans="1:23" s="3" customFormat="1" ht="79.5" customHeight="1" x14ac:dyDescent="0.35">
      <c r="A24" s="8"/>
      <c r="B24" s="12"/>
      <c r="C24" s="144"/>
      <c r="D24" s="8"/>
      <c r="E24" s="8"/>
      <c r="F24" s="8"/>
      <c r="G24" s="8"/>
      <c r="H24" s="8"/>
      <c r="I24" s="26"/>
      <c r="J24" s="26"/>
      <c r="K24" s="8"/>
      <c r="L24" s="8"/>
      <c r="M24" s="9"/>
      <c r="N24" s="9"/>
      <c r="O24" s="8"/>
      <c r="P24" s="8"/>
      <c r="Q24" s="8"/>
      <c r="R24" s="38"/>
      <c r="S24" s="102"/>
      <c r="T24" s="169"/>
      <c r="U24" s="174"/>
      <c r="V24" s="174"/>
      <c r="W24" s="34"/>
    </row>
    <row r="25" spans="1:23" s="3" customFormat="1" ht="79.5" customHeight="1" x14ac:dyDescent="0.35">
      <c r="A25" s="8"/>
      <c r="B25" s="12"/>
      <c r="C25" s="144"/>
      <c r="D25" s="8"/>
      <c r="E25" s="8"/>
      <c r="F25" s="8"/>
      <c r="G25" s="8"/>
      <c r="H25" s="8"/>
      <c r="I25" s="26"/>
      <c r="J25" s="26"/>
      <c r="K25" s="8"/>
      <c r="L25" s="8"/>
      <c r="M25" s="9"/>
      <c r="N25" s="9"/>
      <c r="O25" s="80"/>
      <c r="P25" s="80"/>
      <c r="Q25" s="80"/>
      <c r="R25" s="38"/>
      <c r="S25" s="102"/>
      <c r="T25" s="169"/>
      <c r="U25" s="174"/>
      <c r="V25" s="174"/>
      <c r="W25" s="34"/>
    </row>
    <row r="26" spans="1:23" s="3" customFormat="1" ht="79.5" customHeight="1" x14ac:dyDescent="0.35">
      <c r="A26" s="8"/>
      <c r="B26" s="12"/>
      <c r="C26" s="144"/>
      <c r="D26" s="8"/>
      <c r="E26" s="8"/>
      <c r="F26" s="8"/>
      <c r="G26" s="8"/>
      <c r="H26" s="8"/>
      <c r="I26" s="26"/>
      <c r="J26" s="26"/>
      <c r="K26" s="8"/>
      <c r="L26" s="8"/>
      <c r="M26" s="9"/>
      <c r="N26" s="138"/>
      <c r="O26" s="38"/>
      <c r="P26" s="38"/>
      <c r="Q26" s="38"/>
      <c r="R26" s="38"/>
      <c r="S26" s="102"/>
      <c r="T26" s="169"/>
      <c r="U26" s="174"/>
      <c r="V26" s="174"/>
      <c r="W26" s="34"/>
    </row>
    <row r="27" spans="1:23" ht="79.5" customHeight="1" x14ac:dyDescent="0.4">
      <c r="A27" s="19"/>
      <c r="B27" s="20"/>
      <c r="C27" s="144"/>
      <c r="D27" s="19"/>
      <c r="E27" s="19"/>
      <c r="F27" s="19"/>
      <c r="G27" s="19"/>
      <c r="H27" s="19"/>
      <c r="I27" s="28"/>
      <c r="J27" s="28"/>
      <c r="K27" s="19"/>
      <c r="L27" s="19"/>
      <c r="M27" s="21"/>
      <c r="N27" s="138"/>
      <c r="O27" s="38"/>
      <c r="P27" s="38"/>
      <c r="Q27" s="38"/>
      <c r="R27" s="38"/>
      <c r="S27" s="178"/>
      <c r="T27" s="170"/>
      <c r="U27" s="174"/>
      <c r="V27" s="175"/>
      <c r="W27" s="34"/>
    </row>
    <row r="28" spans="1:23" x14ac:dyDescent="0.35">
      <c r="U28" s="235"/>
    </row>
    <row r="29" spans="1:23" x14ac:dyDescent="0.35">
      <c r="U29" s="235"/>
    </row>
    <row r="30" spans="1:23" x14ac:dyDescent="0.35">
      <c r="U30" s="235"/>
    </row>
    <row r="31" spans="1:23" x14ac:dyDescent="0.35">
      <c r="U31" s="235"/>
    </row>
    <row r="32" spans="1:23" x14ac:dyDescent="0.35">
      <c r="U32" s="235"/>
    </row>
    <row r="33" spans="21:21" x14ac:dyDescent="0.35">
      <c r="U33" s="235"/>
    </row>
    <row r="34" spans="21:21" x14ac:dyDescent="0.35">
      <c r="U34" s="235"/>
    </row>
    <row r="35" spans="21:21" x14ac:dyDescent="0.35">
      <c r="U35" s="235"/>
    </row>
    <row r="36" spans="21:21" x14ac:dyDescent="0.35">
      <c r="U36" s="235"/>
    </row>
    <row r="37" spans="21:21" x14ac:dyDescent="0.35">
      <c r="U37" s="235"/>
    </row>
    <row r="38" spans="21:21" x14ac:dyDescent="0.35">
      <c r="U38" s="235"/>
    </row>
    <row r="39" spans="21:21" x14ac:dyDescent="0.35">
      <c r="U39" s="235"/>
    </row>
    <row r="40" spans="21:21" x14ac:dyDescent="0.35">
      <c r="U40" s="235"/>
    </row>
    <row r="41" spans="21:21" x14ac:dyDescent="0.35">
      <c r="U41" s="235"/>
    </row>
    <row r="42" spans="21:21" x14ac:dyDescent="0.35">
      <c r="U42" s="235"/>
    </row>
    <row r="43" spans="21:21" x14ac:dyDescent="0.35">
      <c r="U43" s="235"/>
    </row>
    <row r="44" spans="21:21" x14ac:dyDescent="0.35">
      <c r="U44" s="235"/>
    </row>
    <row r="45" spans="21:21" x14ac:dyDescent="0.35">
      <c r="U45" s="235"/>
    </row>
    <row r="46" spans="21:21" x14ac:dyDescent="0.35">
      <c r="U46" s="235"/>
    </row>
    <row r="47" spans="21:21" x14ac:dyDescent="0.35">
      <c r="U47" s="235"/>
    </row>
    <row r="48" spans="21:21" x14ac:dyDescent="0.35">
      <c r="U48" s="235"/>
    </row>
    <row r="49" spans="21:21" x14ac:dyDescent="0.35">
      <c r="U49" s="235"/>
    </row>
    <row r="50" spans="21:21" x14ac:dyDescent="0.35">
      <c r="U50" s="235"/>
    </row>
    <row r="51" spans="21:21" x14ac:dyDescent="0.35">
      <c r="U51" s="235"/>
    </row>
    <row r="52" spans="21:21" x14ac:dyDescent="0.35">
      <c r="U52" s="235"/>
    </row>
    <row r="53" spans="21:21" x14ac:dyDescent="0.35">
      <c r="U53" s="235"/>
    </row>
    <row r="54" spans="21:21" x14ac:dyDescent="0.35">
      <c r="U54" s="235"/>
    </row>
    <row r="55" spans="21:21" x14ac:dyDescent="0.35">
      <c r="U55" s="235"/>
    </row>
    <row r="56" spans="21:21" x14ac:dyDescent="0.35">
      <c r="U56" s="235"/>
    </row>
    <row r="57" spans="21:21" x14ac:dyDescent="0.35">
      <c r="U57" s="235"/>
    </row>
    <row r="58" spans="21:21" x14ac:dyDescent="0.35">
      <c r="U58" s="235"/>
    </row>
    <row r="59" spans="21:21" x14ac:dyDescent="0.35">
      <c r="U59" s="235"/>
    </row>
    <row r="60" spans="21:21" x14ac:dyDescent="0.35">
      <c r="U60" s="235"/>
    </row>
    <row r="61" spans="21:21" x14ac:dyDescent="0.35">
      <c r="U61" s="235"/>
    </row>
    <row r="62" spans="21:21" x14ac:dyDescent="0.35">
      <c r="U62" s="235"/>
    </row>
    <row r="63" spans="21:21" x14ac:dyDescent="0.35">
      <c r="U63" s="235"/>
    </row>
    <row r="64" spans="21:21" x14ac:dyDescent="0.35">
      <c r="U64" s="235"/>
    </row>
    <row r="65" spans="21:21" x14ac:dyDescent="0.35">
      <c r="U65" s="235"/>
    </row>
    <row r="66" spans="21:21" x14ac:dyDescent="0.35">
      <c r="U66" s="235"/>
    </row>
    <row r="67" spans="21:21" x14ac:dyDescent="0.35">
      <c r="U67" s="235"/>
    </row>
    <row r="68" spans="21:21" x14ac:dyDescent="0.35">
      <c r="U68" s="235"/>
    </row>
    <row r="69" spans="21:21" x14ac:dyDescent="0.35">
      <c r="U69" s="235"/>
    </row>
    <row r="70" spans="21:21" x14ac:dyDescent="0.35">
      <c r="U70" s="235"/>
    </row>
    <row r="71" spans="21:21" x14ac:dyDescent="0.35">
      <c r="U71" s="235"/>
    </row>
    <row r="72" spans="21:21" x14ac:dyDescent="0.35">
      <c r="U72" s="235"/>
    </row>
    <row r="73" spans="21:21" x14ac:dyDescent="0.35">
      <c r="U73" s="235"/>
    </row>
    <row r="74" spans="21:21" x14ac:dyDescent="0.35">
      <c r="U74" s="235"/>
    </row>
    <row r="75" spans="21:21" x14ac:dyDescent="0.35">
      <c r="U75" s="235"/>
    </row>
    <row r="76" spans="21:21" x14ac:dyDescent="0.35">
      <c r="U76" s="235"/>
    </row>
    <row r="77" spans="21:21" x14ac:dyDescent="0.35">
      <c r="U77" s="235"/>
    </row>
    <row r="78" spans="21:21" x14ac:dyDescent="0.35">
      <c r="U78" s="235"/>
    </row>
    <row r="79" spans="21:21" x14ac:dyDescent="0.35">
      <c r="U79" s="235"/>
    </row>
    <row r="80" spans="21:21" x14ac:dyDescent="0.35">
      <c r="U80" s="235"/>
    </row>
    <row r="81" spans="21:21" x14ac:dyDescent="0.35">
      <c r="U81" s="235"/>
    </row>
    <row r="82" spans="21:21" x14ac:dyDescent="0.35">
      <c r="U82" s="235"/>
    </row>
    <row r="83" spans="21:21" x14ac:dyDescent="0.35">
      <c r="U83" s="235"/>
    </row>
    <row r="84" spans="21:21" x14ac:dyDescent="0.35">
      <c r="U84" s="235"/>
    </row>
    <row r="85" spans="21:21" x14ac:dyDescent="0.35">
      <c r="U85" s="235"/>
    </row>
    <row r="86" spans="21:21" x14ac:dyDescent="0.35">
      <c r="U86" s="235"/>
    </row>
    <row r="87" spans="21:21" x14ac:dyDescent="0.35">
      <c r="U87" s="235"/>
    </row>
    <row r="88" spans="21:21" x14ac:dyDescent="0.35">
      <c r="U88" s="235"/>
    </row>
    <row r="89" spans="21:21" x14ac:dyDescent="0.35">
      <c r="U89" s="235"/>
    </row>
    <row r="90" spans="21:21" x14ac:dyDescent="0.35">
      <c r="U90" s="235"/>
    </row>
    <row r="91" spans="21:21" x14ac:dyDescent="0.35">
      <c r="U91" s="235"/>
    </row>
    <row r="92" spans="21:21" x14ac:dyDescent="0.35">
      <c r="U92" s="235"/>
    </row>
    <row r="93" spans="21:21" x14ac:dyDescent="0.35">
      <c r="U93" s="235"/>
    </row>
    <row r="94" spans="21:21" x14ac:dyDescent="0.35">
      <c r="U94" s="235"/>
    </row>
    <row r="95" spans="21:21" x14ac:dyDescent="0.35">
      <c r="U95" s="235"/>
    </row>
    <row r="96" spans="21:21" x14ac:dyDescent="0.35">
      <c r="U96" s="235"/>
    </row>
    <row r="97" spans="21:21" x14ac:dyDescent="0.35">
      <c r="U97" s="235"/>
    </row>
    <row r="98" spans="21:21" x14ac:dyDescent="0.35">
      <c r="U98" s="235"/>
    </row>
    <row r="99" spans="21:21" x14ac:dyDescent="0.35">
      <c r="U99" s="235"/>
    </row>
    <row r="100" spans="21:21" x14ac:dyDescent="0.35">
      <c r="U100" s="235"/>
    </row>
    <row r="101" spans="21:21" x14ac:dyDescent="0.35">
      <c r="U101" s="235"/>
    </row>
    <row r="102" spans="21:21" x14ac:dyDescent="0.35">
      <c r="U102" s="235"/>
    </row>
    <row r="103" spans="21:21" x14ac:dyDescent="0.35">
      <c r="U103" s="235"/>
    </row>
    <row r="104" spans="21:21" x14ac:dyDescent="0.35">
      <c r="U104" s="235"/>
    </row>
    <row r="105" spans="21:21" x14ac:dyDescent="0.35">
      <c r="U105" s="235"/>
    </row>
    <row r="106" spans="21:21" x14ac:dyDescent="0.35">
      <c r="U106" s="235"/>
    </row>
    <row r="107" spans="21:21" x14ac:dyDescent="0.35">
      <c r="U107" s="235"/>
    </row>
    <row r="108" spans="21:21" x14ac:dyDescent="0.35">
      <c r="U108" s="235"/>
    </row>
    <row r="109" spans="21:21" x14ac:dyDescent="0.35">
      <c r="U109" s="235"/>
    </row>
    <row r="110" spans="21:21" x14ac:dyDescent="0.35">
      <c r="U110" s="235"/>
    </row>
    <row r="111" spans="21:21" x14ac:dyDescent="0.35">
      <c r="U111" s="235"/>
    </row>
    <row r="112" spans="21:21" x14ac:dyDescent="0.35">
      <c r="U112" s="235"/>
    </row>
    <row r="113" spans="21:21" x14ac:dyDescent="0.35">
      <c r="U113" s="235"/>
    </row>
    <row r="114" spans="21:21" x14ac:dyDescent="0.35">
      <c r="U114" s="235"/>
    </row>
    <row r="115" spans="21:21" x14ac:dyDescent="0.35">
      <c r="U115" s="235"/>
    </row>
    <row r="116" spans="21:21" x14ac:dyDescent="0.35">
      <c r="U116" s="235"/>
    </row>
    <row r="117" spans="21:21" x14ac:dyDescent="0.35">
      <c r="U117" s="235"/>
    </row>
    <row r="118" spans="21:21" x14ac:dyDescent="0.35">
      <c r="U118" s="235"/>
    </row>
    <row r="119" spans="21:21" x14ac:dyDescent="0.35">
      <c r="U119" s="235"/>
    </row>
    <row r="120" spans="21:21" x14ac:dyDescent="0.35">
      <c r="U120" s="235"/>
    </row>
    <row r="121" spans="21:21" x14ac:dyDescent="0.35">
      <c r="U121" s="235"/>
    </row>
    <row r="122" spans="21:21" x14ac:dyDescent="0.35">
      <c r="U122" s="235"/>
    </row>
    <row r="123" spans="21:21" x14ac:dyDescent="0.35">
      <c r="U123" s="235"/>
    </row>
    <row r="124" spans="21:21" x14ac:dyDescent="0.35">
      <c r="U124" s="235"/>
    </row>
    <row r="125" spans="21:21" x14ac:dyDescent="0.35">
      <c r="U125" s="235"/>
    </row>
    <row r="126" spans="21:21" x14ac:dyDescent="0.35">
      <c r="U126" s="235"/>
    </row>
    <row r="127" spans="21:21" x14ac:dyDescent="0.35">
      <c r="U127" s="235"/>
    </row>
    <row r="128" spans="21:21" x14ac:dyDescent="0.35">
      <c r="U128" s="235"/>
    </row>
    <row r="129" spans="21:21" x14ac:dyDescent="0.35">
      <c r="U129" s="235"/>
    </row>
    <row r="130" spans="21:21" x14ac:dyDescent="0.35">
      <c r="U130" s="235"/>
    </row>
    <row r="131" spans="21:21" x14ac:dyDescent="0.35">
      <c r="U131" s="235"/>
    </row>
    <row r="132" spans="21:21" x14ac:dyDescent="0.35">
      <c r="U132" s="235"/>
    </row>
    <row r="133" spans="21:21" x14ac:dyDescent="0.35">
      <c r="U133" s="235"/>
    </row>
    <row r="134" spans="21:21" x14ac:dyDescent="0.35">
      <c r="U134" s="235"/>
    </row>
    <row r="135" spans="21:21" x14ac:dyDescent="0.35">
      <c r="U135" s="235"/>
    </row>
    <row r="136" spans="21:21" x14ac:dyDescent="0.35">
      <c r="U136" s="235"/>
    </row>
    <row r="137" spans="21:21" x14ac:dyDescent="0.35">
      <c r="U137" s="235"/>
    </row>
    <row r="138" spans="21:21" x14ac:dyDescent="0.35">
      <c r="U138" s="235"/>
    </row>
    <row r="139" spans="21:21" x14ac:dyDescent="0.35">
      <c r="U139" s="235"/>
    </row>
    <row r="140" spans="21:21" x14ac:dyDescent="0.35">
      <c r="U140" s="235"/>
    </row>
    <row r="141" spans="21:21" x14ac:dyDescent="0.35">
      <c r="U141" s="235"/>
    </row>
    <row r="142" spans="21:21" x14ac:dyDescent="0.35">
      <c r="U142" s="235"/>
    </row>
    <row r="143" spans="21:21" x14ac:dyDescent="0.35">
      <c r="U143" s="235"/>
    </row>
    <row r="144" spans="21:21" x14ac:dyDescent="0.35">
      <c r="U144" s="235"/>
    </row>
    <row r="145" spans="21:21" x14ac:dyDescent="0.35">
      <c r="U145" s="235"/>
    </row>
    <row r="146" spans="21:21" x14ac:dyDescent="0.35">
      <c r="U146" s="235"/>
    </row>
    <row r="147" spans="21:21" x14ac:dyDescent="0.35">
      <c r="U147" s="235"/>
    </row>
    <row r="148" spans="21:21" x14ac:dyDescent="0.35">
      <c r="U148" s="235"/>
    </row>
    <row r="149" spans="21:21" x14ac:dyDescent="0.35">
      <c r="U149" s="235"/>
    </row>
    <row r="150" spans="21:21" x14ac:dyDescent="0.35">
      <c r="U150" s="235"/>
    </row>
    <row r="151" spans="21:21" x14ac:dyDescent="0.35">
      <c r="U151" s="235"/>
    </row>
    <row r="152" spans="21:21" x14ac:dyDescent="0.35">
      <c r="U152" s="235"/>
    </row>
    <row r="153" spans="21:21" x14ac:dyDescent="0.35">
      <c r="U153" s="235"/>
    </row>
    <row r="154" spans="21:21" x14ac:dyDescent="0.35">
      <c r="U154" s="235"/>
    </row>
    <row r="155" spans="21:21" x14ac:dyDescent="0.35">
      <c r="U155" s="235"/>
    </row>
    <row r="156" spans="21:21" x14ac:dyDescent="0.35">
      <c r="U156" s="235"/>
    </row>
    <row r="157" spans="21:21" x14ac:dyDescent="0.35">
      <c r="U157" s="235"/>
    </row>
    <row r="158" spans="21:21" x14ac:dyDescent="0.35">
      <c r="U158" s="235"/>
    </row>
    <row r="159" spans="21:21" x14ac:dyDescent="0.35">
      <c r="U159" s="235"/>
    </row>
    <row r="160" spans="21:21" x14ac:dyDescent="0.35">
      <c r="U160" s="235"/>
    </row>
    <row r="161" spans="21:21" x14ac:dyDescent="0.35">
      <c r="U161" s="235"/>
    </row>
    <row r="162" spans="21:21" x14ac:dyDescent="0.35">
      <c r="U162" s="235"/>
    </row>
    <row r="163" spans="21:21" x14ac:dyDescent="0.35">
      <c r="U163" s="235"/>
    </row>
    <row r="164" spans="21:21" x14ac:dyDescent="0.35">
      <c r="U164" s="235"/>
    </row>
    <row r="165" spans="21:21" x14ac:dyDescent="0.35">
      <c r="U165" s="235"/>
    </row>
    <row r="166" spans="21:21" x14ac:dyDescent="0.35">
      <c r="U166" s="235"/>
    </row>
    <row r="167" spans="21:21" x14ac:dyDescent="0.35">
      <c r="U167" s="235"/>
    </row>
    <row r="168" spans="21:21" x14ac:dyDescent="0.35">
      <c r="U168" s="235"/>
    </row>
    <row r="169" spans="21:21" x14ac:dyDescent="0.35">
      <c r="U169" s="235"/>
    </row>
    <row r="170" spans="21:21" x14ac:dyDescent="0.35">
      <c r="U170" s="235"/>
    </row>
    <row r="171" spans="21:21" x14ac:dyDescent="0.35">
      <c r="U171" s="235"/>
    </row>
    <row r="172" spans="21:21" x14ac:dyDescent="0.35">
      <c r="U172" s="235"/>
    </row>
    <row r="173" spans="21:21" x14ac:dyDescent="0.35">
      <c r="U173" s="235"/>
    </row>
    <row r="174" spans="21:21" x14ac:dyDescent="0.35">
      <c r="U174" s="235"/>
    </row>
    <row r="175" spans="21:21" x14ac:dyDescent="0.35">
      <c r="U175" s="235"/>
    </row>
    <row r="176" spans="21:21" x14ac:dyDescent="0.35">
      <c r="U176" s="235"/>
    </row>
    <row r="177" spans="21:21" x14ac:dyDescent="0.35">
      <c r="U177" s="235"/>
    </row>
    <row r="178" spans="21:21" x14ac:dyDescent="0.35">
      <c r="U178" s="235"/>
    </row>
    <row r="179" spans="21:21" x14ac:dyDescent="0.35">
      <c r="U179" s="235"/>
    </row>
    <row r="180" spans="21:21" x14ac:dyDescent="0.35">
      <c r="U180" s="235"/>
    </row>
    <row r="181" spans="21:21" x14ac:dyDescent="0.35">
      <c r="U181" s="235"/>
    </row>
    <row r="182" spans="21:21" x14ac:dyDescent="0.35">
      <c r="U182" s="235"/>
    </row>
    <row r="183" spans="21:21" x14ac:dyDescent="0.35">
      <c r="U183" s="235"/>
    </row>
    <row r="184" spans="21:21" x14ac:dyDescent="0.35">
      <c r="U184" s="235"/>
    </row>
    <row r="185" spans="21:21" x14ac:dyDescent="0.35">
      <c r="U185" s="235"/>
    </row>
    <row r="186" spans="21:21" x14ac:dyDescent="0.35">
      <c r="U186" s="235"/>
    </row>
    <row r="187" spans="21:21" x14ac:dyDescent="0.35">
      <c r="U187" s="235"/>
    </row>
    <row r="188" spans="21:21" x14ac:dyDescent="0.35">
      <c r="U188" s="235"/>
    </row>
    <row r="189" spans="21:21" x14ac:dyDescent="0.35">
      <c r="U189" s="235"/>
    </row>
    <row r="190" spans="21:21" x14ac:dyDescent="0.35">
      <c r="U190" s="235"/>
    </row>
    <row r="191" spans="21:21" x14ac:dyDescent="0.35">
      <c r="U191" s="235"/>
    </row>
    <row r="192" spans="21:21" x14ac:dyDescent="0.35">
      <c r="U192" s="235"/>
    </row>
    <row r="193" spans="21:21" x14ac:dyDescent="0.35">
      <c r="U193" s="235"/>
    </row>
    <row r="194" spans="21:21" x14ac:dyDescent="0.35">
      <c r="U194" s="235"/>
    </row>
    <row r="195" spans="21:21" x14ac:dyDescent="0.35">
      <c r="U195" s="235"/>
    </row>
    <row r="196" spans="21:21" x14ac:dyDescent="0.35">
      <c r="U196" s="235"/>
    </row>
    <row r="197" spans="21:21" x14ac:dyDescent="0.35">
      <c r="U197" s="235"/>
    </row>
    <row r="198" spans="21:21" x14ac:dyDescent="0.35">
      <c r="U198" s="235"/>
    </row>
    <row r="199" spans="21:21" x14ac:dyDescent="0.35">
      <c r="U199" s="235"/>
    </row>
    <row r="200" spans="21:21" x14ac:dyDescent="0.35">
      <c r="U200" s="235"/>
    </row>
    <row r="201" spans="21:21" x14ac:dyDescent="0.35">
      <c r="U201" s="235"/>
    </row>
    <row r="202" spans="21:21" x14ac:dyDescent="0.35">
      <c r="U202" s="235"/>
    </row>
    <row r="203" spans="21:21" x14ac:dyDescent="0.35">
      <c r="U203" s="235"/>
    </row>
    <row r="204" spans="21:21" x14ac:dyDescent="0.35">
      <c r="U204" s="235"/>
    </row>
    <row r="205" spans="21:21" x14ac:dyDescent="0.35">
      <c r="U205" s="235"/>
    </row>
    <row r="206" spans="21:21" x14ac:dyDescent="0.35">
      <c r="U206" s="235"/>
    </row>
    <row r="207" spans="21:21" x14ac:dyDescent="0.35">
      <c r="U207" s="235"/>
    </row>
    <row r="208" spans="21:21" x14ac:dyDescent="0.35">
      <c r="U208" s="235"/>
    </row>
    <row r="209" spans="21:21" x14ac:dyDescent="0.35">
      <c r="U209" s="235"/>
    </row>
    <row r="210" spans="21:21" x14ac:dyDescent="0.35">
      <c r="U210" s="235"/>
    </row>
    <row r="211" spans="21:21" x14ac:dyDescent="0.35">
      <c r="U211" s="235"/>
    </row>
    <row r="212" spans="21:21" x14ac:dyDescent="0.35">
      <c r="U212" s="235"/>
    </row>
    <row r="213" spans="21:21" x14ac:dyDescent="0.35">
      <c r="U213" s="235"/>
    </row>
    <row r="214" spans="21:21" x14ac:dyDescent="0.35">
      <c r="U214" s="235"/>
    </row>
    <row r="215" spans="21:21" x14ac:dyDescent="0.35">
      <c r="U215" s="235"/>
    </row>
    <row r="216" spans="21:21" x14ac:dyDescent="0.35">
      <c r="U216" s="235"/>
    </row>
    <row r="217" spans="21:21" x14ac:dyDescent="0.35">
      <c r="U217" s="235"/>
    </row>
    <row r="218" spans="21:21" x14ac:dyDescent="0.35">
      <c r="U218" s="235"/>
    </row>
    <row r="219" spans="21:21" x14ac:dyDescent="0.35">
      <c r="U219" s="235"/>
    </row>
    <row r="220" spans="21:21" x14ac:dyDescent="0.35">
      <c r="U220" s="235"/>
    </row>
    <row r="221" spans="21:21" x14ac:dyDescent="0.35">
      <c r="U221" s="235"/>
    </row>
    <row r="222" spans="21:21" x14ac:dyDescent="0.35">
      <c r="U222" s="235"/>
    </row>
    <row r="223" spans="21:21" x14ac:dyDescent="0.35">
      <c r="U223" s="235"/>
    </row>
    <row r="224" spans="21:21" x14ac:dyDescent="0.35">
      <c r="U224" s="235"/>
    </row>
    <row r="225" spans="21:21" x14ac:dyDescent="0.35">
      <c r="U225" s="235"/>
    </row>
    <row r="226" spans="21:21" x14ac:dyDescent="0.35">
      <c r="U226" s="235"/>
    </row>
    <row r="227" spans="21:21" x14ac:dyDescent="0.35">
      <c r="U227" s="235"/>
    </row>
    <row r="228" spans="21:21" x14ac:dyDescent="0.35">
      <c r="U228" s="235"/>
    </row>
    <row r="229" spans="21:21" x14ac:dyDescent="0.35">
      <c r="U229" s="235"/>
    </row>
    <row r="230" spans="21:21" x14ac:dyDescent="0.35">
      <c r="U230" s="235"/>
    </row>
    <row r="231" spans="21:21" x14ac:dyDescent="0.35">
      <c r="U231" s="235"/>
    </row>
    <row r="232" spans="21:21" x14ac:dyDescent="0.35">
      <c r="U232" s="235"/>
    </row>
    <row r="233" spans="21:21" x14ac:dyDescent="0.35">
      <c r="U233" s="235"/>
    </row>
    <row r="234" spans="21:21" x14ac:dyDescent="0.35">
      <c r="U234" s="235"/>
    </row>
    <row r="235" spans="21:21" x14ac:dyDescent="0.35">
      <c r="U235" s="235"/>
    </row>
    <row r="236" spans="21:21" x14ac:dyDescent="0.35">
      <c r="U236" s="235"/>
    </row>
    <row r="237" spans="21:21" x14ac:dyDescent="0.35">
      <c r="U237" s="235"/>
    </row>
    <row r="238" spans="21:21" x14ac:dyDescent="0.35">
      <c r="U238" s="235"/>
    </row>
    <row r="239" spans="21:21" x14ac:dyDescent="0.35">
      <c r="U239" s="235"/>
    </row>
    <row r="240" spans="21:21" x14ac:dyDescent="0.35">
      <c r="U240" s="235"/>
    </row>
    <row r="241" spans="21:21" x14ac:dyDescent="0.35">
      <c r="U241" s="235"/>
    </row>
    <row r="242" spans="21:21" x14ac:dyDescent="0.35">
      <c r="U242" s="235"/>
    </row>
    <row r="243" spans="21:21" x14ac:dyDescent="0.35">
      <c r="U243" s="235"/>
    </row>
    <row r="244" spans="21:21" x14ac:dyDescent="0.35">
      <c r="U244" s="235"/>
    </row>
    <row r="245" spans="21:21" x14ac:dyDescent="0.35">
      <c r="U245" s="235"/>
    </row>
    <row r="246" spans="21:21" x14ac:dyDescent="0.35">
      <c r="U246" s="235"/>
    </row>
    <row r="247" spans="21:21" x14ac:dyDescent="0.35">
      <c r="U247" s="235"/>
    </row>
    <row r="248" spans="21:21" x14ac:dyDescent="0.35">
      <c r="U248" s="235"/>
    </row>
    <row r="249" spans="21:21" x14ac:dyDescent="0.35">
      <c r="U249" s="235"/>
    </row>
    <row r="250" spans="21:21" x14ac:dyDescent="0.35">
      <c r="U250" s="235"/>
    </row>
    <row r="251" spans="21:21" x14ac:dyDescent="0.35">
      <c r="U251" s="235"/>
    </row>
    <row r="252" spans="21:21" x14ac:dyDescent="0.35">
      <c r="U252" s="235"/>
    </row>
    <row r="253" spans="21:21" x14ac:dyDescent="0.35">
      <c r="U253" s="235"/>
    </row>
    <row r="254" spans="21:21" x14ac:dyDescent="0.35">
      <c r="U254" s="235"/>
    </row>
    <row r="255" spans="21:21" x14ac:dyDescent="0.35">
      <c r="U255" s="235"/>
    </row>
    <row r="256" spans="21:21" x14ac:dyDescent="0.35">
      <c r="U256" s="235"/>
    </row>
    <row r="257" spans="21:21" x14ac:dyDescent="0.35">
      <c r="U257" s="235"/>
    </row>
    <row r="258" spans="21:21" x14ac:dyDescent="0.35">
      <c r="U258" s="235"/>
    </row>
    <row r="259" spans="21:21" x14ac:dyDescent="0.35">
      <c r="U259" s="235"/>
    </row>
    <row r="260" spans="21:21" x14ac:dyDescent="0.35">
      <c r="U260" s="235"/>
    </row>
    <row r="261" spans="21:21" x14ac:dyDescent="0.35">
      <c r="U261" s="235"/>
    </row>
    <row r="262" spans="21:21" x14ac:dyDescent="0.35">
      <c r="U262" s="235"/>
    </row>
    <row r="263" spans="21:21" x14ac:dyDescent="0.35">
      <c r="U263" s="235"/>
    </row>
    <row r="264" spans="21:21" x14ac:dyDescent="0.35">
      <c r="U264" s="235"/>
    </row>
    <row r="265" spans="21:21" x14ac:dyDescent="0.35">
      <c r="U265" s="235"/>
    </row>
    <row r="266" spans="21:21" x14ac:dyDescent="0.35">
      <c r="U266" s="235"/>
    </row>
    <row r="267" spans="21:21" x14ac:dyDescent="0.35">
      <c r="U267" s="235"/>
    </row>
    <row r="268" spans="21:21" x14ac:dyDescent="0.35">
      <c r="U268" s="235"/>
    </row>
    <row r="269" spans="21:21" x14ac:dyDescent="0.35">
      <c r="U269" s="235"/>
    </row>
    <row r="270" spans="21:21" x14ac:dyDescent="0.35">
      <c r="U270" s="235"/>
    </row>
    <row r="271" spans="21:21" x14ac:dyDescent="0.35">
      <c r="U271" s="235"/>
    </row>
    <row r="272" spans="21:21" x14ac:dyDescent="0.35">
      <c r="U272" s="235"/>
    </row>
    <row r="273" spans="21:21" x14ac:dyDescent="0.35">
      <c r="U273" s="235"/>
    </row>
    <row r="274" spans="21:21" x14ac:dyDescent="0.35">
      <c r="U274" s="235"/>
    </row>
    <row r="275" spans="21:21" x14ac:dyDescent="0.35">
      <c r="U275" s="235"/>
    </row>
    <row r="276" spans="21:21" x14ac:dyDescent="0.35">
      <c r="U276" s="235"/>
    </row>
    <row r="277" spans="21:21" x14ac:dyDescent="0.35">
      <c r="U277" s="235"/>
    </row>
    <row r="278" spans="21:21" x14ac:dyDescent="0.35">
      <c r="U278" s="235"/>
    </row>
    <row r="279" spans="21:21" x14ac:dyDescent="0.35">
      <c r="U279" s="235"/>
    </row>
    <row r="280" spans="21:21" x14ac:dyDescent="0.35">
      <c r="U280" s="235"/>
    </row>
    <row r="281" spans="21:21" x14ac:dyDescent="0.35">
      <c r="U281" s="235"/>
    </row>
    <row r="282" spans="21:21" x14ac:dyDescent="0.35">
      <c r="U282" s="235"/>
    </row>
    <row r="283" spans="21:21" x14ac:dyDescent="0.35">
      <c r="U283" s="235"/>
    </row>
    <row r="284" spans="21:21" x14ac:dyDescent="0.35">
      <c r="U284" s="235"/>
    </row>
    <row r="285" spans="21:21" x14ac:dyDescent="0.35">
      <c r="U285" s="235"/>
    </row>
    <row r="286" spans="21:21" x14ac:dyDescent="0.35">
      <c r="U286" s="235"/>
    </row>
    <row r="287" spans="21:21" x14ac:dyDescent="0.35">
      <c r="U287" s="235"/>
    </row>
    <row r="288" spans="21:21" x14ac:dyDescent="0.35">
      <c r="U288" s="235"/>
    </row>
    <row r="289" spans="21:21" x14ac:dyDescent="0.35">
      <c r="U289" s="235"/>
    </row>
    <row r="290" spans="21:21" x14ac:dyDescent="0.35">
      <c r="U290" s="235"/>
    </row>
    <row r="291" spans="21:21" x14ac:dyDescent="0.35">
      <c r="U291" s="235"/>
    </row>
    <row r="292" spans="21:21" x14ac:dyDescent="0.35">
      <c r="U292" s="235"/>
    </row>
    <row r="293" spans="21:21" x14ac:dyDescent="0.35">
      <c r="U293" s="235"/>
    </row>
    <row r="294" spans="21:21" x14ac:dyDescent="0.35">
      <c r="U294" s="235"/>
    </row>
    <row r="295" spans="21:21" x14ac:dyDescent="0.35">
      <c r="U295" s="235"/>
    </row>
    <row r="296" spans="21:21" x14ac:dyDescent="0.35">
      <c r="U296" s="235"/>
    </row>
    <row r="297" spans="21:21" x14ac:dyDescent="0.35">
      <c r="U297" s="235"/>
    </row>
    <row r="298" spans="21:21" x14ac:dyDescent="0.35">
      <c r="U298" s="235"/>
    </row>
    <row r="299" spans="21:21" x14ac:dyDescent="0.35">
      <c r="U299" s="235"/>
    </row>
    <row r="300" spans="21:21" x14ac:dyDescent="0.35">
      <c r="U300" s="235"/>
    </row>
    <row r="301" spans="21:21" x14ac:dyDescent="0.35">
      <c r="U301" s="235"/>
    </row>
    <row r="302" spans="21:21" x14ac:dyDescent="0.35">
      <c r="U302" s="235"/>
    </row>
    <row r="303" spans="21:21" x14ac:dyDescent="0.35">
      <c r="U303" s="235"/>
    </row>
    <row r="304" spans="21:21" x14ac:dyDescent="0.35">
      <c r="U304" s="235"/>
    </row>
    <row r="305" spans="21:21" x14ac:dyDescent="0.35">
      <c r="U305" s="235"/>
    </row>
    <row r="306" spans="21:21" x14ac:dyDescent="0.35">
      <c r="U306" s="235"/>
    </row>
    <row r="307" spans="21:21" x14ac:dyDescent="0.35">
      <c r="U307" s="235"/>
    </row>
    <row r="308" spans="21:21" x14ac:dyDescent="0.35">
      <c r="U308" s="235"/>
    </row>
    <row r="309" spans="21:21" x14ac:dyDescent="0.35">
      <c r="U309" s="243"/>
    </row>
    <row r="310" spans="21:21" x14ac:dyDescent="0.35">
      <c r="U310" s="243"/>
    </row>
    <row r="311" spans="21:21" x14ac:dyDescent="0.35">
      <c r="U311" s="243"/>
    </row>
    <row r="312" spans="21:21" x14ac:dyDescent="0.35">
      <c r="U312" s="243"/>
    </row>
    <row r="313" spans="21:21" x14ac:dyDescent="0.35">
      <c r="U313" s="243"/>
    </row>
    <row r="314" spans="21:21" x14ac:dyDescent="0.35">
      <c r="U314" s="243"/>
    </row>
    <row r="315" spans="21:21" x14ac:dyDescent="0.35">
      <c r="U315" s="243"/>
    </row>
    <row r="316" spans="21:21" x14ac:dyDescent="0.35">
      <c r="U316" s="243"/>
    </row>
    <row r="317" spans="21:21" x14ac:dyDescent="0.35">
      <c r="U317" s="243"/>
    </row>
    <row r="318" spans="21:21" x14ac:dyDescent="0.35">
      <c r="U318" s="243"/>
    </row>
    <row r="319" spans="21:21" x14ac:dyDescent="0.35">
      <c r="U319" s="243"/>
    </row>
    <row r="320" spans="21:21" x14ac:dyDescent="0.35">
      <c r="U320" s="243"/>
    </row>
    <row r="321" spans="21:21" x14ac:dyDescent="0.35">
      <c r="U321" s="243"/>
    </row>
    <row r="322" spans="21:21" x14ac:dyDescent="0.35">
      <c r="U322" s="243"/>
    </row>
    <row r="323" spans="21:21" x14ac:dyDescent="0.35">
      <c r="U323" s="243"/>
    </row>
    <row r="324" spans="21:21" x14ac:dyDescent="0.35">
      <c r="U324" s="243"/>
    </row>
    <row r="325" spans="21:21" x14ac:dyDescent="0.35">
      <c r="U325" s="243"/>
    </row>
    <row r="326" spans="21:21" x14ac:dyDescent="0.35">
      <c r="U326" s="243"/>
    </row>
    <row r="327" spans="21:21" x14ac:dyDescent="0.35">
      <c r="U327" s="243"/>
    </row>
    <row r="328" spans="21:21" x14ac:dyDescent="0.35">
      <c r="U328" s="243"/>
    </row>
    <row r="329" spans="21:21" x14ac:dyDescent="0.35">
      <c r="U329" s="243"/>
    </row>
    <row r="330" spans="21:21" x14ac:dyDescent="0.35">
      <c r="U330" s="243"/>
    </row>
    <row r="331" spans="21:21" x14ac:dyDescent="0.35">
      <c r="U331" s="243"/>
    </row>
    <row r="332" spans="21:21" x14ac:dyDescent="0.35">
      <c r="U332" s="243"/>
    </row>
    <row r="333" spans="21:21" x14ac:dyDescent="0.35">
      <c r="U333" s="243"/>
    </row>
    <row r="334" spans="21:21" x14ac:dyDescent="0.35">
      <c r="U334" s="243"/>
    </row>
    <row r="335" spans="21:21" x14ac:dyDescent="0.35">
      <c r="U335" s="243"/>
    </row>
    <row r="336" spans="21:21" x14ac:dyDescent="0.35">
      <c r="U336" s="243"/>
    </row>
    <row r="337" spans="21:21" x14ac:dyDescent="0.35">
      <c r="U337" s="243"/>
    </row>
    <row r="338" spans="21:21" x14ac:dyDescent="0.35">
      <c r="U338" s="243"/>
    </row>
    <row r="339" spans="21:21" x14ac:dyDescent="0.35">
      <c r="U339" s="243"/>
    </row>
    <row r="340" spans="21:21" x14ac:dyDescent="0.35">
      <c r="U340" s="243"/>
    </row>
    <row r="341" spans="21:21" x14ac:dyDescent="0.35">
      <c r="U341" s="243"/>
    </row>
    <row r="342" spans="21:21" x14ac:dyDescent="0.35">
      <c r="U342" s="243"/>
    </row>
    <row r="343" spans="21:21" x14ac:dyDescent="0.35">
      <c r="U343" s="243"/>
    </row>
    <row r="344" spans="21:21" x14ac:dyDescent="0.35">
      <c r="U344" s="243"/>
    </row>
    <row r="345" spans="21:21" x14ac:dyDescent="0.35">
      <c r="U345" s="243"/>
    </row>
    <row r="346" spans="21:21" x14ac:dyDescent="0.35">
      <c r="U346" s="243"/>
    </row>
    <row r="347" spans="21:21" x14ac:dyDescent="0.35">
      <c r="U347" s="243"/>
    </row>
    <row r="348" spans="21:21" x14ac:dyDescent="0.35">
      <c r="U348" s="243"/>
    </row>
    <row r="349" spans="21:21" x14ac:dyDescent="0.35">
      <c r="U349" s="243"/>
    </row>
    <row r="350" spans="21:21" x14ac:dyDescent="0.35">
      <c r="U350" s="243"/>
    </row>
    <row r="351" spans="21:21" x14ac:dyDescent="0.35">
      <c r="U351" s="243"/>
    </row>
    <row r="352" spans="21:21" x14ac:dyDescent="0.35">
      <c r="U352" s="243"/>
    </row>
    <row r="353" spans="21:21" x14ac:dyDescent="0.35">
      <c r="U353" s="243"/>
    </row>
    <row r="354" spans="21:21" x14ac:dyDescent="0.35">
      <c r="U354" s="243"/>
    </row>
    <row r="355" spans="21:21" x14ac:dyDescent="0.35">
      <c r="U355" s="243"/>
    </row>
    <row r="356" spans="21:21" x14ac:dyDescent="0.35">
      <c r="U356" s="243"/>
    </row>
    <row r="357" spans="21:21" x14ac:dyDescent="0.35">
      <c r="U357" s="243"/>
    </row>
    <row r="358" spans="21:21" x14ac:dyDescent="0.35">
      <c r="U358" s="243"/>
    </row>
    <row r="359" spans="21:21" x14ac:dyDescent="0.35">
      <c r="U359" s="243"/>
    </row>
  </sheetData>
  <autoFilter ref="A1:T19" xr:uid="{00000000-0001-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20">
    <mergeCell ref="O14:O16"/>
    <mergeCell ref="P14:P16"/>
    <mergeCell ref="Q14:Q16"/>
    <mergeCell ref="A2:W2"/>
    <mergeCell ref="A1:W1"/>
    <mergeCell ref="R8:R9"/>
    <mergeCell ref="O11:O13"/>
    <mergeCell ref="P11:P13"/>
    <mergeCell ref="Q11:Q13"/>
    <mergeCell ref="A3:T3"/>
    <mergeCell ref="A4:E4"/>
    <mergeCell ref="F4:L4"/>
    <mergeCell ref="M4:N4"/>
    <mergeCell ref="O4:Q4"/>
    <mergeCell ref="V4:W4"/>
    <mergeCell ref="R6:R7"/>
    <mergeCell ref="Q6:Q7"/>
    <mergeCell ref="P6:P7"/>
    <mergeCell ref="O6:O7"/>
    <mergeCell ref="S4:U4"/>
  </mergeCells>
  <conditionalFormatting sqref="O6:Q27">
    <cfRule type="containsText" dxfId="6" priority="9" operator="containsText" text="No">
      <formula>NOT(ISERROR(SEARCH("No",O6)))</formula>
    </cfRule>
    <cfRule type="containsText" dxfId="5" priority="10" operator="containsText" text="Yes">
      <formula>NOT(ISERROR(SEARCH("Yes",O6)))</formula>
    </cfRule>
  </conditionalFormatting>
  <conditionalFormatting sqref="R6 R11 R14 R17:R1048576">
    <cfRule type="containsText" dxfId="4" priority="7" operator="containsText" text="No">
      <formula>NOT(ISERROR(SEARCH("No",R6)))</formula>
    </cfRule>
    <cfRule type="containsText" dxfId="3" priority="8" operator="containsText" text="Yes">
      <formula>NOT(ISERROR(SEARCH("Yes",R6)))</formula>
    </cfRule>
  </conditionalFormatting>
  <conditionalFormatting sqref="S6:S1048576">
    <cfRule type="containsText" dxfId="2" priority="1" operator="containsText" text="Rejected">
      <formula>NOT(ISERROR(SEARCH("Rejected",S6)))</formula>
    </cfRule>
    <cfRule type="containsText" dxfId="1" priority="2" operator="containsText" text="Revisions Needed">
      <formula>NOT(ISERROR(SEARCH("Revisions Needed",S6)))</formula>
    </cfRule>
    <cfRule type="containsText" dxfId="0" priority="3" operator="containsText" text="Approved">
      <formula>NOT(ISERROR(SEARCH("Approved",S6)))</formula>
    </cfRule>
  </conditionalFormatting>
  <dataValidations count="3">
    <dataValidation type="list" allowBlank="1" showInputMessage="1" showErrorMessage="1" sqref="O6:Q6 O11:Q11 O14:Q14 O8:Q9 O17:Q1048576" xr:uid="{40006FBA-CCE8-4564-ADEC-440ED8528EC9}">
      <formula1>"No, Yes"</formula1>
    </dataValidation>
    <dataValidation type="list" allowBlank="1" sqref="S6:S1048576" xr:uid="{018A1F43-6E56-47AD-A319-AC057008AA55}">
      <formula1>"Approved,Revisions Needed, Rejected"</formula1>
    </dataValidation>
    <dataValidation type="list" allowBlank="1" showInputMessage="1" showErrorMessage="1" sqref="C6:C1048576" xr:uid="{170A15E6-9477-4E84-9259-C0051F124E4F}">
      <formula1>"Monthly, Yearly"</formula1>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For Review - Naira Group</vt:lpstr>
      <vt:lpstr>GAS - Revisions 4</vt:lpstr>
      <vt:lpstr>GAS - Revisions 5</vt:lpstr>
      <vt:lpstr>GAS - Revisions 3</vt:lpstr>
      <vt:lpstr>GAS - Revisions 2</vt:lpstr>
      <vt:lpstr>GAS - Revisions 1</vt:lpstr>
      <vt:lpstr>Approved - Aug 13, '26</vt:lpstr>
      <vt:lpstr>Approved - Jul 30, '26</vt:lpstr>
      <vt:lpstr>Approved - Jul 29, '26</vt:lpstr>
      <vt:lpstr>Approved - Jul 26, '26</vt:lpstr>
      <vt:lpstr>Approved - Jul 23, '26</vt:lpstr>
      <vt:lpstr>Approved - Jul 21, '26 (2)</vt:lpstr>
      <vt:lpstr>Approved - Jul 21, '26</vt:lpstr>
      <vt:lpstr>Approved - Jul 16, '26</vt:lpstr>
      <vt:lpstr>Approved - Jul 09, '26</vt:lpstr>
      <vt:lpstr>Approved - Jul 06, '26</vt:lpstr>
      <vt:lpstr>Approved - Jul 05, '26</vt:lpstr>
      <vt:lpstr>Approved - Jul 02, '26</vt:lpstr>
      <vt:lpstr>Approved - Jun 29, '26</vt:lpstr>
      <vt:lpstr>Approved - Jun 28, '26</vt:lpstr>
      <vt:lpstr>Approved - Jun 24, 26</vt:lpstr>
      <vt:lpstr>Approved - Jun 18, '26 (Yearly)</vt:lpstr>
      <vt:lpstr>Approved - Jun 04, '26</vt:lpstr>
      <vt:lpstr>Approved - Jun 01, '26</vt:lpstr>
      <vt:lpstr>Approved - May 25, '26 (2)</vt:lpstr>
      <vt:lpstr>Approved - May 25, '26</vt:lpstr>
      <vt:lpstr>Approved - May 20, '26</vt:lpstr>
      <vt:lpstr>Approved - May 17, '26 (Month)</vt:lpstr>
      <vt:lpstr>Approved - May 17, '26 (Yearly)</vt:lpstr>
      <vt:lpstr>Approved - May 14, '26 (Yearly)</vt:lpstr>
      <vt:lpstr>Approved - May 10, '26(Yearly)</vt:lpstr>
      <vt:lpstr>Approved  (Aura)</vt:lpstr>
      <vt:lpstr>Rejected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Sarah Alcala</cp:lastModifiedBy>
  <cp:revision>0</cp:revision>
  <dcterms:created xsi:type="dcterms:W3CDTF">2026-05-09T15:16:33Z</dcterms:created>
  <dcterms:modified xsi:type="dcterms:W3CDTF">2026-08-13T12:22:06Z</dcterms:modified>
  <cp:category/>
  <cp:contentStatus/>
</cp:coreProperties>
</file>